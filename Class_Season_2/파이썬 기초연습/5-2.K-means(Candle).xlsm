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eong\Desktop\(R)금융데이터마이닝\실습파일\"/>
    </mc:Choice>
  </mc:AlternateContent>
  <bookViews>
    <workbookView xWindow="120" yWindow="45" windowWidth="20475" windowHeight="10770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_xlnm._FilterDatabase" localSheetId="0" hidden="1">Sheet1!$A$3:$U$248</definedName>
  </definedNames>
  <calcPr calcId="162913"/>
</workbook>
</file>

<file path=xl/calcChain.xml><?xml version="1.0" encoding="utf-8"?>
<calcChain xmlns="http://schemas.openxmlformats.org/spreadsheetml/2006/main">
  <c r="Q25" i="1" l="1"/>
  <c r="R25" i="1"/>
  <c r="S25" i="1"/>
  <c r="T25" i="1"/>
  <c r="Q26" i="1"/>
  <c r="R26" i="1"/>
  <c r="S26" i="1"/>
  <c r="T26" i="1"/>
  <c r="Q27" i="1"/>
  <c r="R27" i="1"/>
  <c r="S27" i="1"/>
  <c r="T27" i="1"/>
  <c r="Q28" i="1"/>
  <c r="R28" i="1"/>
  <c r="S28" i="1"/>
  <c r="T28" i="1"/>
  <c r="Q29" i="1"/>
  <c r="R29" i="1"/>
  <c r="S29" i="1"/>
  <c r="T29" i="1"/>
  <c r="Q30" i="1"/>
  <c r="R30" i="1"/>
  <c r="S30" i="1"/>
  <c r="T30" i="1"/>
  <c r="Q31" i="1"/>
  <c r="R31" i="1"/>
  <c r="S31" i="1"/>
  <c r="T31" i="1"/>
  <c r="Q32" i="1"/>
  <c r="R32" i="1"/>
  <c r="S32" i="1"/>
  <c r="T32" i="1"/>
  <c r="Q33" i="1"/>
  <c r="R33" i="1"/>
  <c r="S33" i="1"/>
  <c r="T33" i="1"/>
  <c r="Q34" i="1"/>
  <c r="R34" i="1"/>
  <c r="S34" i="1"/>
  <c r="T34" i="1"/>
  <c r="Q35" i="1"/>
  <c r="R35" i="1"/>
  <c r="S35" i="1"/>
  <c r="T35" i="1"/>
  <c r="Q36" i="1"/>
  <c r="R36" i="1"/>
  <c r="S36" i="1"/>
  <c r="T36" i="1"/>
  <c r="Q37" i="1"/>
  <c r="R37" i="1"/>
  <c r="S37" i="1"/>
  <c r="T37" i="1"/>
  <c r="Q38" i="1"/>
  <c r="R38" i="1"/>
  <c r="S38" i="1"/>
  <c r="T38" i="1"/>
  <c r="Q39" i="1"/>
  <c r="R39" i="1"/>
  <c r="S39" i="1"/>
  <c r="T39" i="1"/>
  <c r="Q40" i="1"/>
  <c r="R40" i="1"/>
  <c r="S40" i="1"/>
  <c r="T40" i="1"/>
  <c r="Q41" i="1"/>
  <c r="R41" i="1"/>
  <c r="S41" i="1"/>
  <c r="T41" i="1"/>
  <c r="Q42" i="1"/>
  <c r="R42" i="1"/>
  <c r="S42" i="1"/>
  <c r="T42" i="1"/>
  <c r="Q43" i="1"/>
  <c r="R43" i="1"/>
  <c r="S43" i="1"/>
  <c r="T43" i="1"/>
  <c r="Q44" i="1"/>
  <c r="R44" i="1"/>
  <c r="S44" i="1"/>
  <c r="T44" i="1"/>
  <c r="Q45" i="1"/>
  <c r="R45" i="1"/>
  <c r="S45" i="1"/>
  <c r="T45" i="1"/>
  <c r="Q46" i="1"/>
  <c r="R46" i="1"/>
  <c r="S46" i="1"/>
  <c r="T46" i="1"/>
  <c r="Q47" i="1"/>
  <c r="R47" i="1"/>
  <c r="S47" i="1"/>
  <c r="T47" i="1"/>
  <c r="Q48" i="1"/>
  <c r="R48" i="1"/>
  <c r="S48" i="1"/>
  <c r="T48" i="1"/>
  <c r="Q49" i="1"/>
  <c r="R49" i="1"/>
  <c r="S49" i="1"/>
  <c r="T49" i="1"/>
  <c r="Q50" i="1"/>
  <c r="R50" i="1"/>
  <c r="S50" i="1"/>
  <c r="T50" i="1"/>
  <c r="Q51" i="1"/>
  <c r="R51" i="1"/>
  <c r="S51" i="1"/>
  <c r="T51" i="1"/>
  <c r="Q52" i="1"/>
  <c r="R52" i="1"/>
  <c r="S52" i="1"/>
  <c r="T52" i="1"/>
  <c r="Q53" i="1"/>
  <c r="R53" i="1"/>
  <c r="S53" i="1"/>
  <c r="T53" i="1"/>
  <c r="Q54" i="1"/>
  <c r="R54" i="1"/>
  <c r="S54" i="1"/>
  <c r="T54" i="1"/>
  <c r="Q55" i="1"/>
  <c r="R55" i="1"/>
  <c r="S55" i="1"/>
  <c r="T55" i="1"/>
  <c r="Q56" i="1"/>
  <c r="R56" i="1"/>
  <c r="S56" i="1"/>
  <c r="T56" i="1"/>
  <c r="Q57" i="1"/>
  <c r="R57" i="1"/>
  <c r="S57" i="1"/>
  <c r="T57" i="1"/>
  <c r="Q58" i="1"/>
  <c r="R58" i="1"/>
  <c r="S58" i="1"/>
  <c r="T58" i="1"/>
  <c r="Q59" i="1"/>
  <c r="R59" i="1"/>
  <c r="S59" i="1"/>
  <c r="T59" i="1"/>
  <c r="Q60" i="1"/>
  <c r="R60" i="1"/>
  <c r="S60" i="1"/>
  <c r="T60" i="1"/>
  <c r="Q61" i="1"/>
  <c r="R61" i="1"/>
  <c r="S61" i="1"/>
  <c r="T61" i="1"/>
  <c r="Q62" i="1"/>
  <c r="R62" i="1"/>
  <c r="S62" i="1"/>
  <c r="T62" i="1"/>
  <c r="Q63" i="1"/>
  <c r="R63" i="1"/>
  <c r="S63" i="1"/>
  <c r="T63" i="1"/>
  <c r="Q64" i="1"/>
  <c r="R64" i="1"/>
  <c r="S64" i="1"/>
  <c r="T64" i="1"/>
  <c r="Q65" i="1"/>
  <c r="R65" i="1"/>
  <c r="S65" i="1"/>
  <c r="T65" i="1"/>
  <c r="Q66" i="1"/>
  <c r="R66" i="1"/>
  <c r="S66" i="1"/>
  <c r="T66" i="1"/>
  <c r="Q67" i="1"/>
  <c r="R67" i="1"/>
  <c r="S67" i="1"/>
  <c r="T67" i="1"/>
  <c r="Q68" i="1"/>
  <c r="R68" i="1"/>
  <c r="S68" i="1"/>
  <c r="T68" i="1"/>
  <c r="Q69" i="1"/>
  <c r="R69" i="1"/>
  <c r="S69" i="1"/>
  <c r="T69" i="1"/>
  <c r="Q70" i="1"/>
  <c r="R70" i="1"/>
  <c r="S70" i="1"/>
  <c r="T70" i="1"/>
  <c r="Q71" i="1"/>
  <c r="R71" i="1"/>
  <c r="S71" i="1"/>
  <c r="T71" i="1"/>
  <c r="Q72" i="1"/>
  <c r="R72" i="1"/>
  <c r="S72" i="1"/>
  <c r="T72" i="1"/>
  <c r="Q73" i="1"/>
  <c r="R73" i="1"/>
  <c r="S73" i="1"/>
  <c r="T73" i="1"/>
  <c r="Q74" i="1"/>
  <c r="R74" i="1"/>
  <c r="S74" i="1"/>
  <c r="T74" i="1"/>
  <c r="Q75" i="1"/>
  <c r="R75" i="1"/>
  <c r="S75" i="1"/>
  <c r="T75" i="1"/>
  <c r="Q76" i="1"/>
  <c r="R76" i="1"/>
  <c r="S76" i="1"/>
  <c r="T76" i="1"/>
  <c r="Q77" i="1"/>
  <c r="R77" i="1"/>
  <c r="S77" i="1"/>
  <c r="T77" i="1"/>
  <c r="Q78" i="1"/>
  <c r="R78" i="1"/>
  <c r="S78" i="1"/>
  <c r="T78" i="1"/>
  <c r="Q79" i="1"/>
  <c r="R79" i="1"/>
  <c r="S79" i="1"/>
  <c r="T79" i="1"/>
  <c r="Q80" i="1"/>
  <c r="R80" i="1"/>
  <c r="S80" i="1"/>
  <c r="T80" i="1"/>
  <c r="Q81" i="1"/>
  <c r="R81" i="1"/>
  <c r="S81" i="1"/>
  <c r="T81" i="1"/>
  <c r="Q82" i="1"/>
  <c r="R82" i="1"/>
  <c r="S82" i="1"/>
  <c r="T82" i="1"/>
  <c r="Q83" i="1"/>
  <c r="R83" i="1"/>
  <c r="S83" i="1"/>
  <c r="T83" i="1"/>
  <c r="Q84" i="1"/>
  <c r="R84" i="1"/>
  <c r="S84" i="1"/>
  <c r="T84" i="1"/>
  <c r="Q85" i="1"/>
  <c r="R85" i="1"/>
  <c r="S85" i="1"/>
  <c r="T85" i="1"/>
  <c r="Q86" i="1"/>
  <c r="R86" i="1"/>
  <c r="S86" i="1"/>
  <c r="T86" i="1"/>
  <c r="Q87" i="1"/>
  <c r="R87" i="1"/>
  <c r="S87" i="1"/>
  <c r="T87" i="1"/>
  <c r="Q88" i="1"/>
  <c r="R88" i="1"/>
  <c r="S88" i="1"/>
  <c r="T88" i="1"/>
  <c r="Q89" i="1"/>
  <c r="R89" i="1"/>
  <c r="S89" i="1"/>
  <c r="T89" i="1"/>
  <c r="Q90" i="1"/>
  <c r="R90" i="1"/>
  <c r="S90" i="1"/>
  <c r="T90" i="1"/>
  <c r="Q91" i="1"/>
  <c r="R91" i="1"/>
  <c r="S91" i="1"/>
  <c r="T91" i="1"/>
  <c r="Q92" i="1"/>
  <c r="R92" i="1"/>
  <c r="S92" i="1"/>
  <c r="T92" i="1"/>
  <c r="Q93" i="1"/>
  <c r="R93" i="1"/>
  <c r="S93" i="1"/>
  <c r="T93" i="1"/>
  <c r="Q94" i="1"/>
  <c r="R94" i="1"/>
  <c r="S94" i="1"/>
  <c r="T94" i="1"/>
  <c r="Q95" i="1"/>
  <c r="R95" i="1"/>
  <c r="S95" i="1"/>
  <c r="T95" i="1"/>
  <c r="Q96" i="1"/>
  <c r="R96" i="1"/>
  <c r="S96" i="1"/>
  <c r="T96" i="1"/>
  <c r="Q97" i="1"/>
  <c r="R97" i="1"/>
  <c r="S97" i="1"/>
  <c r="T97" i="1"/>
  <c r="Q98" i="1"/>
  <c r="R98" i="1"/>
  <c r="S98" i="1"/>
  <c r="T98" i="1"/>
  <c r="Q99" i="1"/>
  <c r="R99" i="1"/>
  <c r="S99" i="1"/>
  <c r="T99" i="1"/>
  <c r="Q100" i="1"/>
  <c r="R100" i="1"/>
  <c r="S100" i="1"/>
  <c r="T100" i="1"/>
  <c r="Q101" i="1"/>
  <c r="R101" i="1"/>
  <c r="S101" i="1"/>
  <c r="T101" i="1"/>
  <c r="Q102" i="1"/>
  <c r="R102" i="1"/>
  <c r="S102" i="1"/>
  <c r="T102" i="1"/>
  <c r="Q103" i="1"/>
  <c r="R103" i="1"/>
  <c r="S103" i="1"/>
  <c r="T103" i="1"/>
  <c r="Q104" i="1"/>
  <c r="R104" i="1"/>
  <c r="S104" i="1"/>
  <c r="T104" i="1"/>
  <c r="Q105" i="1"/>
  <c r="R105" i="1"/>
  <c r="S105" i="1"/>
  <c r="T105" i="1"/>
  <c r="Q106" i="1"/>
  <c r="R106" i="1"/>
  <c r="S106" i="1"/>
  <c r="T106" i="1"/>
  <c r="Q107" i="1"/>
  <c r="R107" i="1"/>
  <c r="S107" i="1"/>
  <c r="T107" i="1"/>
  <c r="Q108" i="1"/>
  <c r="R108" i="1"/>
  <c r="S108" i="1"/>
  <c r="T108" i="1"/>
  <c r="Q109" i="1"/>
  <c r="R109" i="1"/>
  <c r="S109" i="1"/>
  <c r="T109" i="1"/>
  <c r="Q110" i="1"/>
  <c r="R110" i="1"/>
  <c r="S110" i="1"/>
  <c r="T110" i="1"/>
  <c r="Q111" i="1"/>
  <c r="R111" i="1"/>
  <c r="S111" i="1"/>
  <c r="T111" i="1"/>
  <c r="Q112" i="1"/>
  <c r="R112" i="1"/>
  <c r="S112" i="1"/>
  <c r="T112" i="1"/>
  <c r="Q113" i="1"/>
  <c r="R113" i="1"/>
  <c r="S113" i="1"/>
  <c r="T113" i="1"/>
  <c r="Q114" i="1"/>
  <c r="R114" i="1"/>
  <c r="S114" i="1"/>
  <c r="T114" i="1"/>
  <c r="Q115" i="1"/>
  <c r="R115" i="1"/>
  <c r="S115" i="1"/>
  <c r="T115" i="1"/>
  <c r="Q116" i="1"/>
  <c r="R116" i="1"/>
  <c r="S116" i="1"/>
  <c r="T116" i="1"/>
  <c r="Q117" i="1"/>
  <c r="R117" i="1"/>
  <c r="S117" i="1"/>
  <c r="T117" i="1"/>
  <c r="Q118" i="1"/>
  <c r="R118" i="1"/>
  <c r="S118" i="1"/>
  <c r="T118" i="1"/>
  <c r="Q119" i="1"/>
  <c r="R119" i="1"/>
  <c r="S119" i="1"/>
  <c r="T119" i="1"/>
  <c r="Q120" i="1"/>
  <c r="R120" i="1"/>
  <c r="S120" i="1"/>
  <c r="T120" i="1"/>
  <c r="Q121" i="1"/>
  <c r="R121" i="1"/>
  <c r="S121" i="1"/>
  <c r="T121" i="1"/>
  <c r="Q122" i="1"/>
  <c r="R122" i="1"/>
  <c r="S122" i="1"/>
  <c r="T122" i="1"/>
  <c r="Q123" i="1"/>
  <c r="R123" i="1"/>
  <c r="S123" i="1"/>
  <c r="T123" i="1"/>
  <c r="Q124" i="1"/>
  <c r="R124" i="1"/>
  <c r="S124" i="1"/>
  <c r="T124" i="1"/>
  <c r="Q125" i="1"/>
  <c r="R125" i="1"/>
  <c r="S125" i="1"/>
  <c r="T125" i="1"/>
  <c r="Q126" i="1"/>
  <c r="R126" i="1"/>
  <c r="S126" i="1"/>
  <c r="T126" i="1"/>
  <c r="Q127" i="1"/>
  <c r="R127" i="1"/>
  <c r="S127" i="1"/>
  <c r="T127" i="1"/>
  <c r="Q128" i="1"/>
  <c r="R128" i="1"/>
  <c r="S128" i="1"/>
  <c r="T128" i="1"/>
  <c r="Q129" i="1"/>
  <c r="R129" i="1"/>
  <c r="S129" i="1"/>
  <c r="T129" i="1"/>
  <c r="Q130" i="1"/>
  <c r="R130" i="1"/>
  <c r="S130" i="1"/>
  <c r="T130" i="1"/>
  <c r="Q131" i="1"/>
  <c r="R131" i="1"/>
  <c r="S131" i="1"/>
  <c r="T131" i="1"/>
  <c r="Q132" i="1"/>
  <c r="R132" i="1"/>
  <c r="S132" i="1"/>
  <c r="T132" i="1"/>
  <c r="Q133" i="1"/>
  <c r="R133" i="1"/>
  <c r="S133" i="1"/>
  <c r="T133" i="1"/>
  <c r="Q134" i="1"/>
  <c r="R134" i="1"/>
  <c r="S134" i="1"/>
  <c r="T134" i="1"/>
  <c r="Q135" i="1"/>
  <c r="R135" i="1"/>
  <c r="S135" i="1"/>
  <c r="T135" i="1"/>
  <c r="Q136" i="1"/>
  <c r="R136" i="1"/>
  <c r="S136" i="1"/>
  <c r="T136" i="1"/>
  <c r="Q137" i="1"/>
  <c r="R137" i="1"/>
  <c r="S137" i="1"/>
  <c r="T137" i="1"/>
  <c r="Q138" i="1"/>
  <c r="R138" i="1"/>
  <c r="S138" i="1"/>
  <c r="T138" i="1"/>
  <c r="Q139" i="1"/>
  <c r="R139" i="1"/>
  <c r="S139" i="1"/>
  <c r="T139" i="1"/>
  <c r="Q140" i="1"/>
  <c r="R140" i="1"/>
  <c r="S140" i="1"/>
  <c r="T140" i="1"/>
  <c r="Q141" i="1"/>
  <c r="R141" i="1"/>
  <c r="S141" i="1"/>
  <c r="T141" i="1"/>
  <c r="Q142" i="1"/>
  <c r="R142" i="1"/>
  <c r="S142" i="1"/>
  <c r="T142" i="1"/>
  <c r="Q143" i="1"/>
  <c r="R143" i="1"/>
  <c r="S143" i="1"/>
  <c r="T143" i="1"/>
  <c r="Q144" i="1"/>
  <c r="R144" i="1"/>
  <c r="S144" i="1"/>
  <c r="T144" i="1"/>
  <c r="Q145" i="1"/>
  <c r="R145" i="1"/>
  <c r="S145" i="1"/>
  <c r="T145" i="1"/>
  <c r="Q146" i="1"/>
  <c r="R146" i="1"/>
  <c r="S146" i="1"/>
  <c r="T146" i="1"/>
  <c r="Q147" i="1"/>
  <c r="R147" i="1"/>
  <c r="S147" i="1"/>
  <c r="T147" i="1"/>
  <c r="Q148" i="1"/>
  <c r="R148" i="1"/>
  <c r="S148" i="1"/>
  <c r="T148" i="1"/>
  <c r="Q149" i="1"/>
  <c r="R149" i="1"/>
  <c r="S149" i="1"/>
  <c r="T149" i="1"/>
  <c r="Q150" i="1"/>
  <c r="R150" i="1"/>
  <c r="S150" i="1"/>
  <c r="T150" i="1"/>
  <c r="Q151" i="1"/>
  <c r="R151" i="1"/>
  <c r="S151" i="1"/>
  <c r="T151" i="1"/>
  <c r="Q152" i="1"/>
  <c r="R152" i="1"/>
  <c r="S152" i="1"/>
  <c r="T152" i="1"/>
  <c r="Q153" i="1"/>
  <c r="R153" i="1"/>
  <c r="S153" i="1"/>
  <c r="T153" i="1"/>
  <c r="Q154" i="1"/>
  <c r="R154" i="1"/>
  <c r="S154" i="1"/>
  <c r="T154" i="1"/>
  <c r="Q155" i="1"/>
  <c r="R155" i="1"/>
  <c r="S155" i="1"/>
  <c r="T155" i="1"/>
  <c r="Q156" i="1"/>
  <c r="R156" i="1"/>
  <c r="S156" i="1"/>
  <c r="T156" i="1"/>
  <c r="Q157" i="1"/>
  <c r="R157" i="1"/>
  <c r="S157" i="1"/>
  <c r="T157" i="1"/>
  <c r="Q158" i="1"/>
  <c r="R158" i="1"/>
  <c r="S158" i="1"/>
  <c r="T158" i="1"/>
  <c r="Q159" i="1"/>
  <c r="R159" i="1"/>
  <c r="S159" i="1"/>
  <c r="T159" i="1"/>
  <c r="Q160" i="1"/>
  <c r="R160" i="1"/>
  <c r="S160" i="1"/>
  <c r="T160" i="1"/>
  <c r="Q161" i="1"/>
  <c r="R161" i="1"/>
  <c r="S161" i="1"/>
  <c r="T161" i="1"/>
  <c r="Q162" i="1"/>
  <c r="R162" i="1"/>
  <c r="S162" i="1"/>
  <c r="T162" i="1"/>
  <c r="Q163" i="1"/>
  <c r="R163" i="1"/>
  <c r="S163" i="1"/>
  <c r="T163" i="1"/>
  <c r="Q164" i="1"/>
  <c r="R164" i="1"/>
  <c r="S164" i="1"/>
  <c r="T164" i="1"/>
  <c r="Q165" i="1"/>
  <c r="R165" i="1"/>
  <c r="S165" i="1"/>
  <c r="T165" i="1"/>
  <c r="Q166" i="1"/>
  <c r="R166" i="1"/>
  <c r="S166" i="1"/>
  <c r="T166" i="1"/>
  <c r="Q167" i="1"/>
  <c r="R167" i="1"/>
  <c r="S167" i="1"/>
  <c r="T167" i="1"/>
  <c r="Q168" i="1"/>
  <c r="R168" i="1"/>
  <c r="S168" i="1"/>
  <c r="T168" i="1"/>
  <c r="Q169" i="1"/>
  <c r="R169" i="1"/>
  <c r="S169" i="1"/>
  <c r="T169" i="1"/>
  <c r="Q170" i="1"/>
  <c r="R170" i="1"/>
  <c r="S170" i="1"/>
  <c r="T170" i="1"/>
  <c r="Q171" i="1"/>
  <c r="R171" i="1"/>
  <c r="S171" i="1"/>
  <c r="T171" i="1"/>
  <c r="Q172" i="1"/>
  <c r="R172" i="1"/>
  <c r="S172" i="1"/>
  <c r="T172" i="1"/>
  <c r="Q173" i="1"/>
  <c r="R173" i="1"/>
  <c r="S173" i="1"/>
  <c r="T173" i="1"/>
  <c r="Q174" i="1"/>
  <c r="R174" i="1"/>
  <c r="S174" i="1"/>
  <c r="T174" i="1"/>
  <c r="Q175" i="1"/>
  <c r="R175" i="1"/>
  <c r="S175" i="1"/>
  <c r="T175" i="1"/>
  <c r="Q176" i="1"/>
  <c r="R176" i="1"/>
  <c r="S176" i="1"/>
  <c r="T176" i="1"/>
  <c r="Q177" i="1"/>
  <c r="R177" i="1"/>
  <c r="S177" i="1"/>
  <c r="T177" i="1"/>
  <c r="Q178" i="1"/>
  <c r="R178" i="1"/>
  <c r="S178" i="1"/>
  <c r="T178" i="1"/>
  <c r="Q179" i="1"/>
  <c r="R179" i="1"/>
  <c r="S179" i="1"/>
  <c r="T179" i="1"/>
  <c r="Q180" i="1"/>
  <c r="R180" i="1"/>
  <c r="S180" i="1"/>
  <c r="T180" i="1"/>
  <c r="Q181" i="1"/>
  <c r="R181" i="1"/>
  <c r="S181" i="1"/>
  <c r="T181" i="1"/>
  <c r="Q182" i="1"/>
  <c r="R182" i="1"/>
  <c r="S182" i="1"/>
  <c r="T182" i="1"/>
  <c r="Q183" i="1"/>
  <c r="R183" i="1"/>
  <c r="S183" i="1"/>
  <c r="T183" i="1"/>
  <c r="Q184" i="1"/>
  <c r="R184" i="1"/>
  <c r="S184" i="1"/>
  <c r="T184" i="1"/>
  <c r="Q185" i="1"/>
  <c r="R185" i="1"/>
  <c r="S185" i="1"/>
  <c r="T185" i="1"/>
  <c r="Q186" i="1"/>
  <c r="R186" i="1"/>
  <c r="S186" i="1"/>
  <c r="T186" i="1"/>
  <c r="Q187" i="1"/>
  <c r="R187" i="1"/>
  <c r="S187" i="1"/>
  <c r="T187" i="1"/>
  <c r="Q188" i="1"/>
  <c r="R188" i="1"/>
  <c r="S188" i="1"/>
  <c r="T188" i="1"/>
  <c r="Q189" i="1"/>
  <c r="R189" i="1"/>
  <c r="S189" i="1"/>
  <c r="T189" i="1"/>
  <c r="Q190" i="1"/>
  <c r="R190" i="1"/>
  <c r="S190" i="1"/>
  <c r="T190" i="1"/>
  <c r="Q191" i="1"/>
  <c r="R191" i="1"/>
  <c r="S191" i="1"/>
  <c r="T191" i="1"/>
  <c r="Q192" i="1"/>
  <c r="R192" i="1"/>
  <c r="S192" i="1"/>
  <c r="T192" i="1"/>
  <c r="Q193" i="1"/>
  <c r="R193" i="1"/>
  <c r="S193" i="1"/>
  <c r="T193" i="1"/>
  <c r="Q194" i="1"/>
  <c r="R194" i="1"/>
  <c r="S194" i="1"/>
  <c r="T194" i="1"/>
  <c r="Q195" i="1"/>
  <c r="R195" i="1"/>
  <c r="S195" i="1"/>
  <c r="T195" i="1"/>
  <c r="Q196" i="1"/>
  <c r="R196" i="1"/>
  <c r="S196" i="1"/>
  <c r="T196" i="1"/>
  <c r="Q197" i="1"/>
  <c r="R197" i="1"/>
  <c r="S197" i="1"/>
  <c r="T197" i="1"/>
  <c r="Q198" i="1"/>
  <c r="R198" i="1"/>
  <c r="S198" i="1"/>
  <c r="T198" i="1"/>
  <c r="Q199" i="1"/>
  <c r="R199" i="1"/>
  <c r="S199" i="1"/>
  <c r="T199" i="1"/>
  <c r="Q200" i="1"/>
  <c r="R200" i="1"/>
  <c r="S200" i="1"/>
  <c r="T200" i="1"/>
  <c r="Q201" i="1"/>
  <c r="R201" i="1"/>
  <c r="S201" i="1"/>
  <c r="T201" i="1"/>
  <c r="Q202" i="1"/>
  <c r="R202" i="1"/>
  <c r="S202" i="1"/>
  <c r="T202" i="1"/>
  <c r="Q203" i="1"/>
  <c r="R203" i="1"/>
  <c r="S203" i="1"/>
  <c r="T203" i="1"/>
  <c r="Q204" i="1"/>
  <c r="R204" i="1"/>
  <c r="S204" i="1"/>
  <c r="T204" i="1"/>
  <c r="Q205" i="1"/>
  <c r="R205" i="1"/>
  <c r="S205" i="1"/>
  <c r="T205" i="1"/>
  <c r="Q206" i="1"/>
  <c r="R206" i="1"/>
  <c r="S206" i="1"/>
  <c r="T206" i="1"/>
  <c r="Q207" i="1"/>
  <c r="R207" i="1"/>
  <c r="S207" i="1"/>
  <c r="T207" i="1"/>
  <c r="Q208" i="1"/>
  <c r="R208" i="1"/>
  <c r="S208" i="1"/>
  <c r="T208" i="1"/>
  <c r="Q209" i="1"/>
  <c r="R209" i="1"/>
  <c r="S209" i="1"/>
  <c r="T209" i="1"/>
  <c r="Q210" i="1"/>
  <c r="R210" i="1"/>
  <c r="S210" i="1"/>
  <c r="T210" i="1"/>
  <c r="Q211" i="1"/>
  <c r="R211" i="1"/>
  <c r="S211" i="1"/>
  <c r="T211" i="1"/>
  <c r="Q212" i="1"/>
  <c r="R212" i="1"/>
  <c r="S212" i="1"/>
  <c r="T212" i="1"/>
  <c r="Q213" i="1"/>
  <c r="R213" i="1"/>
  <c r="S213" i="1"/>
  <c r="T213" i="1"/>
  <c r="Q214" i="1"/>
  <c r="R214" i="1"/>
  <c r="S214" i="1"/>
  <c r="T214" i="1"/>
  <c r="Q215" i="1"/>
  <c r="R215" i="1"/>
  <c r="S215" i="1"/>
  <c r="T215" i="1"/>
  <c r="Q216" i="1"/>
  <c r="R216" i="1"/>
  <c r="S216" i="1"/>
  <c r="T216" i="1"/>
  <c r="Q217" i="1"/>
  <c r="R217" i="1"/>
  <c r="S217" i="1"/>
  <c r="T217" i="1"/>
  <c r="Q218" i="1"/>
  <c r="R218" i="1"/>
  <c r="S218" i="1"/>
  <c r="T218" i="1"/>
  <c r="Q219" i="1"/>
  <c r="R219" i="1"/>
  <c r="S219" i="1"/>
  <c r="T219" i="1"/>
  <c r="Q220" i="1"/>
  <c r="R220" i="1"/>
  <c r="S220" i="1"/>
  <c r="T220" i="1"/>
  <c r="Q221" i="1"/>
  <c r="R221" i="1"/>
  <c r="S221" i="1"/>
  <c r="T221" i="1"/>
  <c r="Q222" i="1"/>
  <c r="R222" i="1"/>
  <c r="S222" i="1"/>
  <c r="T222" i="1"/>
  <c r="Q223" i="1"/>
  <c r="R223" i="1"/>
  <c r="S223" i="1"/>
  <c r="T223" i="1"/>
  <c r="Q224" i="1"/>
  <c r="R224" i="1"/>
  <c r="S224" i="1"/>
  <c r="T224" i="1"/>
  <c r="Q225" i="1"/>
  <c r="R225" i="1"/>
  <c r="S225" i="1"/>
  <c r="T225" i="1"/>
  <c r="Q226" i="1"/>
  <c r="R226" i="1"/>
  <c r="S226" i="1"/>
  <c r="T226" i="1"/>
  <c r="Q227" i="1"/>
  <c r="R227" i="1"/>
  <c r="S227" i="1"/>
  <c r="T227" i="1"/>
  <c r="Q228" i="1"/>
  <c r="R228" i="1"/>
  <c r="S228" i="1"/>
  <c r="T228" i="1"/>
  <c r="Q229" i="1"/>
  <c r="R229" i="1"/>
  <c r="S229" i="1"/>
  <c r="T229" i="1"/>
  <c r="Q230" i="1"/>
  <c r="R230" i="1"/>
  <c r="S230" i="1"/>
  <c r="T230" i="1"/>
  <c r="Q231" i="1"/>
  <c r="R231" i="1"/>
  <c r="S231" i="1"/>
  <c r="T231" i="1"/>
  <c r="Q232" i="1"/>
  <c r="R232" i="1"/>
  <c r="S232" i="1"/>
  <c r="T232" i="1"/>
  <c r="Q233" i="1"/>
  <c r="R233" i="1"/>
  <c r="S233" i="1"/>
  <c r="T233" i="1"/>
  <c r="Q234" i="1"/>
  <c r="R234" i="1"/>
  <c r="S234" i="1"/>
  <c r="T234" i="1"/>
  <c r="Q235" i="1"/>
  <c r="R235" i="1"/>
  <c r="S235" i="1"/>
  <c r="T235" i="1"/>
  <c r="Q236" i="1"/>
  <c r="R236" i="1"/>
  <c r="S236" i="1"/>
  <c r="T236" i="1"/>
  <c r="Q237" i="1"/>
  <c r="R237" i="1"/>
  <c r="S237" i="1"/>
  <c r="T237" i="1"/>
  <c r="Q238" i="1"/>
  <c r="R238" i="1"/>
  <c r="S238" i="1"/>
  <c r="T238" i="1"/>
  <c r="Q239" i="1"/>
  <c r="R239" i="1"/>
  <c r="S239" i="1"/>
  <c r="T239" i="1"/>
  <c r="Q240" i="1"/>
  <c r="R240" i="1"/>
  <c r="S240" i="1"/>
  <c r="T240" i="1"/>
  <c r="Q241" i="1"/>
  <c r="R241" i="1"/>
  <c r="S241" i="1"/>
  <c r="T241" i="1"/>
  <c r="Q242" i="1"/>
  <c r="R242" i="1"/>
  <c r="S242" i="1"/>
  <c r="T242" i="1"/>
  <c r="Q243" i="1"/>
  <c r="R243" i="1"/>
  <c r="S243" i="1"/>
  <c r="T243" i="1"/>
  <c r="Q244" i="1"/>
  <c r="R244" i="1"/>
  <c r="S244" i="1"/>
  <c r="T244" i="1"/>
  <c r="Q245" i="1"/>
  <c r="R245" i="1"/>
  <c r="S245" i="1"/>
  <c r="T245" i="1"/>
  <c r="Q246" i="1"/>
  <c r="R246" i="1"/>
  <c r="S246" i="1"/>
  <c r="T246" i="1"/>
  <c r="Q247" i="1"/>
  <c r="R247" i="1"/>
  <c r="S247" i="1"/>
  <c r="T247" i="1"/>
  <c r="Q248" i="1"/>
  <c r="R248" i="1"/>
  <c r="S248" i="1"/>
  <c r="T248" i="1"/>
  <c r="Q24" i="1"/>
  <c r="R24" i="1"/>
  <c r="S24" i="1"/>
  <c r="T24" i="1"/>
  <c r="U248" i="1" l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E36" i="1"/>
  <c r="E34" i="1"/>
  <c r="E27" i="1"/>
  <c r="E25" i="1"/>
  <c r="E247" i="1"/>
  <c r="E246" i="1"/>
  <c r="E244" i="1"/>
  <c r="E242" i="1"/>
  <c r="E241" i="1"/>
  <c r="E238" i="1"/>
  <c r="E237" i="1"/>
  <c r="E235" i="1"/>
  <c r="E234" i="1"/>
  <c r="E233" i="1"/>
  <c r="E231" i="1"/>
  <c r="E230" i="1"/>
  <c r="E229" i="1"/>
  <c r="E228" i="1"/>
  <c r="E224" i="1"/>
  <c r="E220" i="1"/>
  <c r="E219" i="1"/>
  <c r="E218" i="1"/>
  <c r="E217" i="1"/>
  <c r="E216" i="1"/>
  <c r="E215" i="1"/>
  <c r="E213" i="1"/>
  <c r="E212" i="1"/>
  <c r="E211" i="1"/>
  <c r="E210" i="1"/>
  <c r="E209" i="1"/>
  <c r="E208" i="1"/>
  <c r="E202" i="1"/>
  <c r="E201" i="1"/>
  <c r="E200" i="1"/>
  <c r="E198" i="1"/>
  <c r="E197" i="1"/>
  <c r="E196" i="1"/>
  <c r="E195" i="1"/>
  <c r="E194" i="1"/>
  <c r="E192" i="1"/>
  <c r="E190" i="1"/>
  <c r="E189" i="1"/>
  <c r="E188" i="1"/>
  <c r="E187" i="1"/>
  <c r="E186" i="1"/>
  <c r="E185" i="1"/>
  <c r="E184" i="1"/>
  <c r="E176" i="1"/>
  <c r="E170" i="1"/>
  <c r="E168" i="1"/>
  <c r="E167" i="1"/>
  <c r="E166" i="1"/>
  <c r="E165" i="1"/>
  <c r="E160" i="1"/>
  <c r="E159" i="1"/>
  <c r="E157" i="1"/>
  <c r="E156" i="1"/>
  <c r="E155" i="1"/>
  <c r="E154" i="1"/>
  <c r="E150" i="1"/>
  <c r="E149" i="1"/>
  <c r="E148" i="1"/>
  <c r="E146" i="1"/>
  <c r="E145" i="1"/>
  <c r="E144" i="1"/>
  <c r="E143" i="1"/>
  <c r="E136" i="1"/>
  <c r="E135" i="1"/>
  <c r="E134" i="1"/>
  <c r="E132" i="1"/>
  <c r="E131" i="1"/>
  <c r="E130" i="1"/>
  <c r="E128" i="1"/>
  <c r="E127" i="1"/>
  <c r="E126" i="1"/>
  <c r="E123" i="1"/>
  <c r="E122" i="1"/>
  <c r="E119" i="1"/>
  <c r="E116" i="1"/>
  <c r="E115" i="1"/>
  <c r="E113" i="1"/>
  <c r="E112" i="1"/>
  <c r="E111" i="1"/>
  <c r="E110" i="1"/>
  <c r="E108" i="1"/>
  <c r="E106" i="1"/>
  <c r="E104" i="1"/>
  <c r="E100" i="1"/>
  <c r="E99" i="1"/>
  <c r="E98" i="1"/>
  <c r="E94" i="1"/>
  <c r="E93" i="1"/>
  <c r="E90" i="1"/>
  <c r="E88" i="1"/>
  <c r="E86" i="1"/>
  <c r="E85" i="1"/>
  <c r="E84" i="1"/>
  <c r="E78" i="1"/>
  <c r="E76" i="1"/>
  <c r="E74" i="1"/>
  <c r="E71" i="1"/>
  <c r="E68" i="1"/>
  <c r="E66" i="1"/>
  <c r="E64" i="1"/>
  <c r="E63" i="1"/>
  <c r="E59" i="1"/>
  <c r="E54" i="1"/>
  <c r="E53" i="1"/>
  <c r="E47" i="1"/>
  <c r="E45" i="1"/>
  <c r="E40" i="1"/>
  <c r="E33" i="1"/>
  <c r="E30" i="1"/>
  <c r="E248" i="1"/>
  <c r="E245" i="1"/>
  <c r="E243" i="1"/>
  <c r="E240" i="1"/>
  <c r="E239" i="1"/>
  <c r="E236" i="1"/>
  <c r="E232" i="1"/>
  <c r="E227" i="1"/>
  <c r="E226" i="1"/>
  <c r="E225" i="1"/>
  <c r="E223" i="1"/>
  <c r="E222" i="1"/>
  <c r="E221" i="1"/>
  <c r="E214" i="1"/>
  <c r="E207" i="1"/>
  <c r="E206" i="1"/>
  <c r="E205" i="1"/>
  <c r="E204" i="1"/>
  <c r="E203" i="1"/>
  <c r="E199" i="1"/>
  <c r="E193" i="1"/>
  <c r="E191" i="1"/>
  <c r="E183" i="1"/>
  <c r="E182" i="1"/>
  <c r="E181" i="1"/>
  <c r="E180" i="1"/>
  <c r="E179" i="1"/>
  <c r="E178" i="1"/>
  <c r="E177" i="1"/>
  <c r="E175" i="1"/>
  <c r="E174" i="1"/>
  <c r="E173" i="1"/>
  <c r="E172" i="1"/>
  <c r="E171" i="1"/>
  <c r="E169" i="1"/>
  <c r="E164" i="1"/>
  <c r="E163" i="1"/>
  <c r="E162" i="1"/>
  <c r="E161" i="1"/>
  <c r="E158" i="1"/>
  <c r="E153" i="1"/>
  <c r="E152" i="1"/>
  <c r="E151" i="1"/>
  <c r="E147" i="1"/>
  <c r="E142" i="1"/>
  <c r="E141" i="1"/>
  <c r="E140" i="1"/>
  <c r="E139" i="1"/>
  <c r="E138" i="1"/>
  <c r="E137" i="1"/>
  <c r="E133" i="1"/>
  <c r="E129" i="1"/>
  <c r="E125" i="1"/>
  <c r="E124" i="1"/>
  <c r="E121" i="1"/>
  <c r="E120" i="1"/>
  <c r="E118" i="1"/>
  <c r="E117" i="1"/>
  <c r="E114" i="1"/>
  <c r="E109" i="1"/>
  <c r="E107" i="1"/>
  <c r="E105" i="1"/>
  <c r="E103" i="1"/>
  <c r="E102" i="1"/>
  <c r="E101" i="1"/>
  <c r="E97" i="1"/>
  <c r="E96" i="1"/>
  <c r="E95" i="1"/>
  <c r="E92" i="1"/>
  <c r="E91" i="1"/>
  <c r="E89" i="1"/>
  <c r="E87" i="1"/>
  <c r="E83" i="1"/>
  <c r="E82" i="1"/>
  <c r="E81" i="1"/>
  <c r="E80" i="1"/>
  <c r="E79" i="1"/>
  <c r="E77" i="1"/>
  <c r="E75" i="1"/>
  <c r="E73" i="1"/>
  <c r="E72" i="1"/>
  <c r="E70" i="1"/>
  <c r="E69" i="1"/>
  <c r="E67" i="1"/>
  <c r="E65" i="1"/>
  <c r="E62" i="1"/>
  <c r="E61" i="1"/>
  <c r="E60" i="1"/>
  <c r="E58" i="1"/>
  <c r="E57" i="1"/>
  <c r="E56" i="1"/>
  <c r="E55" i="1"/>
  <c r="E52" i="1"/>
  <c r="E51" i="1"/>
  <c r="E50" i="1"/>
  <c r="E49" i="1"/>
  <c r="E48" i="1"/>
  <c r="E46" i="1"/>
  <c r="E44" i="1"/>
  <c r="E43" i="1"/>
  <c r="E42" i="1"/>
  <c r="E41" i="1"/>
  <c r="E39" i="1"/>
  <c r="E38" i="1"/>
  <c r="E37" i="1"/>
  <c r="E35" i="1"/>
  <c r="E32" i="1"/>
  <c r="E31" i="1"/>
  <c r="E29" i="1"/>
  <c r="E28" i="1"/>
  <c r="E26" i="1"/>
  <c r="E24" i="1"/>
  <c r="G249" i="2" l="1"/>
  <c r="K249" i="2" s="1"/>
  <c r="H248" i="2"/>
  <c r="G248" i="2"/>
  <c r="K248" i="2" s="1"/>
  <c r="G247" i="2"/>
  <c r="K247" i="2" s="1"/>
  <c r="G246" i="2"/>
  <c r="K246" i="2" s="1"/>
  <c r="G245" i="2"/>
  <c r="K245" i="2" s="1"/>
  <c r="H244" i="2"/>
  <c r="G244" i="2"/>
  <c r="K244" i="2" s="1"/>
  <c r="G243" i="2"/>
  <c r="K243" i="2" s="1"/>
  <c r="G242" i="2"/>
  <c r="K242" i="2" s="1"/>
  <c r="G241" i="2"/>
  <c r="K241" i="2" s="1"/>
  <c r="G240" i="2"/>
  <c r="J240" i="2" s="1"/>
  <c r="G239" i="2"/>
  <c r="K239" i="2" s="1"/>
  <c r="G238" i="2"/>
  <c r="J238" i="2" s="1"/>
  <c r="G237" i="2"/>
  <c r="K237" i="2" s="1"/>
  <c r="G236" i="2"/>
  <c r="J236" i="2" s="1"/>
  <c r="G235" i="2"/>
  <c r="K235" i="2" s="1"/>
  <c r="G234" i="2"/>
  <c r="J234" i="2" s="1"/>
  <c r="G233" i="2"/>
  <c r="K233" i="2" s="1"/>
  <c r="G232" i="2"/>
  <c r="J232" i="2" s="1"/>
  <c r="G231" i="2"/>
  <c r="K231" i="2" s="1"/>
  <c r="G230" i="2"/>
  <c r="J230" i="2" s="1"/>
  <c r="G229" i="2"/>
  <c r="K229" i="2" s="1"/>
  <c r="G228" i="2"/>
  <c r="J228" i="2" s="1"/>
  <c r="J227" i="2"/>
  <c r="H227" i="2"/>
  <c r="G227" i="2"/>
  <c r="K227" i="2" s="1"/>
  <c r="G226" i="2"/>
  <c r="J226" i="2" s="1"/>
  <c r="J225" i="2"/>
  <c r="G225" i="2"/>
  <c r="K225" i="2" s="1"/>
  <c r="G224" i="2"/>
  <c r="J224" i="2" s="1"/>
  <c r="G223" i="2"/>
  <c r="K223" i="2" s="1"/>
  <c r="G222" i="2"/>
  <c r="J222" i="2" s="1"/>
  <c r="G221" i="2"/>
  <c r="K221" i="2" s="1"/>
  <c r="G220" i="2"/>
  <c r="J220" i="2" s="1"/>
  <c r="G219" i="2"/>
  <c r="K219" i="2" s="1"/>
  <c r="G218" i="2"/>
  <c r="J218" i="2" s="1"/>
  <c r="G217" i="2"/>
  <c r="K217" i="2" s="1"/>
  <c r="G216" i="2"/>
  <c r="J216" i="2" s="1"/>
  <c r="G215" i="2"/>
  <c r="K215" i="2" s="1"/>
  <c r="G214" i="2"/>
  <c r="J214" i="2" s="1"/>
  <c r="G213" i="2"/>
  <c r="K213" i="2" s="1"/>
  <c r="G212" i="2"/>
  <c r="J212" i="2" s="1"/>
  <c r="G211" i="2"/>
  <c r="I211" i="2" s="1"/>
  <c r="G210" i="2"/>
  <c r="K210" i="2" s="1"/>
  <c r="G209" i="2"/>
  <c r="K209" i="2" s="1"/>
  <c r="J208" i="2"/>
  <c r="G208" i="2"/>
  <c r="K208" i="2" s="1"/>
  <c r="G207" i="2"/>
  <c r="K207" i="2" s="1"/>
  <c r="G206" i="2"/>
  <c r="K206" i="2" s="1"/>
  <c r="G205" i="2"/>
  <c r="K205" i="2" s="1"/>
  <c r="G204" i="2"/>
  <c r="K204" i="2" s="1"/>
  <c r="G203" i="2"/>
  <c r="K203" i="2" s="1"/>
  <c r="G202" i="2"/>
  <c r="K202" i="2" s="1"/>
  <c r="G201" i="2"/>
  <c r="K201" i="2" s="1"/>
  <c r="G200" i="2"/>
  <c r="K200" i="2" s="1"/>
  <c r="G199" i="2"/>
  <c r="K199" i="2" s="1"/>
  <c r="G198" i="2"/>
  <c r="K198" i="2" s="1"/>
  <c r="G197" i="2"/>
  <c r="K197" i="2" s="1"/>
  <c r="G196" i="2"/>
  <c r="K196" i="2" s="1"/>
  <c r="G195" i="2"/>
  <c r="K195" i="2" s="1"/>
  <c r="G194" i="2"/>
  <c r="K194" i="2" s="1"/>
  <c r="G193" i="2"/>
  <c r="K193" i="2" s="1"/>
  <c r="G192" i="2"/>
  <c r="J192" i="2" s="1"/>
  <c r="G191" i="2"/>
  <c r="K191" i="2" s="1"/>
  <c r="G190" i="2"/>
  <c r="J190" i="2" s="1"/>
  <c r="G189" i="2"/>
  <c r="K189" i="2" s="1"/>
  <c r="G188" i="2"/>
  <c r="J188" i="2" s="1"/>
  <c r="G187" i="2"/>
  <c r="K187" i="2" s="1"/>
  <c r="G186" i="2"/>
  <c r="J186" i="2" s="1"/>
  <c r="G185" i="2"/>
  <c r="K185" i="2" s="1"/>
  <c r="G184" i="2"/>
  <c r="J184" i="2" s="1"/>
  <c r="G183" i="2"/>
  <c r="K183" i="2" s="1"/>
  <c r="G182" i="2"/>
  <c r="J182" i="2" s="1"/>
  <c r="G181" i="2"/>
  <c r="K181" i="2" s="1"/>
  <c r="G180" i="2"/>
  <c r="J180" i="2" s="1"/>
  <c r="G179" i="2"/>
  <c r="K179" i="2" s="1"/>
  <c r="G178" i="2"/>
  <c r="J178" i="2" s="1"/>
  <c r="G177" i="2"/>
  <c r="K177" i="2" s="1"/>
  <c r="G176" i="2"/>
  <c r="J176" i="2" s="1"/>
  <c r="G175" i="2"/>
  <c r="K175" i="2" s="1"/>
  <c r="G174" i="2"/>
  <c r="J174" i="2" s="1"/>
  <c r="H173" i="2"/>
  <c r="G173" i="2"/>
  <c r="K173" i="2" s="1"/>
  <c r="G172" i="2"/>
  <c r="J172" i="2" s="1"/>
  <c r="G171" i="2"/>
  <c r="K171" i="2" s="1"/>
  <c r="G170" i="2"/>
  <c r="K170" i="2" s="1"/>
  <c r="G169" i="2"/>
  <c r="J169" i="2" s="1"/>
  <c r="G168" i="2"/>
  <c r="K168" i="2" s="1"/>
  <c r="G167" i="2"/>
  <c r="J167" i="2" s="1"/>
  <c r="G166" i="2"/>
  <c r="K166" i="2" s="1"/>
  <c r="G165" i="2"/>
  <c r="J165" i="2" s="1"/>
  <c r="G164" i="2"/>
  <c r="K164" i="2" s="1"/>
  <c r="G163" i="2"/>
  <c r="J163" i="2" s="1"/>
  <c r="H162" i="2"/>
  <c r="G162" i="2"/>
  <c r="K162" i="2" s="1"/>
  <c r="G161" i="2"/>
  <c r="J161" i="2" s="1"/>
  <c r="G160" i="2"/>
  <c r="K160" i="2" s="1"/>
  <c r="G159" i="2"/>
  <c r="J159" i="2" s="1"/>
  <c r="G158" i="2"/>
  <c r="K158" i="2" s="1"/>
  <c r="G157" i="2"/>
  <c r="J157" i="2" s="1"/>
  <c r="G156" i="2"/>
  <c r="K156" i="2" s="1"/>
  <c r="G155" i="2"/>
  <c r="J155" i="2" s="1"/>
  <c r="G154" i="2"/>
  <c r="K154" i="2" s="1"/>
  <c r="G153" i="2"/>
  <c r="J153" i="2" s="1"/>
  <c r="G152" i="2"/>
  <c r="K152" i="2" s="1"/>
  <c r="G151" i="2"/>
  <c r="J151" i="2" s="1"/>
  <c r="G150" i="2"/>
  <c r="K150" i="2" s="1"/>
  <c r="G149" i="2"/>
  <c r="J149" i="2" s="1"/>
  <c r="G148" i="2"/>
  <c r="K148" i="2" s="1"/>
  <c r="G147" i="2"/>
  <c r="J147" i="2" s="1"/>
  <c r="G146" i="2"/>
  <c r="K146" i="2" s="1"/>
  <c r="G145" i="2"/>
  <c r="J145" i="2" s="1"/>
  <c r="G144" i="2"/>
  <c r="K144" i="2" s="1"/>
  <c r="G143" i="2"/>
  <c r="J143" i="2" s="1"/>
  <c r="G142" i="2"/>
  <c r="K142" i="2" s="1"/>
  <c r="G141" i="2"/>
  <c r="J141" i="2" s="1"/>
  <c r="G140" i="2"/>
  <c r="K140" i="2" s="1"/>
  <c r="G139" i="2"/>
  <c r="J139" i="2" s="1"/>
  <c r="G138" i="2"/>
  <c r="K138" i="2" s="1"/>
  <c r="G137" i="2"/>
  <c r="J137" i="2" s="1"/>
  <c r="G136" i="2"/>
  <c r="H136" i="2" s="1"/>
  <c r="G135" i="2"/>
  <c r="K135" i="2" s="1"/>
  <c r="G134" i="2"/>
  <c r="K134" i="2" s="1"/>
  <c r="G133" i="2"/>
  <c r="K133" i="2" s="1"/>
  <c r="G132" i="2"/>
  <c r="K132" i="2" s="1"/>
  <c r="G131" i="2"/>
  <c r="J131" i="2" s="1"/>
  <c r="G130" i="2"/>
  <c r="K130" i="2" s="1"/>
  <c r="G129" i="2"/>
  <c r="J129" i="2" s="1"/>
  <c r="G128" i="2"/>
  <c r="K128" i="2" s="1"/>
  <c r="G127" i="2"/>
  <c r="J127" i="2" s="1"/>
  <c r="G126" i="2"/>
  <c r="K126" i="2" s="1"/>
  <c r="G125" i="2"/>
  <c r="J125" i="2" s="1"/>
  <c r="G124" i="2"/>
  <c r="K124" i="2" s="1"/>
  <c r="G123" i="2"/>
  <c r="J123" i="2" s="1"/>
  <c r="G122" i="2"/>
  <c r="K122" i="2" s="1"/>
  <c r="G121" i="2"/>
  <c r="J121" i="2" s="1"/>
  <c r="G120" i="2"/>
  <c r="K120" i="2" s="1"/>
  <c r="G119" i="2"/>
  <c r="J119" i="2" s="1"/>
  <c r="G118" i="2"/>
  <c r="K118" i="2" s="1"/>
  <c r="G117" i="2"/>
  <c r="J117" i="2" s="1"/>
  <c r="G116" i="2"/>
  <c r="K116" i="2" s="1"/>
  <c r="G115" i="2"/>
  <c r="J115" i="2" s="1"/>
  <c r="G114" i="2"/>
  <c r="K114" i="2" s="1"/>
  <c r="G113" i="2"/>
  <c r="J113" i="2" s="1"/>
  <c r="G112" i="2"/>
  <c r="K112" i="2" s="1"/>
  <c r="G111" i="2"/>
  <c r="J111" i="2" s="1"/>
  <c r="G110" i="2"/>
  <c r="K110" i="2" s="1"/>
  <c r="G109" i="2"/>
  <c r="J109" i="2" s="1"/>
  <c r="G108" i="2"/>
  <c r="K108" i="2" s="1"/>
  <c r="G107" i="2"/>
  <c r="J107" i="2" s="1"/>
  <c r="G106" i="2"/>
  <c r="K106" i="2" s="1"/>
  <c r="G105" i="2"/>
  <c r="J105" i="2" s="1"/>
  <c r="G104" i="2"/>
  <c r="K104" i="2" s="1"/>
  <c r="G103" i="2"/>
  <c r="J103" i="2" s="1"/>
  <c r="G102" i="2"/>
  <c r="K102" i="2" s="1"/>
  <c r="G101" i="2"/>
  <c r="J101" i="2" s="1"/>
  <c r="G100" i="2"/>
  <c r="K100" i="2" s="1"/>
  <c r="G99" i="2"/>
  <c r="J99" i="2" s="1"/>
  <c r="G98" i="2"/>
  <c r="K98" i="2" s="1"/>
  <c r="G97" i="2"/>
  <c r="J97" i="2" s="1"/>
  <c r="G96" i="2"/>
  <c r="K96" i="2" s="1"/>
  <c r="G95" i="2"/>
  <c r="J95" i="2" s="1"/>
  <c r="G94" i="2"/>
  <c r="K94" i="2" s="1"/>
  <c r="G93" i="2"/>
  <c r="J93" i="2" s="1"/>
  <c r="G92" i="2"/>
  <c r="K92" i="2" s="1"/>
  <c r="G91" i="2"/>
  <c r="J91" i="2" s="1"/>
  <c r="G90" i="2"/>
  <c r="K90" i="2" s="1"/>
  <c r="G89" i="2"/>
  <c r="J89" i="2" s="1"/>
  <c r="G88" i="2"/>
  <c r="K88" i="2" s="1"/>
  <c r="G87" i="2"/>
  <c r="J87" i="2" s="1"/>
  <c r="G86" i="2"/>
  <c r="K86" i="2" s="1"/>
  <c r="G85" i="2"/>
  <c r="J85" i="2" s="1"/>
  <c r="G84" i="2"/>
  <c r="K84" i="2" s="1"/>
  <c r="G83" i="2"/>
  <c r="J83" i="2" s="1"/>
  <c r="G82" i="2"/>
  <c r="K82" i="2" s="1"/>
  <c r="G81" i="2"/>
  <c r="J81" i="2" s="1"/>
  <c r="G80" i="2"/>
  <c r="K80" i="2" s="1"/>
  <c r="G79" i="2"/>
  <c r="J79" i="2" s="1"/>
  <c r="G78" i="2"/>
  <c r="K78" i="2" s="1"/>
  <c r="G77" i="2"/>
  <c r="J77" i="2" s="1"/>
  <c r="G76" i="2"/>
  <c r="K76" i="2" s="1"/>
  <c r="G75" i="2"/>
  <c r="J75" i="2" s="1"/>
  <c r="G74" i="2"/>
  <c r="K74" i="2" s="1"/>
  <c r="G73" i="2"/>
  <c r="J73" i="2" s="1"/>
  <c r="G72" i="2"/>
  <c r="K72" i="2" s="1"/>
  <c r="G71" i="2"/>
  <c r="J71" i="2" s="1"/>
  <c r="G70" i="2"/>
  <c r="K70" i="2" s="1"/>
  <c r="G69" i="2"/>
  <c r="J69" i="2" s="1"/>
  <c r="G68" i="2"/>
  <c r="K68" i="2" s="1"/>
  <c r="G67" i="2"/>
  <c r="J67" i="2" s="1"/>
  <c r="G66" i="2"/>
  <c r="K66" i="2" s="1"/>
  <c r="G65" i="2"/>
  <c r="J65" i="2" s="1"/>
  <c r="G64" i="2"/>
  <c r="K64" i="2" s="1"/>
  <c r="G63" i="2"/>
  <c r="J63" i="2" s="1"/>
  <c r="G62" i="2"/>
  <c r="K62" i="2" s="1"/>
  <c r="G61" i="2"/>
  <c r="J61" i="2" s="1"/>
  <c r="G60" i="2"/>
  <c r="K60" i="2" s="1"/>
  <c r="G59" i="2"/>
  <c r="J59" i="2" s="1"/>
  <c r="G58" i="2"/>
  <c r="K58" i="2" s="1"/>
  <c r="G57" i="2"/>
  <c r="J57" i="2" s="1"/>
  <c r="G56" i="2"/>
  <c r="H55" i="2"/>
  <c r="G55" i="2"/>
  <c r="K55" i="2" s="1"/>
  <c r="G54" i="2"/>
  <c r="J54" i="2" s="1"/>
  <c r="G53" i="2"/>
  <c r="K53" i="2" s="1"/>
  <c r="G52" i="2"/>
  <c r="J52" i="2" s="1"/>
  <c r="G51" i="2"/>
  <c r="K51" i="2" s="1"/>
  <c r="G50" i="2"/>
  <c r="J50" i="2" s="1"/>
  <c r="G49" i="2"/>
  <c r="K49" i="2" s="1"/>
  <c r="G48" i="2"/>
  <c r="J48" i="2" s="1"/>
  <c r="G47" i="2"/>
  <c r="K47" i="2" s="1"/>
  <c r="G46" i="2"/>
  <c r="J46" i="2" s="1"/>
  <c r="G45" i="2"/>
  <c r="K45" i="2" s="1"/>
  <c r="G44" i="2"/>
  <c r="J44" i="2" s="1"/>
  <c r="G43" i="2"/>
  <c r="K43" i="2" s="1"/>
  <c r="G42" i="2"/>
  <c r="J42" i="2" s="1"/>
  <c r="G41" i="2"/>
  <c r="K41" i="2" s="1"/>
  <c r="G40" i="2"/>
  <c r="J40" i="2" s="1"/>
  <c r="G39" i="2"/>
  <c r="K39" i="2" s="1"/>
  <c r="G38" i="2"/>
  <c r="J38" i="2" s="1"/>
  <c r="G37" i="2"/>
  <c r="K37" i="2" s="1"/>
  <c r="G36" i="2"/>
  <c r="J36" i="2" s="1"/>
  <c r="G35" i="2"/>
  <c r="K35" i="2" s="1"/>
  <c r="G34" i="2"/>
  <c r="J34" i="2" s="1"/>
  <c r="G33" i="2"/>
  <c r="K33" i="2" s="1"/>
  <c r="G32" i="2"/>
  <c r="J32" i="2" s="1"/>
  <c r="G31" i="2"/>
  <c r="K31" i="2" s="1"/>
  <c r="G30" i="2"/>
  <c r="J30" i="2" s="1"/>
  <c r="G29" i="2"/>
  <c r="K29" i="2" s="1"/>
  <c r="G28" i="2"/>
  <c r="J28" i="2" s="1"/>
  <c r="G27" i="2"/>
  <c r="K27" i="2" s="1"/>
  <c r="G26" i="2"/>
  <c r="J26" i="2" s="1"/>
  <c r="G25" i="2"/>
  <c r="K25" i="2" s="1"/>
  <c r="G24" i="2"/>
  <c r="J24" i="2" s="1"/>
  <c r="G23" i="2"/>
  <c r="K23" i="2" s="1"/>
  <c r="G22" i="2"/>
  <c r="J22" i="2" s="1"/>
  <c r="G21" i="2"/>
  <c r="K21" i="2" s="1"/>
  <c r="G20" i="2"/>
  <c r="J20" i="2" s="1"/>
  <c r="G19" i="2"/>
  <c r="K19" i="2" s="1"/>
  <c r="G18" i="2"/>
  <c r="J18" i="2" s="1"/>
  <c r="G17" i="2"/>
  <c r="K17" i="2" s="1"/>
  <c r="G16" i="2"/>
  <c r="J16" i="2" s="1"/>
  <c r="G15" i="2"/>
  <c r="K15" i="2" s="1"/>
  <c r="G14" i="2"/>
  <c r="J14" i="2" s="1"/>
  <c r="G13" i="2"/>
  <c r="K13" i="2" s="1"/>
  <c r="G12" i="2"/>
  <c r="J12" i="2" s="1"/>
  <c r="G11" i="2"/>
  <c r="K11" i="2" s="1"/>
  <c r="G10" i="2"/>
  <c r="J10" i="2" s="1"/>
  <c r="G9" i="2"/>
  <c r="K9" i="2" s="1"/>
  <c r="G8" i="2"/>
  <c r="J8" i="2" s="1"/>
  <c r="G7" i="2"/>
  <c r="K7" i="2" s="1"/>
  <c r="G6" i="2"/>
  <c r="J6" i="2" s="1"/>
  <c r="G5" i="2"/>
  <c r="K5" i="2" s="1"/>
  <c r="H135" i="2" l="1"/>
  <c r="H164" i="2"/>
  <c r="H168" i="2"/>
  <c r="H194" i="2"/>
  <c r="H198" i="2"/>
  <c r="H202" i="2"/>
  <c r="H206" i="2"/>
  <c r="H210" i="2"/>
  <c r="J242" i="2"/>
  <c r="J246" i="2"/>
  <c r="H246" i="2"/>
  <c r="H131" i="2"/>
  <c r="J135" i="2"/>
  <c r="J164" i="2"/>
  <c r="J168" i="2"/>
  <c r="J194" i="2"/>
  <c r="J198" i="2"/>
  <c r="J202" i="2"/>
  <c r="J206" i="2"/>
  <c r="J210" i="2"/>
  <c r="H225" i="2"/>
  <c r="H171" i="2"/>
  <c r="H242" i="2"/>
  <c r="H223" i="2"/>
  <c r="J55" i="2"/>
  <c r="H133" i="2"/>
  <c r="H166" i="2"/>
  <c r="H170" i="2"/>
  <c r="H196" i="2"/>
  <c r="H200" i="2"/>
  <c r="H204" i="2"/>
  <c r="H208" i="2"/>
  <c r="J244" i="2"/>
  <c r="J248" i="2"/>
  <c r="J133" i="2"/>
  <c r="J166" i="2"/>
  <c r="J170" i="2"/>
  <c r="J196" i="2"/>
  <c r="J200" i="2"/>
  <c r="J204" i="2"/>
  <c r="H5" i="2"/>
  <c r="J5" i="2"/>
  <c r="I6" i="2"/>
  <c r="K6" i="2"/>
  <c r="H7" i="2"/>
  <c r="J7" i="2"/>
  <c r="I8" i="2"/>
  <c r="K8" i="2"/>
  <c r="H9" i="2"/>
  <c r="J9" i="2"/>
  <c r="I10" i="2"/>
  <c r="K10" i="2"/>
  <c r="H11" i="2"/>
  <c r="J11" i="2"/>
  <c r="I12" i="2"/>
  <c r="K12" i="2"/>
  <c r="H13" i="2"/>
  <c r="J13" i="2"/>
  <c r="I14" i="2"/>
  <c r="K14" i="2"/>
  <c r="H15" i="2"/>
  <c r="J15" i="2"/>
  <c r="I16" i="2"/>
  <c r="K16" i="2"/>
  <c r="H17" i="2"/>
  <c r="J17" i="2"/>
  <c r="I18" i="2"/>
  <c r="K18" i="2"/>
  <c r="H19" i="2"/>
  <c r="J19" i="2"/>
  <c r="I20" i="2"/>
  <c r="K20" i="2"/>
  <c r="H21" i="2"/>
  <c r="J21" i="2"/>
  <c r="I22" i="2"/>
  <c r="K22" i="2"/>
  <c r="H23" i="2"/>
  <c r="J23" i="2"/>
  <c r="I24" i="2"/>
  <c r="K24" i="2"/>
  <c r="H25" i="2"/>
  <c r="J25" i="2"/>
  <c r="I26" i="2"/>
  <c r="K26" i="2"/>
  <c r="H27" i="2"/>
  <c r="J27" i="2"/>
  <c r="I28" i="2"/>
  <c r="K28" i="2"/>
  <c r="H29" i="2"/>
  <c r="J29" i="2"/>
  <c r="I30" i="2"/>
  <c r="K30" i="2"/>
  <c r="H31" i="2"/>
  <c r="J31" i="2"/>
  <c r="I32" i="2"/>
  <c r="K32" i="2"/>
  <c r="H33" i="2"/>
  <c r="J33" i="2"/>
  <c r="I34" i="2"/>
  <c r="K34" i="2"/>
  <c r="H35" i="2"/>
  <c r="J35" i="2"/>
  <c r="I36" i="2"/>
  <c r="K36" i="2"/>
  <c r="H37" i="2"/>
  <c r="J37" i="2"/>
  <c r="I38" i="2"/>
  <c r="K38" i="2"/>
  <c r="H39" i="2"/>
  <c r="J39" i="2"/>
  <c r="I40" i="2"/>
  <c r="K40" i="2"/>
  <c r="H41" i="2"/>
  <c r="J41" i="2"/>
  <c r="I42" i="2"/>
  <c r="K42" i="2"/>
  <c r="H43" i="2"/>
  <c r="J43" i="2"/>
  <c r="I44" i="2"/>
  <c r="K44" i="2"/>
  <c r="H45" i="2"/>
  <c r="J45" i="2"/>
  <c r="I46" i="2"/>
  <c r="K46" i="2"/>
  <c r="H47" i="2"/>
  <c r="J47" i="2"/>
  <c r="I48" i="2"/>
  <c r="K48" i="2"/>
  <c r="H49" i="2"/>
  <c r="J49" i="2"/>
  <c r="I50" i="2"/>
  <c r="K50" i="2"/>
  <c r="H51" i="2"/>
  <c r="J51" i="2"/>
  <c r="I52" i="2"/>
  <c r="K52" i="2"/>
  <c r="H53" i="2"/>
  <c r="J53" i="2"/>
  <c r="I54" i="2"/>
  <c r="K54" i="2"/>
  <c r="K56" i="2"/>
  <c r="I56" i="2"/>
  <c r="J56" i="2"/>
  <c r="I5" i="2"/>
  <c r="H6" i="2"/>
  <c r="I7" i="2"/>
  <c r="H8" i="2"/>
  <c r="I9" i="2"/>
  <c r="H10" i="2"/>
  <c r="I11" i="2"/>
  <c r="H12" i="2"/>
  <c r="I13" i="2"/>
  <c r="H14" i="2"/>
  <c r="I15" i="2"/>
  <c r="H16" i="2"/>
  <c r="I17" i="2"/>
  <c r="H18" i="2"/>
  <c r="I19" i="2"/>
  <c r="H20" i="2"/>
  <c r="I21" i="2"/>
  <c r="H22" i="2"/>
  <c r="I23" i="2"/>
  <c r="H24" i="2"/>
  <c r="I25" i="2"/>
  <c r="H26" i="2"/>
  <c r="I27" i="2"/>
  <c r="H28" i="2"/>
  <c r="I29" i="2"/>
  <c r="H30" i="2"/>
  <c r="I31" i="2"/>
  <c r="H32" i="2"/>
  <c r="I33" i="2"/>
  <c r="H34" i="2"/>
  <c r="I35" i="2"/>
  <c r="H36" i="2"/>
  <c r="I37" i="2"/>
  <c r="H38" i="2"/>
  <c r="I39" i="2"/>
  <c r="H40" i="2"/>
  <c r="I41" i="2"/>
  <c r="H42" i="2"/>
  <c r="I43" i="2"/>
  <c r="H44" i="2"/>
  <c r="I45" i="2"/>
  <c r="H46" i="2"/>
  <c r="I47" i="2"/>
  <c r="H48" i="2"/>
  <c r="I49" i="2"/>
  <c r="H50" i="2"/>
  <c r="I51" i="2"/>
  <c r="H52" i="2"/>
  <c r="I53" i="2"/>
  <c r="H54" i="2"/>
  <c r="I55" i="2"/>
  <c r="H56" i="2"/>
  <c r="I57" i="2"/>
  <c r="K57" i="2"/>
  <c r="H58" i="2"/>
  <c r="J58" i="2"/>
  <c r="I59" i="2"/>
  <c r="K59" i="2"/>
  <c r="H60" i="2"/>
  <c r="J60" i="2"/>
  <c r="I61" i="2"/>
  <c r="K61" i="2"/>
  <c r="H62" i="2"/>
  <c r="J62" i="2"/>
  <c r="I63" i="2"/>
  <c r="K63" i="2"/>
  <c r="H64" i="2"/>
  <c r="J64" i="2"/>
  <c r="I65" i="2"/>
  <c r="K65" i="2"/>
  <c r="H66" i="2"/>
  <c r="J66" i="2"/>
  <c r="I67" i="2"/>
  <c r="K67" i="2"/>
  <c r="H68" i="2"/>
  <c r="J68" i="2"/>
  <c r="I69" i="2"/>
  <c r="K69" i="2"/>
  <c r="H70" i="2"/>
  <c r="J70" i="2"/>
  <c r="I71" i="2"/>
  <c r="K71" i="2"/>
  <c r="H72" i="2"/>
  <c r="J72" i="2"/>
  <c r="I73" i="2"/>
  <c r="K73" i="2"/>
  <c r="H74" i="2"/>
  <c r="J74" i="2"/>
  <c r="I75" i="2"/>
  <c r="K75" i="2"/>
  <c r="H76" i="2"/>
  <c r="J76" i="2"/>
  <c r="I77" i="2"/>
  <c r="K77" i="2"/>
  <c r="H78" i="2"/>
  <c r="J78" i="2"/>
  <c r="I79" i="2"/>
  <c r="K79" i="2"/>
  <c r="H80" i="2"/>
  <c r="J80" i="2"/>
  <c r="I81" i="2"/>
  <c r="K81" i="2"/>
  <c r="H82" i="2"/>
  <c r="J82" i="2"/>
  <c r="I83" i="2"/>
  <c r="K83" i="2"/>
  <c r="H84" i="2"/>
  <c r="J84" i="2"/>
  <c r="I85" i="2"/>
  <c r="K85" i="2"/>
  <c r="H86" i="2"/>
  <c r="J86" i="2"/>
  <c r="I87" i="2"/>
  <c r="K87" i="2"/>
  <c r="H88" i="2"/>
  <c r="J88" i="2"/>
  <c r="I89" i="2"/>
  <c r="K89" i="2"/>
  <c r="H90" i="2"/>
  <c r="J90" i="2"/>
  <c r="I91" i="2"/>
  <c r="K91" i="2"/>
  <c r="H92" i="2"/>
  <c r="J92" i="2"/>
  <c r="I93" i="2"/>
  <c r="K93" i="2"/>
  <c r="H94" i="2"/>
  <c r="J94" i="2"/>
  <c r="I95" i="2"/>
  <c r="K95" i="2"/>
  <c r="H96" i="2"/>
  <c r="J96" i="2"/>
  <c r="I97" i="2"/>
  <c r="K97" i="2"/>
  <c r="H98" i="2"/>
  <c r="J98" i="2"/>
  <c r="I99" i="2"/>
  <c r="K99" i="2"/>
  <c r="H100" i="2"/>
  <c r="J100" i="2"/>
  <c r="I101" i="2"/>
  <c r="K101" i="2"/>
  <c r="H102" i="2"/>
  <c r="J102" i="2"/>
  <c r="I103" i="2"/>
  <c r="K103" i="2"/>
  <c r="H104" i="2"/>
  <c r="J104" i="2"/>
  <c r="I105" i="2"/>
  <c r="K105" i="2"/>
  <c r="H106" i="2"/>
  <c r="J106" i="2"/>
  <c r="I107" i="2"/>
  <c r="K107" i="2"/>
  <c r="H108" i="2"/>
  <c r="J108" i="2"/>
  <c r="I109" i="2"/>
  <c r="K109" i="2"/>
  <c r="H110" i="2"/>
  <c r="J110" i="2"/>
  <c r="I111" i="2"/>
  <c r="K111" i="2"/>
  <c r="H112" i="2"/>
  <c r="J112" i="2"/>
  <c r="I113" i="2"/>
  <c r="K113" i="2"/>
  <c r="H114" i="2"/>
  <c r="J114" i="2"/>
  <c r="I115" i="2"/>
  <c r="K115" i="2"/>
  <c r="H116" i="2"/>
  <c r="J116" i="2"/>
  <c r="I117" i="2"/>
  <c r="K117" i="2"/>
  <c r="H118" i="2"/>
  <c r="J118" i="2"/>
  <c r="I119" i="2"/>
  <c r="K119" i="2"/>
  <c r="H120" i="2"/>
  <c r="J120" i="2"/>
  <c r="I121" i="2"/>
  <c r="K121" i="2"/>
  <c r="H122" i="2"/>
  <c r="J122" i="2"/>
  <c r="I123" i="2"/>
  <c r="K123" i="2"/>
  <c r="H124" i="2"/>
  <c r="J124" i="2"/>
  <c r="I125" i="2"/>
  <c r="K125" i="2"/>
  <c r="H126" i="2"/>
  <c r="J126" i="2"/>
  <c r="I127" i="2"/>
  <c r="K127" i="2"/>
  <c r="H128" i="2"/>
  <c r="J128" i="2"/>
  <c r="I129" i="2"/>
  <c r="K129" i="2"/>
  <c r="H130" i="2"/>
  <c r="J130" i="2"/>
  <c r="I131" i="2"/>
  <c r="K131" i="2"/>
  <c r="H132" i="2"/>
  <c r="J132" i="2"/>
  <c r="I133" i="2"/>
  <c r="H134" i="2"/>
  <c r="J134" i="2"/>
  <c r="I135" i="2"/>
  <c r="H57" i="2"/>
  <c r="I58" i="2"/>
  <c r="H59" i="2"/>
  <c r="I60" i="2"/>
  <c r="H61" i="2"/>
  <c r="I62" i="2"/>
  <c r="H63" i="2"/>
  <c r="I64" i="2"/>
  <c r="H65" i="2"/>
  <c r="I66" i="2"/>
  <c r="H67" i="2"/>
  <c r="I68" i="2"/>
  <c r="H69" i="2"/>
  <c r="I70" i="2"/>
  <c r="H71" i="2"/>
  <c r="I72" i="2"/>
  <c r="H73" i="2"/>
  <c r="I74" i="2"/>
  <c r="H75" i="2"/>
  <c r="I76" i="2"/>
  <c r="H77" i="2"/>
  <c r="I78" i="2"/>
  <c r="H79" i="2"/>
  <c r="I80" i="2"/>
  <c r="H81" i="2"/>
  <c r="I82" i="2"/>
  <c r="H83" i="2"/>
  <c r="I84" i="2"/>
  <c r="H85" i="2"/>
  <c r="I86" i="2"/>
  <c r="H87" i="2"/>
  <c r="I88" i="2"/>
  <c r="H89" i="2"/>
  <c r="I90" i="2"/>
  <c r="H91" i="2"/>
  <c r="I92" i="2"/>
  <c r="H93" i="2"/>
  <c r="I94" i="2"/>
  <c r="H95" i="2"/>
  <c r="I96" i="2"/>
  <c r="H97" i="2"/>
  <c r="I98" i="2"/>
  <c r="H99" i="2"/>
  <c r="I100" i="2"/>
  <c r="H101" i="2"/>
  <c r="I102" i="2"/>
  <c r="H103" i="2"/>
  <c r="I104" i="2"/>
  <c r="H105" i="2"/>
  <c r="I106" i="2"/>
  <c r="H107" i="2"/>
  <c r="I108" i="2"/>
  <c r="H109" i="2"/>
  <c r="I110" i="2"/>
  <c r="H111" i="2"/>
  <c r="I112" i="2"/>
  <c r="H113" i="2"/>
  <c r="I114" i="2"/>
  <c r="H115" i="2"/>
  <c r="I116" i="2"/>
  <c r="H117" i="2"/>
  <c r="I118" i="2"/>
  <c r="H119" i="2"/>
  <c r="I120" i="2"/>
  <c r="H121" i="2"/>
  <c r="I122" i="2"/>
  <c r="H123" i="2"/>
  <c r="I124" i="2"/>
  <c r="H125" i="2"/>
  <c r="I126" i="2"/>
  <c r="H127" i="2"/>
  <c r="I128" i="2"/>
  <c r="H129" i="2"/>
  <c r="I130" i="2"/>
  <c r="I132" i="2"/>
  <c r="I134" i="2"/>
  <c r="K136" i="2"/>
  <c r="I136" i="2"/>
  <c r="J136" i="2"/>
  <c r="I137" i="2"/>
  <c r="K137" i="2"/>
  <c r="H138" i="2"/>
  <c r="J138" i="2"/>
  <c r="I139" i="2"/>
  <c r="K139" i="2"/>
  <c r="H140" i="2"/>
  <c r="J140" i="2"/>
  <c r="I141" i="2"/>
  <c r="K141" i="2"/>
  <c r="H142" i="2"/>
  <c r="J142" i="2"/>
  <c r="I143" i="2"/>
  <c r="K143" i="2"/>
  <c r="H144" i="2"/>
  <c r="J144" i="2"/>
  <c r="I145" i="2"/>
  <c r="K145" i="2"/>
  <c r="H146" i="2"/>
  <c r="J146" i="2"/>
  <c r="I147" i="2"/>
  <c r="K147" i="2"/>
  <c r="H148" i="2"/>
  <c r="J148" i="2"/>
  <c r="I149" i="2"/>
  <c r="K149" i="2"/>
  <c r="H150" i="2"/>
  <c r="J150" i="2"/>
  <c r="I151" i="2"/>
  <c r="K151" i="2"/>
  <c r="H152" i="2"/>
  <c r="J152" i="2"/>
  <c r="I153" i="2"/>
  <c r="K153" i="2"/>
  <c r="H154" i="2"/>
  <c r="J154" i="2"/>
  <c r="I155" i="2"/>
  <c r="K155" i="2"/>
  <c r="H156" i="2"/>
  <c r="J156" i="2"/>
  <c r="I157" i="2"/>
  <c r="K157" i="2"/>
  <c r="H158" i="2"/>
  <c r="J158" i="2"/>
  <c r="I159" i="2"/>
  <c r="K159" i="2"/>
  <c r="H160" i="2"/>
  <c r="J160" i="2"/>
  <c r="I161" i="2"/>
  <c r="K161" i="2"/>
  <c r="J162" i="2"/>
  <c r="I163" i="2"/>
  <c r="K163" i="2"/>
  <c r="I165" i="2"/>
  <c r="K165" i="2"/>
  <c r="I167" i="2"/>
  <c r="K167" i="2"/>
  <c r="I169" i="2"/>
  <c r="K169" i="2"/>
  <c r="H137" i="2"/>
  <c r="I138" i="2"/>
  <c r="H139" i="2"/>
  <c r="I140" i="2"/>
  <c r="H141" i="2"/>
  <c r="I142" i="2"/>
  <c r="H143" i="2"/>
  <c r="I144" i="2"/>
  <c r="H145" i="2"/>
  <c r="I146" i="2"/>
  <c r="H147" i="2"/>
  <c r="I148" i="2"/>
  <c r="H149" i="2"/>
  <c r="I150" i="2"/>
  <c r="H151" i="2"/>
  <c r="I152" i="2"/>
  <c r="H153" i="2"/>
  <c r="I154" i="2"/>
  <c r="H155" i="2"/>
  <c r="I156" i="2"/>
  <c r="H157" i="2"/>
  <c r="I158" i="2"/>
  <c r="H159" i="2"/>
  <c r="I160" i="2"/>
  <c r="H161" i="2"/>
  <c r="I162" i="2"/>
  <c r="H163" i="2"/>
  <c r="I164" i="2"/>
  <c r="H165" i="2"/>
  <c r="I166" i="2"/>
  <c r="H167" i="2"/>
  <c r="I168" i="2"/>
  <c r="H169" i="2"/>
  <c r="I170" i="2"/>
  <c r="J171" i="2"/>
  <c r="I172" i="2"/>
  <c r="K172" i="2"/>
  <c r="J173" i="2"/>
  <c r="I174" i="2"/>
  <c r="K174" i="2"/>
  <c r="H175" i="2"/>
  <c r="J175" i="2"/>
  <c r="I176" i="2"/>
  <c r="K176" i="2"/>
  <c r="H177" i="2"/>
  <c r="J177" i="2"/>
  <c r="I178" i="2"/>
  <c r="K178" i="2"/>
  <c r="H179" i="2"/>
  <c r="J179" i="2"/>
  <c r="I180" i="2"/>
  <c r="K180" i="2"/>
  <c r="H181" i="2"/>
  <c r="J181" i="2"/>
  <c r="I182" i="2"/>
  <c r="K182" i="2"/>
  <c r="H183" i="2"/>
  <c r="J183" i="2"/>
  <c r="I184" i="2"/>
  <c r="K184" i="2"/>
  <c r="H185" i="2"/>
  <c r="J185" i="2"/>
  <c r="I186" i="2"/>
  <c r="K186" i="2"/>
  <c r="H187" i="2"/>
  <c r="J187" i="2"/>
  <c r="I188" i="2"/>
  <c r="K188" i="2"/>
  <c r="H189" i="2"/>
  <c r="J189" i="2"/>
  <c r="I190" i="2"/>
  <c r="K190" i="2"/>
  <c r="H191" i="2"/>
  <c r="J191" i="2"/>
  <c r="I192" i="2"/>
  <c r="K192" i="2"/>
  <c r="H193" i="2"/>
  <c r="J193" i="2"/>
  <c r="I194" i="2"/>
  <c r="H195" i="2"/>
  <c r="J195" i="2"/>
  <c r="I196" i="2"/>
  <c r="H197" i="2"/>
  <c r="J197" i="2"/>
  <c r="I198" i="2"/>
  <c r="H199" i="2"/>
  <c r="J199" i="2"/>
  <c r="I200" i="2"/>
  <c r="H201" i="2"/>
  <c r="J201" i="2"/>
  <c r="I202" i="2"/>
  <c r="H203" i="2"/>
  <c r="J203" i="2"/>
  <c r="I204" i="2"/>
  <c r="H205" i="2"/>
  <c r="J205" i="2"/>
  <c r="I206" i="2"/>
  <c r="H207" i="2"/>
  <c r="J207" i="2"/>
  <c r="I208" i="2"/>
  <c r="H209" i="2"/>
  <c r="J209" i="2"/>
  <c r="I210" i="2"/>
  <c r="I171" i="2"/>
  <c r="H172" i="2"/>
  <c r="I173" i="2"/>
  <c r="H174" i="2"/>
  <c r="I175" i="2"/>
  <c r="H176" i="2"/>
  <c r="I177" i="2"/>
  <c r="H178" i="2"/>
  <c r="I179" i="2"/>
  <c r="H180" i="2"/>
  <c r="I181" i="2"/>
  <c r="H182" i="2"/>
  <c r="I183" i="2"/>
  <c r="H184" i="2"/>
  <c r="I185" i="2"/>
  <c r="H186" i="2"/>
  <c r="I187" i="2"/>
  <c r="H188" i="2"/>
  <c r="I189" i="2"/>
  <c r="H190" i="2"/>
  <c r="I191" i="2"/>
  <c r="H192" i="2"/>
  <c r="I193" i="2"/>
  <c r="I195" i="2"/>
  <c r="I197" i="2"/>
  <c r="I199" i="2"/>
  <c r="I201" i="2"/>
  <c r="I203" i="2"/>
  <c r="I205" i="2"/>
  <c r="I207" i="2"/>
  <c r="I209" i="2"/>
  <c r="K211" i="2"/>
  <c r="J211" i="2"/>
  <c r="H211" i="2"/>
  <c r="I212" i="2"/>
  <c r="K212" i="2"/>
  <c r="H213" i="2"/>
  <c r="J213" i="2"/>
  <c r="I214" i="2"/>
  <c r="K214" i="2"/>
  <c r="H215" i="2"/>
  <c r="J215" i="2"/>
  <c r="I216" i="2"/>
  <c r="K216" i="2"/>
  <c r="H217" i="2"/>
  <c r="J217" i="2"/>
  <c r="I218" i="2"/>
  <c r="K218" i="2"/>
  <c r="H219" i="2"/>
  <c r="J219" i="2"/>
  <c r="I220" i="2"/>
  <c r="K220" i="2"/>
  <c r="H221" i="2"/>
  <c r="J221" i="2"/>
  <c r="I222" i="2"/>
  <c r="K222" i="2"/>
  <c r="J223" i="2"/>
  <c r="I224" i="2"/>
  <c r="K224" i="2"/>
  <c r="I226" i="2"/>
  <c r="K226" i="2"/>
  <c r="I228" i="2"/>
  <c r="K228" i="2"/>
  <c r="H212" i="2"/>
  <c r="I213" i="2"/>
  <c r="H214" i="2"/>
  <c r="I215" i="2"/>
  <c r="H216" i="2"/>
  <c r="I217" i="2"/>
  <c r="H218" i="2"/>
  <c r="I219" i="2"/>
  <c r="H220" i="2"/>
  <c r="I221" i="2"/>
  <c r="H222" i="2"/>
  <c r="I223" i="2"/>
  <c r="H224" i="2"/>
  <c r="I225" i="2"/>
  <c r="H226" i="2"/>
  <c r="I227" i="2"/>
  <c r="H228" i="2"/>
  <c r="H229" i="2"/>
  <c r="J229" i="2"/>
  <c r="I230" i="2"/>
  <c r="K230" i="2"/>
  <c r="H231" i="2"/>
  <c r="J231" i="2"/>
  <c r="I232" i="2"/>
  <c r="K232" i="2"/>
  <c r="H233" i="2"/>
  <c r="J233" i="2"/>
  <c r="I234" i="2"/>
  <c r="K234" i="2"/>
  <c r="H235" i="2"/>
  <c r="J235" i="2"/>
  <c r="I236" i="2"/>
  <c r="K236" i="2"/>
  <c r="H237" i="2"/>
  <c r="J237" i="2"/>
  <c r="I238" i="2"/>
  <c r="K238" i="2"/>
  <c r="H239" i="2"/>
  <c r="J239" i="2"/>
  <c r="I240" i="2"/>
  <c r="K240" i="2"/>
  <c r="H241" i="2"/>
  <c r="J241" i="2"/>
  <c r="I242" i="2"/>
  <c r="H243" i="2"/>
  <c r="J243" i="2"/>
  <c r="I244" i="2"/>
  <c r="H245" i="2"/>
  <c r="J245" i="2"/>
  <c r="I246" i="2"/>
  <c r="H247" i="2"/>
  <c r="J247" i="2"/>
  <c r="I248" i="2"/>
  <c r="H249" i="2"/>
  <c r="J249" i="2"/>
  <c r="I229" i="2"/>
  <c r="H230" i="2"/>
  <c r="I231" i="2"/>
  <c r="H232" i="2"/>
  <c r="I233" i="2"/>
  <c r="H234" i="2"/>
  <c r="I235" i="2"/>
  <c r="H236" i="2"/>
  <c r="I237" i="2"/>
  <c r="H238" i="2"/>
  <c r="I239" i="2"/>
  <c r="H240" i="2"/>
  <c r="I241" i="2"/>
  <c r="I243" i="2"/>
  <c r="I245" i="2"/>
  <c r="I247" i="2"/>
  <c r="I249" i="2"/>
  <c r="K1" i="2" l="1"/>
  <c r="N146" i="2" s="1"/>
  <c r="K2" i="2"/>
  <c r="P30" i="2" s="1"/>
  <c r="O29" i="2" l="1"/>
  <c r="M16" i="2"/>
  <c r="O68" i="2"/>
  <c r="O100" i="2"/>
  <c r="O132" i="2"/>
  <c r="M115" i="2"/>
  <c r="O158" i="2"/>
  <c r="O15" i="2"/>
  <c r="O47" i="2"/>
  <c r="M52" i="2"/>
  <c r="O86" i="2"/>
  <c r="O118" i="2"/>
  <c r="M87" i="2"/>
  <c r="O144" i="2"/>
  <c r="O17" i="2"/>
  <c r="O49" i="2"/>
  <c r="M56" i="2"/>
  <c r="O88" i="2"/>
  <c r="O120" i="2"/>
  <c r="M123" i="2"/>
  <c r="N163" i="2"/>
  <c r="O19" i="2"/>
  <c r="M28" i="2"/>
  <c r="O106" i="2"/>
  <c r="M63" i="2"/>
  <c r="M127" i="2"/>
  <c r="O21" i="2"/>
  <c r="M32" i="2"/>
  <c r="O76" i="2"/>
  <c r="O108" i="2"/>
  <c r="M67" i="2"/>
  <c r="N138" i="2"/>
  <c r="O7" i="2"/>
  <c r="O23" i="2"/>
  <c r="O39" i="2"/>
  <c r="N56" i="2"/>
  <c r="M36" i="2"/>
  <c r="O62" i="2"/>
  <c r="O78" i="2"/>
  <c r="O94" i="2"/>
  <c r="O110" i="2"/>
  <c r="O126" i="2"/>
  <c r="M71" i="2"/>
  <c r="M103" i="2"/>
  <c r="O136" i="2"/>
  <c r="O152" i="2"/>
  <c r="N142" i="2"/>
  <c r="O13" i="2"/>
  <c r="O45" i="2"/>
  <c r="M48" i="2"/>
  <c r="O84" i="2"/>
  <c r="O116" i="2"/>
  <c r="M83" i="2"/>
  <c r="O142" i="2"/>
  <c r="N154" i="2"/>
  <c r="O31" i="2"/>
  <c r="M20" i="2"/>
  <c r="O70" i="2"/>
  <c r="O102" i="2"/>
  <c r="N135" i="2"/>
  <c r="M119" i="2"/>
  <c r="O160" i="2"/>
  <c r="O33" i="2"/>
  <c r="M24" i="2"/>
  <c r="O72" i="2"/>
  <c r="O104" i="2"/>
  <c r="M59" i="2"/>
  <c r="M91" i="2"/>
  <c r="O146" i="2"/>
  <c r="O35" i="2"/>
  <c r="O58" i="2"/>
  <c r="O90" i="2"/>
  <c r="M95" i="2"/>
  <c r="O148" i="2"/>
  <c r="O5" i="2"/>
  <c r="O37" i="2"/>
  <c r="O60" i="2"/>
  <c r="O124" i="2"/>
  <c r="M99" i="2"/>
  <c r="O150" i="2"/>
  <c r="O9" i="2"/>
  <c r="O25" i="2"/>
  <c r="O41" i="2"/>
  <c r="M8" i="2"/>
  <c r="M40" i="2"/>
  <c r="O64" i="2"/>
  <c r="O80" i="2"/>
  <c r="O96" i="2"/>
  <c r="O112" i="2"/>
  <c r="O128" i="2"/>
  <c r="M75" i="2"/>
  <c r="M107" i="2"/>
  <c r="O138" i="2"/>
  <c r="O154" i="2"/>
  <c r="N245" i="2"/>
  <c r="O51" i="2"/>
  <c r="O74" i="2"/>
  <c r="O122" i="2"/>
  <c r="N167" i="2"/>
  <c r="O53" i="2"/>
  <c r="O92" i="2"/>
  <c r="N132" i="2"/>
  <c r="O11" i="2"/>
  <c r="O27" i="2"/>
  <c r="O43" i="2"/>
  <c r="M12" i="2"/>
  <c r="M44" i="2"/>
  <c r="O66" i="2"/>
  <c r="O82" i="2"/>
  <c r="O98" i="2"/>
  <c r="O114" i="2"/>
  <c r="O130" i="2"/>
  <c r="M79" i="2"/>
  <c r="M111" i="2"/>
  <c r="O140" i="2"/>
  <c r="O156" i="2"/>
  <c r="N150" i="2"/>
  <c r="P6" i="2"/>
  <c r="P8" i="2"/>
  <c r="P10" i="2"/>
  <c r="P12" i="2"/>
  <c r="P14" i="2"/>
  <c r="P16" i="2"/>
  <c r="P18" i="2"/>
  <c r="P20" i="2"/>
  <c r="P22" i="2"/>
  <c r="P24" i="2"/>
  <c r="P26" i="2"/>
  <c r="P28" i="2"/>
  <c r="P32" i="2"/>
  <c r="P34" i="2"/>
  <c r="P36" i="2"/>
  <c r="P38" i="2"/>
  <c r="P40" i="2"/>
  <c r="P42" i="2"/>
  <c r="P44" i="2"/>
  <c r="P46" i="2"/>
  <c r="P48" i="2"/>
  <c r="P50" i="2"/>
  <c r="P52" i="2"/>
  <c r="P54" i="2"/>
  <c r="M6" i="2"/>
  <c r="M10" i="2"/>
  <c r="M14" i="2"/>
  <c r="M18" i="2"/>
  <c r="M22" i="2"/>
  <c r="M26" i="2"/>
  <c r="M30" i="2"/>
  <c r="M34" i="2"/>
  <c r="M38" i="2"/>
  <c r="M42" i="2"/>
  <c r="M46" i="2"/>
  <c r="M50" i="2"/>
  <c r="M54" i="2"/>
  <c r="P57" i="2"/>
  <c r="P59" i="2"/>
  <c r="P61" i="2"/>
  <c r="P63" i="2"/>
  <c r="P65" i="2"/>
  <c r="P67" i="2"/>
  <c r="P69" i="2"/>
  <c r="P71" i="2"/>
  <c r="P73" i="2"/>
  <c r="P75" i="2"/>
  <c r="P77" i="2"/>
  <c r="P79" i="2"/>
  <c r="P81" i="2"/>
  <c r="P83" i="2"/>
  <c r="P85" i="2"/>
  <c r="P87" i="2"/>
  <c r="P89" i="2"/>
  <c r="P91" i="2"/>
  <c r="P93" i="2"/>
  <c r="P95" i="2"/>
  <c r="P97" i="2"/>
  <c r="P99" i="2"/>
  <c r="P101" i="2"/>
  <c r="P103" i="2"/>
  <c r="P105" i="2"/>
  <c r="P107" i="2"/>
  <c r="P109" i="2"/>
  <c r="P111" i="2"/>
  <c r="P113" i="2"/>
  <c r="P115" i="2"/>
  <c r="P117" i="2"/>
  <c r="P119" i="2"/>
  <c r="P121" i="2"/>
  <c r="P123" i="2"/>
  <c r="P125" i="2"/>
  <c r="P127" i="2"/>
  <c r="P129" i="2"/>
  <c r="P131" i="2"/>
  <c r="M134" i="2"/>
  <c r="M57" i="2"/>
  <c r="M61" i="2"/>
  <c r="M65" i="2"/>
  <c r="M69" i="2"/>
  <c r="M73" i="2"/>
  <c r="M77" i="2"/>
  <c r="M81" i="2"/>
  <c r="M85" i="2"/>
  <c r="M89" i="2"/>
  <c r="M93" i="2"/>
  <c r="M97" i="2"/>
  <c r="M101" i="2"/>
  <c r="M105" i="2"/>
  <c r="M109" i="2"/>
  <c r="M113" i="2"/>
  <c r="M117" i="2"/>
  <c r="M121" i="2"/>
  <c r="M125" i="2"/>
  <c r="M129" i="2"/>
  <c r="P136" i="2"/>
  <c r="P137" i="2"/>
  <c r="P139" i="2"/>
  <c r="P141" i="2"/>
  <c r="P143" i="2"/>
  <c r="P145" i="2"/>
  <c r="P147" i="2"/>
  <c r="P149" i="2"/>
  <c r="P151" i="2"/>
  <c r="P153" i="2"/>
  <c r="P155" i="2"/>
  <c r="P157" i="2"/>
  <c r="P159" i="2"/>
  <c r="P161" i="2"/>
  <c r="N165" i="2"/>
  <c r="N169" i="2"/>
  <c r="N140" i="2"/>
  <c r="N144" i="2"/>
  <c r="N148" i="2"/>
  <c r="N152" i="2"/>
  <c r="N156" i="2"/>
  <c r="M5" i="2"/>
  <c r="N6" i="2"/>
  <c r="N8" i="2"/>
  <c r="N10" i="2"/>
  <c r="N12" i="2"/>
  <c r="N14" i="2"/>
  <c r="N16" i="2"/>
  <c r="N18" i="2"/>
  <c r="N20" i="2"/>
  <c r="N22" i="2"/>
  <c r="N24" i="2"/>
  <c r="N26" i="2"/>
  <c r="N28" i="2"/>
  <c r="N30" i="2"/>
  <c r="N32" i="2"/>
  <c r="N34" i="2"/>
  <c r="N36" i="2"/>
  <c r="N38" i="2"/>
  <c r="N40" i="2"/>
  <c r="N42" i="2"/>
  <c r="N44" i="2"/>
  <c r="N46" i="2"/>
  <c r="N48" i="2"/>
  <c r="N50" i="2"/>
  <c r="N52" i="2"/>
  <c r="N54" i="2"/>
  <c r="O56" i="2"/>
  <c r="N7" i="2"/>
  <c r="N11" i="2"/>
  <c r="N15" i="2"/>
  <c r="N19" i="2"/>
  <c r="N23" i="2"/>
  <c r="N27" i="2"/>
  <c r="N31" i="2"/>
  <c r="N35" i="2"/>
  <c r="N39" i="2"/>
  <c r="N43" i="2"/>
  <c r="N47" i="2"/>
  <c r="N51" i="2"/>
  <c r="N55" i="2"/>
  <c r="M58" i="2"/>
  <c r="M60" i="2"/>
  <c r="M62" i="2"/>
  <c r="M64" i="2"/>
  <c r="M66" i="2"/>
  <c r="M68" i="2"/>
  <c r="M70" i="2"/>
  <c r="M72" i="2"/>
  <c r="M74" i="2"/>
  <c r="M76" i="2"/>
  <c r="M78" i="2"/>
  <c r="M80" i="2"/>
  <c r="M82" i="2"/>
  <c r="M84" i="2"/>
  <c r="M86" i="2"/>
  <c r="M88" i="2"/>
  <c r="M90" i="2"/>
  <c r="M92" i="2"/>
  <c r="M94" i="2"/>
  <c r="M96" i="2"/>
  <c r="M98" i="2"/>
  <c r="M100" i="2"/>
  <c r="M102" i="2"/>
  <c r="M104" i="2"/>
  <c r="M106" i="2"/>
  <c r="M108" i="2"/>
  <c r="M110" i="2"/>
  <c r="M112" i="2"/>
  <c r="M114" i="2"/>
  <c r="M116" i="2"/>
  <c r="M118" i="2"/>
  <c r="M120" i="2"/>
  <c r="M122" i="2"/>
  <c r="M124" i="2"/>
  <c r="M126" i="2"/>
  <c r="M128" i="2"/>
  <c r="M130" i="2"/>
  <c r="M132" i="2"/>
  <c r="O134" i="2"/>
  <c r="N60" i="2"/>
  <c r="N64" i="2"/>
  <c r="N68" i="2"/>
  <c r="N72" i="2"/>
  <c r="N76" i="2"/>
  <c r="N80" i="2"/>
  <c r="N84" i="2"/>
  <c r="N88" i="2"/>
  <c r="N92" i="2"/>
  <c r="N96" i="2"/>
  <c r="N100" i="2"/>
  <c r="N104" i="2"/>
  <c r="N108" i="2"/>
  <c r="N112" i="2"/>
  <c r="N116" i="2"/>
  <c r="N120" i="2"/>
  <c r="N124" i="2"/>
  <c r="N128" i="2"/>
  <c r="N134" i="2"/>
  <c r="N137" i="2"/>
  <c r="N139" i="2"/>
  <c r="N141" i="2"/>
  <c r="N143" i="2"/>
  <c r="N145" i="2"/>
  <c r="N147" i="2"/>
  <c r="N149" i="2"/>
  <c r="N151" i="2"/>
  <c r="N153" i="2"/>
  <c r="N155" i="2"/>
  <c r="N157" i="2"/>
  <c r="N159" i="2"/>
  <c r="N161" i="2"/>
  <c r="P163" i="2"/>
  <c r="P167" i="2"/>
  <c r="M137" i="2"/>
  <c r="M141" i="2"/>
  <c r="M145" i="2"/>
  <c r="M149" i="2"/>
  <c r="M153" i="2"/>
  <c r="M157" i="2"/>
  <c r="N160" i="2"/>
  <c r="N164" i="2"/>
  <c r="N168" i="2"/>
  <c r="N172" i="2"/>
  <c r="P174" i="2"/>
  <c r="P176" i="2"/>
  <c r="P178" i="2"/>
  <c r="P180" i="2"/>
  <c r="P182" i="2"/>
  <c r="P184" i="2"/>
  <c r="P186" i="2"/>
  <c r="P188" i="2"/>
  <c r="P190" i="2"/>
  <c r="P192" i="2"/>
  <c r="M195" i="2"/>
  <c r="O197" i="2"/>
  <c r="N200" i="2"/>
  <c r="M203" i="2"/>
  <c r="O205" i="2"/>
  <c r="N208" i="2"/>
  <c r="M172" i="2"/>
  <c r="M176" i="2"/>
  <c r="M180" i="2"/>
  <c r="M184" i="2"/>
  <c r="M188" i="2"/>
  <c r="M192" i="2"/>
  <c r="N199" i="2"/>
  <c r="N207" i="2"/>
  <c r="M211" i="2"/>
  <c r="M213" i="2"/>
  <c r="M215" i="2"/>
  <c r="M217" i="2"/>
  <c r="M219" i="2"/>
  <c r="M221" i="2"/>
  <c r="O223" i="2"/>
  <c r="P226" i="2"/>
  <c r="N213" i="2"/>
  <c r="N217" i="2"/>
  <c r="N221" i="2"/>
  <c r="N225" i="2"/>
  <c r="O229" i="2"/>
  <c r="O231" i="2"/>
  <c r="O233" i="2"/>
  <c r="O235" i="2"/>
  <c r="O237" i="2"/>
  <c r="O239" i="2"/>
  <c r="O241" i="2"/>
  <c r="N244" i="2"/>
  <c r="M247" i="2"/>
  <c r="O249" i="2"/>
  <c r="M232" i="2"/>
  <c r="M236" i="2"/>
  <c r="M240" i="2"/>
  <c r="N247" i="2"/>
  <c r="M161" i="2"/>
  <c r="M165" i="2"/>
  <c r="M169" i="2"/>
  <c r="P172" i="2"/>
  <c r="M175" i="2"/>
  <c r="M177" i="2"/>
  <c r="M179" i="2"/>
  <c r="M181" i="2"/>
  <c r="M183" i="2"/>
  <c r="M185" i="2"/>
  <c r="M187" i="2"/>
  <c r="M189" i="2"/>
  <c r="M191" i="2"/>
  <c r="M193" i="2"/>
  <c r="O195" i="2"/>
  <c r="N198" i="2"/>
  <c r="M201" i="2"/>
  <c r="O203" i="2"/>
  <c r="N206" i="2"/>
  <c r="M209" i="2"/>
  <c r="N171" i="2"/>
  <c r="N175" i="2"/>
  <c r="N179" i="2"/>
  <c r="N183" i="2"/>
  <c r="N187" i="2"/>
  <c r="N191" i="2"/>
  <c r="N197" i="2"/>
  <c r="N205" i="2"/>
  <c r="O211" i="2"/>
  <c r="O213" i="2"/>
  <c r="O215" i="2"/>
  <c r="O217" i="2"/>
  <c r="O219" i="2"/>
  <c r="O221" i="2"/>
  <c r="N224" i="2"/>
  <c r="N228" i="2"/>
  <c r="M214" i="2"/>
  <c r="M218" i="2"/>
  <c r="M222" i="2"/>
  <c r="M226" i="2"/>
  <c r="M229" i="2"/>
  <c r="M231" i="2"/>
  <c r="M233" i="2"/>
  <c r="M235" i="2"/>
  <c r="M237" i="2"/>
  <c r="M239" i="2"/>
  <c r="M241" i="2"/>
  <c r="O243" i="2"/>
  <c r="N246" i="2"/>
  <c r="M249" i="2"/>
  <c r="N231" i="2"/>
  <c r="N235" i="2"/>
  <c r="N239" i="2"/>
  <c r="P5" i="2"/>
  <c r="P9" i="2"/>
  <c r="P13" i="2"/>
  <c r="P17" i="2"/>
  <c r="P21" i="2"/>
  <c r="P25" i="2"/>
  <c r="P29" i="2"/>
  <c r="P33" i="2"/>
  <c r="P37" i="2"/>
  <c r="P41" i="2"/>
  <c r="P45" i="2"/>
  <c r="P49" i="2"/>
  <c r="P53" i="2"/>
  <c r="O55" i="2"/>
  <c r="O8" i="2"/>
  <c r="O12" i="2"/>
  <c r="O16" i="2"/>
  <c r="O20" i="2"/>
  <c r="O24" i="2"/>
  <c r="O28" i="2"/>
  <c r="O32" i="2"/>
  <c r="O36" i="2"/>
  <c r="O40" i="2"/>
  <c r="O44" i="2"/>
  <c r="O48" i="2"/>
  <c r="O52" i="2"/>
  <c r="M55" i="2"/>
  <c r="O57" i="2"/>
  <c r="O61" i="2"/>
  <c r="O65" i="2"/>
  <c r="O69" i="2"/>
  <c r="O73" i="2"/>
  <c r="O77" i="2"/>
  <c r="O81" i="2"/>
  <c r="O85" i="2"/>
  <c r="O89" i="2"/>
  <c r="O93" i="2"/>
  <c r="O97" i="2"/>
  <c r="O101" i="2"/>
  <c r="O105" i="2"/>
  <c r="O109" i="2"/>
  <c r="O113" i="2"/>
  <c r="O117" i="2"/>
  <c r="O121" i="2"/>
  <c r="O125" i="2"/>
  <c r="O129" i="2"/>
  <c r="P132" i="2"/>
  <c r="P134" i="2"/>
  <c r="M136" i="2"/>
  <c r="P60" i="2"/>
  <c r="P64" i="2"/>
  <c r="P68" i="2"/>
  <c r="P72" i="2"/>
  <c r="P76" i="2"/>
  <c r="P80" i="2"/>
  <c r="P84" i="2"/>
  <c r="P88" i="2"/>
  <c r="P92" i="2"/>
  <c r="P96" i="2"/>
  <c r="P100" i="2"/>
  <c r="P104" i="2"/>
  <c r="P108" i="2"/>
  <c r="P112" i="2"/>
  <c r="P116" i="2"/>
  <c r="P120" i="2"/>
  <c r="P124" i="2"/>
  <c r="P128" i="2"/>
  <c r="M131" i="2"/>
  <c r="O133" i="2"/>
  <c r="O135" i="2"/>
  <c r="P140" i="2"/>
  <c r="P144" i="2"/>
  <c r="P148" i="2"/>
  <c r="P152" i="2"/>
  <c r="P156" i="2"/>
  <c r="P160" i="2"/>
  <c r="O163" i="2"/>
  <c r="O165" i="2"/>
  <c r="O167" i="2"/>
  <c r="O169" i="2"/>
  <c r="O139" i="2"/>
  <c r="O143" i="2"/>
  <c r="O147" i="2"/>
  <c r="O151" i="2"/>
  <c r="O155" i="2"/>
  <c r="O159" i="2"/>
  <c r="M162" i="2"/>
  <c r="O164" i="2"/>
  <c r="O166" i="2"/>
  <c r="O168" i="2"/>
  <c r="O170" i="2"/>
  <c r="P171" i="2"/>
  <c r="M173" i="2"/>
  <c r="P177" i="2"/>
  <c r="P181" i="2"/>
  <c r="P185" i="2"/>
  <c r="P189" i="2"/>
  <c r="P193" i="2"/>
  <c r="P195" i="2"/>
  <c r="P197" i="2"/>
  <c r="P199" i="2"/>
  <c r="P201" i="2"/>
  <c r="P203" i="2"/>
  <c r="P205" i="2"/>
  <c r="P207" i="2"/>
  <c r="P209" i="2"/>
  <c r="N211" i="2"/>
  <c r="P7" i="2"/>
  <c r="P11" i="2"/>
  <c r="P15" i="2"/>
  <c r="P19" i="2"/>
  <c r="P23" i="2"/>
  <c r="P27" i="2"/>
  <c r="P31" i="2"/>
  <c r="P35" i="2"/>
  <c r="P39" i="2"/>
  <c r="P43" i="2"/>
  <c r="P47" i="2"/>
  <c r="P51" i="2"/>
  <c r="P55" i="2"/>
  <c r="O6" i="2"/>
  <c r="O10" i="2"/>
  <c r="O14" i="2"/>
  <c r="O18" i="2"/>
  <c r="O22" i="2"/>
  <c r="O26" i="2"/>
  <c r="O30" i="2"/>
  <c r="O34" i="2"/>
  <c r="O38" i="2"/>
  <c r="O42" i="2"/>
  <c r="O46" i="2"/>
  <c r="O50" i="2"/>
  <c r="O54" i="2"/>
  <c r="O59" i="2"/>
  <c r="O63" i="2"/>
  <c r="O67" i="2"/>
  <c r="O71" i="2"/>
  <c r="O75" i="2"/>
  <c r="O79" i="2"/>
  <c r="O83" i="2"/>
  <c r="O87" i="2"/>
  <c r="O91" i="2"/>
  <c r="O95" i="2"/>
  <c r="O99" i="2"/>
  <c r="O103" i="2"/>
  <c r="O107" i="2"/>
  <c r="O111" i="2"/>
  <c r="O115" i="2"/>
  <c r="O119" i="2"/>
  <c r="O123" i="2"/>
  <c r="O127" i="2"/>
  <c r="O131" i="2"/>
  <c r="M133" i="2"/>
  <c r="M135" i="2"/>
  <c r="P58" i="2"/>
  <c r="P62" i="2"/>
  <c r="P66" i="2"/>
  <c r="P70" i="2"/>
  <c r="P74" i="2"/>
  <c r="P78" i="2"/>
  <c r="P82" i="2"/>
  <c r="P86" i="2"/>
  <c r="P90" i="2"/>
  <c r="P94" i="2"/>
  <c r="P98" i="2"/>
  <c r="P102" i="2"/>
  <c r="P106" i="2"/>
  <c r="P110" i="2"/>
  <c r="P114" i="2"/>
  <c r="P118" i="2"/>
  <c r="P122" i="2"/>
  <c r="P126" i="2"/>
  <c r="P130" i="2"/>
  <c r="P133" i="2"/>
  <c r="P135" i="2"/>
  <c r="P138" i="2"/>
  <c r="P142" i="2"/>
  <c r="P146" i="2"/>
  <c r="P150" i="2"/>
  <c r="P154" i="2"/>
  <c r="P158" i="2"/>
  <c r="P162" i="2"/>
  <c r="M164" i="2"/>
  <c r="M166" i="2"/>
  <c r="M168" i="2"/>
  <c r="M170" i="2"/>
  <c r="O137" i="2"/>
  <c r="O141" i="2"/>
  <c r="O145" i="2"/>
  <c r="O149" i="2"/>
  <c r="O153" i="2"/>
  <c r="O157" i="2"/>
  <c r="O161" i="2"/>
  <c r="P164" i="2"/>
  <c r="P166" i="2"/>
  <c r="P168" i="2"/>
  <c r="P170" i="2"/>
  <c r="O172" i="2"/>
  <c r="P175" i="2"/>
  <c r="P179" i="2"/>
  <c r="P183" i="2"/>
  <c r="P187" i="2"/>
  <c r="P191" i="2"/>
  <c r="M194" i="2"/>
  <c r="M196" i="2"/>
  <c r="M198" i="2"/>
  <c r="M200" i="2"/>
  <c r="M202" i="2"/>
  <c r="M204" i="2"/>
  <c r="M206" i="2"/>
  <c r="M208" i="2"/>
  <c r="M210" i="2"/>
  <c r="P173" i="2"/>
  <c r="O176" i="2"/>
  <c r="O180" i="2"/>
  <c r="O184" i="2"/>
  <c r="O188" i="2"/>
  <c r="O192" i="2"/>
  <c r="O194" i="2"/>
  <c r="O196" i="2"/>
  <c r="O198" i="2"/>
  <c r="O200" i="2"/>
  <c r="O202" i="2"/>
  <c r="O204" i="2"/>
  <c r="O206" i="2"/>
  <c r="O208" i="2"/>
  <c r="O210" i="2"/>
  <c r="P213" i="2"/>
  <c r="P217" i="2"/>
  <c r="P221" i="2"/>
  <c r="O224" i="2"/>
  <c r="O226" i="2"/>
  <c r="O228" i="2"/>
  <c r="O214" i="2"/>
  <c r="O218" i="2"/>
  <c r="O222" i="2"/>
  <c r="P225" i="2"/>
  <c r="P227" i="2"/>
  <c r="O232" i="2"/>
  <c r="O236" i="2"/>
  <c r="O240" i="2"/>
  <c r="O242" i="2"/>
  <c r="O244" i="2"/>
  <c r="O246" i="2"/>
  <c r="O248" i="2"/>
  <c r="P229" i="2"/>
  <c r="P233" i="2"/>
  <c r="P237" i="2"/>
  <c r="P241" i="2"/>
  <c r="P243" i="2"/>
  <c r="P245" i="2"/>
  <c r="P247" i="2"/>
  <c r="P249" i="2"/>
  <c r="M171" i="2"/>
  <c r="O174" i="2"/>
  <c r="O178" i="2"/>
  <c r="O182" i="2"/>
  <c r="O186" i="2"/>
  <c r="O190" i="2"/>
  <c r="P194" i="2"/>
  <c r="P196" i="2"/>
  <c r="P198" i="2"/>
  <c r="P200" i="2"/>
  <c r="P202" i="2"/>
  <c r="P204" i="2"/>
  <c r="P206" i="2"/>
  <c r="P208" i="2"/>
  <c r="P210" i="2"/>
  <c r="P215" i="2"/>
  <c r="P219" i="2"/>
  <c r="P223" i="2"/>
  <c r="M225" i="2"/>
  <c r="M227" i="2"/>
  <c r="O212" i="2"/>
  <c r="O216" i="2"/>
  <c r="O220" i="2"/>
  <c r="M223" i="2"/>
  <c r="O225" i="2"/>
  <c r="O227" i="2"/>
  <c r="O230" i="2"/>
  <c r="O234" i="2"/>
  <c r="O238" i="2"/>
  <c r="P242" i="2"/>
  <c r="P244" i="2"/>
  <c r="P246" i="2"/>
  <c r="P248" i="2"/>
  <c r="P231" i="2"/>
  <c r="P235" i="2"/>
  <c r="P239" i="2"/>
  <c r="M242" i="2"/>
  <c r="M244" i="2"/>
  <c r="M246" i="2"/>
  <c r="M248" i="2"/>
  <c r="M7" i="2"/>
  <c r="M9" i="2"/>
  <c r="M11" i="2"/>
  <c r="M13" i="2"/>
  <c r="M15" i="2"/>
  <c r="M17" i="2"/>
  <c r="M19" i="2"/>
  <c r="M21" i="2"/>
  <c r="M23" i="2"/>
  <c r="M25" i="2"/>
  <c r="M27" i="2"/>
  <c r="M29" i="2"/>
  <c r="M31" i="2"/>
  <c r="M33" i="2"/>
  <c r="M35" i="2"/>
  <c r="M37" i="2"/>
  <c r="M39" i="2"/>
  <c r="M41" i="2"/>
  <c r="M43" i="2"/>
  <c r="M45" i="2"/>
  <c r="M47" i="2"/>
  <c r="M49" i="2"/>
  <c r="M51" i="2"/>
  <c r="M53" i="2"/>
  <c r="P56" i="2"/>
  <c r="N5" i="2"/>
  <c r="N9" i="2"/>
  <c r="N13" i="2"/>
  <c r="N17" i="2"/>
  <c r="N21" i="2"/>
  <c r="N25" i="2"/>
  <c r="N29" i="2"/>
  <c r="N33" i="2"/>
  <c r="N37" i="2"/>
  <c r="N41" i="2"/>
  <c r="N45" i="2"/>
  <c r="N49" i="2"/>
  <c r="N53" i="2"/>
  <c r="N57" i="2"/>
  <c r="N59" i="2"/>
  <c r="N61" i="2"/>
  <c r="N63" i="2"/>
  <c r="N65" i="2"/>
  <c r="N67" i="2"/>
  <c r="N69" i="2"/>
  <c r="N71" i="2"/>
  <c r="N73" i="2"/>
  <c r="N75" i="2"/>
  <c r="N77" i="2"/>
  <c r="N79" i="2"/>
  <c r="N81" i="2"/>
  <c r="N83" i="2"/>
  <c r="N85" i="2"/>
  <c r="N87" i="2"/>
  <c r="N89" i="2"/>
  <c r="N91" i="2"/>
  <c r="N93" i="2"/>
  <c r="N95" i="2"/>
  <c r="N97" i="2"/>
  <c r="N99" i="2"/>
  <c r="N101" i="2"/>
  <c r="N103" i="2"/>
  <c r="N105" i="2"/>
  <c r="N107" i="2"/>
  <c r="N109" i="2"/>
  <c r="N111" i="2"/>
  <c r="N113" i="2"/>
  <c r="N115" i="2"/>
  <c r="N117" i="2"/>
  <c r="N119" i="2"/>
  <c r="N121" i="2"/>
  <c r="N123" i="2"/>
  <c r="N125" i="2"/>
  <c r="N127" i="2"/>
  <c r="N129" i="2"/>
  <c r="N131" i="2"/>
  <c r="N133" i="2"/>
  <c r="N58" i="2"/>
  <c r="N62" i="2"/>
  <c r="N66" i="2"/>
  <c r="N70" i="2"/>
  <c r="N74" i="2"/>
  <c r="N78" i="2"/>
  <c r="N82" i="2"/>
  <c r="N86" i="2"/>
  <c r="N90" i="2"/>
  <c r="N94" i="2"/>
  <c r="N98" i="2"/>
  <c r="N102" i="2"/>
  <c r="N106" i="2"/>
  <c r="N110" i="2"/>
  <c r="N114" i="2"/>
  <c r="N118" i="2"/>
  <c r="N122" i="2"/>
  <c r="N126" i="2"/>
  <c r="N130" i="2"/>
  <c r="N136" i="2"/>
  <c r="M138" i="2"/>
  <c r="M140" i="2"/>
  <c r="M142" i="2"/>
  <c r="M144" i="2"/>
  <c r="M146" i="2"/>
  <c r="M148" i="2"/>
  <c r="M150" i="2"/>
  <c r="M152" i="2"/>
  <c r="M154" i="2"/>
  <c r="M156" i="2"/>
  <c r="M158" i="2"/>
  <c r="M160" i="2"/>
  <c r="O162" i="2"/>
  <c r="P165" i="2"/>
  <c r="P169" i="2"/>
  <c r="M139" i="2"/>
  <c r="M143" i="2"/>
  <c r="M147" i="2"/>
  <c r="M151" i="2"/>
  <c r="M155" i="2"/>
  <c r="N158" i="2"/>
  <c r="N162" i="2"/>
  <c r="N166" i="2"/>
  <c r="N170" i="2"/>
  <c r="O173" i="2"/>
  <c r="O175" i="2"/>
  <c r="O177" i="2"/>
  <c r="O179" i="2"/>
  <c r="O181" i="2"/>
  <c r="O183" i="2"/>
  <c r="O185" i="2"/>
  <c r="O187" i="2"/>
  <c r="O189" i="2"/>
  <c r="O191" i="2"/>
  <c r="O193" i="2"/>
  <c r="N196" i="2"/>
  <c r="M199" i="2"/>
  <c r="O201" i="2"/>
  <c r="N204" i="2"/>
  <c r="M207" i="2"/>
  <c r="O209" i="2"/>
  <c r="M174" i="2"/>
  <c r="M178" i="2"/>
  <c r="M182" i="2"/>
  <c r="M186" i="2"/>
  <c r="M190" i="2"/>
  <c r="N195" i="2"/>
  <c r="N203" i="2"/>
  <c r="P211" i="2"/>
  <c r="N212" i="2"/>
  <c r="N214" i="2"/>
  <c r="N216" i="2"/>
  <c r="N218" i="2"/>
  <c r="N220" i="2"/>
  <c r="N222" i="2"/>
  <c r="P224" i="2"/>
  <c r="P228" i="2"/>
  <c r="N215" i="2"/>
  <c r="N219" i="2"/>
  <c r="N223" i="2"/>
  <c r="N227" i="2"/>
  <c r="P230" i="2"/>
  <c r="P232" i="2"/>
  <c r="P234" i="2"/>
  <c r="P236" i="2"/>
  <c r="P238" i="2"/>
  <c r="P240" i="2"/>
  <c r="M243" i="2"/>
  <c r="O245" i="2"/>
  <c r="N248" i="2"/>
  <c r="M230" i="2"/>
  <c r="M234" i="2"/>
  <c r="M238" i="2"/>
  <c r="N243" i="2"/>
  <c r="M159" i="2"/>
  <c r="M163" i="2"/>
  <c r="M167" i="2"/>
  <c r="O171" i="2"/>
  <c r="N174" i="2"/>
  <c r="N176" i="2"/>
  <c r="N178" i="2"/>
  <c r="N180" i="2"/>
  <c r="N182" i="2"/>
  <c r="N184" i="2"/>
  <c r="N186" i="2"/>
  <c r="N188" i="2"/>
  <c r="N190" i="2"/>
  <c r="N192" i="2"/>
  <c r="N194" i="2"/>
  <c r="M197" i="2"/>
  <c r="O199" i="2"/>
  <c r="N202" i="2"/>
  <c r="M205" i="2"/>
  <c r="O207" i="2"/>
  <c r="N210" i="2"/>
  <c r="N173" i="2"/>
  <c r="N177" i="2"/>
  <c r="N181" i="2"/>
  <c r="N185" i="2"/>
  <c r="N189" i="2"/>
  <c r="N193" i="2"/>
  <c r="N201" i="2"/>
  <c r="N209" i="2"/>
  <c r="P212" i="2"/>
  <c r="P214" i="2"/>
  <c r="P216" i="2"/>
  <c r="P218" i="2"/>
  <c r="P220" i="2"/>
  <c r="P222" i="2"/>
  <c r="N226" i="2"/>
  <c r="M212" i="2"/>
  <c r="M216" i="2"/>
  <c r="M220" i="2"/>
  <c r="M224" i="2"/>
  <c r="M228" i="2"/>
  <c r="N230" i="2"/>
  <c r="N232" i="2"/>
  <c r="N234" i="2"/>
  <c r="N236" i="2"/>
  <c r="N238" i="2"/>
  <c r="N240" i="2"/>
  <c r="N242" i="2"/>
  <c r="M245" i="2"/>
  <c r="O247" i="2"/>
  <c r="N229" i="2"/>
  <c r="N233" i="2"/>
  <c r="N237" i="2"/>
  <c r="N241" i="2"/>
  <c r="N249" i="2"/>
  <c r="P2" i="2" l="1"/>
  <c r="P1" i="2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4" i="1"/>
  <c r="Q5" i="1"/>
  <c r="Q6" i="1"/>
  <c r="Q7" i="1"/>
  <c r="U7" i="1" s="1"/>
  <c r="Q8" i="1"/>
  <c r="Q9" i="1"/>
  <c r="U9" i="1" s="1"/>
  <c r="Q10" i="1"/>
  <c r="Q11" i="1"/>
  <c r="U11" i="1" s="1"/>
  <c r="Q12" i="1"/>
  <c r="Q13" i="1"/>
  <c r="U13" i="1" s="1"/>
  <c r="Q14" i="1"/>
  <c r="Q15" i="1"/>
  <c r="Q16" i="1"/>
  <c r="Q17" i="1"/>
  <c r="U17" i="1" s="1"/>
  <c r="Q18" i="1"/>
  <c r="Q19" i="1"/>
  <c r="Q20" i="1"/>
  <c r="Q21" i="1"/>
  <c r="Q22" i="1"/>
  <c r="Q23" i="1"/>
  <c r="U23" i="1" s="1"/>
  <c r="Q4" i="1"/>
  <c r="U22" i="1" l="1"/>
  <c r="U20" i="1"/>
  <c r="U12" i="1"/>
  <c r="U8" i="1"/>
  <c r="E21" i="1"/>
  <c r="U21" i="1"/>
  <c r="E19" i="1"/>
  <c r="U19" i="1"/>
  <c r="U18" i="1"/>
  <c r="U16" i="1"/>
  <c r="E15" i="1"/>
  <c r="U15" i="1"/>
  <c r="U14" i="1"/>
  <c r="U10" i="1"/>
  <c r="U6" i="1"/>
  <c r="E5" i="1"/>
  <c r="U5" i="1"/>
  <c r="U4" i="1"/>
  <c r="E23" i="1"/>
  <c r="E9" i="1"/>
  <c r="E13" i="1"/>
  <c r="E8" i="1"/>
  <c r="E11" i="1"/>
  <c r="E7" i="1"/>
  <c r="E10" i="1"/>
  <c r="E22" i="1"/>
  <c r="E20" i="1"/>
  <c r="E18" i="1"/>
  <c r="E17" i="1"/>
  <c r="E16" i="1"/>
  <c r="E14" i="1"/>
  <c r="E12" i="1"/>
  <c r="E6" i="1"/>
  <c r="E4" i="1"/>
  <c r="Q249" i="1"/>
  <c r="R249" i="1"/>
  <c r="S249" i="1"/>
  <c r="T249" i="1"/>
  <c r="U249" i="1" l="1"/>
  <c r="J11" i="1" s="1"/>
</calcChain>
</file>

<file path=xl/sharedStrings.xml><?xml version="1.0" encoding="utf-8"?>
<sst xmlns="http://schemas.openxmlformats.org/spreadsheetml/2006/main" count="43" uniqueCount="30">
  <si>
    <t>클러스터 중심 좌표</t>
    <phoneticPr fontId="1" type="noConversion"/>
  </si>
  <si>
    <t>G1</t>
    <phoneticPr fontId="1" type="noConversion"/>
  </si>
  <si>
    <t>G2</t>
    <phoneticPr fontId="1" type="noConversion"/>
  </si>
  <si>
    <t>훈련 데이터</t>
    <phoneticPr fontId="1" type="noConversion"/>
  </si>
  <si>
    <t>G3</t>
    <phoneticPr fontId="1" type="noConversion"/>
  </si>
  <si>
    <t>G4</t>
    <phoneticPr fontId="1" type="noConversion"/>
  </si>
  <si>
    <t>훈련데이터 ~ 중심 거리 계산</t>
    <phoneticPr fontId="1" type="noConversion"/>
  </si>
  <si>
    <t>Class</t>
    <phoneticPr fontId="1" type="noConversion"/>
  </si>
  <si>
    <t>min</t>
    <phoneticPr fontId="1" type="noConversion"/>
  </si>
  <si>
    <t>max</t>
    <phoneticPr fontId="1" type="noConversion"/>
  </si>
  <si>
    <t>원본 데이터</t>
    <phoneticPr fontId="1" type="noConversion"/>
  </si>
  <si>
    <t>--&gt;</t>
    <phoneticPr fontId="1" type="noConversion"/>
  </si>
  <si>
    <t>1차 Normalization</t>
    <phoneticPr fontId="1" type="noConversion"/>
  </si>
  <si>
    <t>2차 Normalization</t>
    <phoneticPr fontId="1" type="noConversion"/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</si>
  <si>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</si>
  <si>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</si>
  <si>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</si>
  <si>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</si>
  <si>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</si>
  <si>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평균</t>
    <phoneticPr fontId="1" type="noConversion"/>
  </si>
  <si>
    <t>시가</t>
  </si>
  <si>
    <t>고가</t>
  </si>
  <si>
    <t>저가</t>
  </si>
  <si>
    <t>종가</t>
  </si>
  <si>
    <t>min</t>
    <phoneticPr fontId="1" type="noConversion"/>
  </si>
  <si>
    <t>max</t>
    <phoneticPr fontId="1" type="noConversion"/>
  </si>
  <si>
    <t>합계</t>
    <phoneticPr fontId="1" type="noConversion"/>
  </si>
  <si>
    <t>거리합</t>
    <phoneticPr fontId="1" type="noConversion"/>
  </si>
  <si>
    <t>Error</t>
    <phoneticPr fontId="1" type="noConversion"/>
  </si>
  <si>
    <t>주가 캔들스틱 군집화 (K-means Clustering)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</si>
</sst>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0"/>
    <numFmt numFmtId="177" formatCode="0.000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973C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6" fillId="0" borderId="0" xfId="0" applyFont="1">
      <alignment vertical="center"/>
    </xf>
    <xf numFmtId="0" fontId="7" fillId="2" borderId="0" xfId="0" quotePrefix="1" applyFont="1" applyFill="1" applyAlignment="1">
      <alignment horizontal="center" vertical="center"/>
    </xf>
    <xf numFmtId="0" fontId="6" fillId="0" borderId="0" xfId="0" applyFont="1" applyAlignment="1">
      <alignment vertical="center"/>
    </xf>
    <xf numFmtId="0" fontId="2" fillId="0" borderId="0" xfId="0" applyFont="1">
      <alignment vertical="center"/>
    </xf>
    <xf numFmtId="14" fontId="6" fillId="0" borderId="0" xfId="0" applyNumberFormat="1" applyFont="1">
      <alignment vertical="center"/>
    </xf>
    <xf numFmtId="0" fontId="2" fillId="3" borderId="0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>
      <alignment vertical="center"/>
    </xf>
    <xf numFmtId="176" fontId="2" fillId="3" borderId="1" xfId="0" applyNumberFormat="1" applyFont="1" applyFill="1" applyBorder="1">
      <alignment vertical="center"/>
    </xf>
    <xf numFmtId="0" fontId="0" fillId="3" borderId="0" xfId="0" applyFill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0" xfId="0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76" fontId="2" fillId="6" borderId="0" xfId="0" applyNumberFormat="1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CC"/>
      <color rgb="FF00FF00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40507436570429"/>
          <c:y val="4.7907312556804187E-2"/>
          <c:w val="0.8141143919510061"/>
          <c:h val="0.70770986959963333"/>
        </c:manualLayout>
      </c:layout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cat>
            <c:numRef>
              <c:f>Sheet2!$A$5:$A$35</c:f>
              <c:numCache>
                <c:formatCode>m/d/yyyy</c:formatCode>
                <c:ptCount val="31"/>
                <c:pt idx="0">
                  <c:v>42142</c:v>
                </c:pt>
                <c:pt idx="1">
                  <c:v>42143</c:v>
                </c:pt>
                <c:pt idx="2">
                  <c:v>42144</c:v>
                </c:pt>
                <c:pt idx="3">
                  <c:v>42145</c:v>
                </c:pt>
                <c:pt idx="4">
                  <c:v>42146</c:v>
                </c:pt>
                <c:pt idx="5">
                  <c:v>42150</c:v>
                </c:pt>
                <c:pt idx="6">
                  <c:v>42151</c:v>
                </c:pt>
                <c:pt idx="7">
                  <c:v>42152</c:v>
                </c:pt>
                <c:pt idx="8">
                  <c:v>42153</c:v>
                </c:pt>
                <c:pt idx="9">
                  <c:v>42156</c:v>
                </c:pt>
                <c:pt idx="10">
                  <c:v>42157</c:v>
                </c:pt>
                <c:pt idx="11">
                  <c:v>42158</c:v>
                </c:pt>
                <c:pt idx="12">
                  <c:v>42159</c:v>
                </c:pt>
                <c:pt idx="13">
                  <c:v>42160</c:v>
                </c:pt>
                <c:pt idx="14">
                  <c:v>42163</c:v>
                </c:pt>
                <c:pt idx="15">
                  <c:v>42164</c:v>
                </c:pt>
                <c:pt idx="16">
                  <c:v>42165</c:v>
                </c:pt>
                <c:pt idx="17">
                  <c:v>42166</c:v>
                </c:pt>
                <c:pt idx="18">
                  <c:v>42167</c:v>
                </c:pt>
                <c:pt idx="19">
                  <c:v>42170</c:v>
                </c:pt>
                <c:pt idx="20">
                  <c:v>42171</c:v>
                </c:pt>
                <c:pt idx="21">
                  <c:v>42172</c:v>
                </c:pt>
                <c:pt idx="22">
                  <c:v>42173</c:v>
                </c:pt>
                <c:pt idx="23">
                  <c:v>42174</c:v>
                </c:pt>
                <c:pt idx="24">
                  <c:v>42177</c:v>
                </c:pt>
                <c:pt idx="25">
                  <c:v>42178</c:v>
                </c:pt>
                <c:pt idx="26">
                  <c:v>42179</c:v>
                </c:pt>
                <c:pt idx="27">
                  <c:v>42180</c:v>
                </c:pt>
                <c:pt idx="28">
                  <c:v>42181</c:v>
                </c:pt>
                <c:pt idx="29">
                  <c:v>42184</c:v>
                </c:pt>
                <c:pt idx="30">
                  <c:v>42185</c:v>
                </c:pt>
              </c:numCache>
            </c:numRef>
          </c:cat>
          <c:val>
            <c:numRef>
              <c:f>Sheet2!$B$5:$B$35</c:f>
              <c:numCache>
                <c:formatCode>General</c:formatCode>
                <c:ptCount val="31"/>
                <c:pt idx="0">
                  <c:v>1335000</c:v>
                </c:pt>
                <c:pt idx="1">
                  <c:v>1321000</c:v>
                </c:pt>
                <c:pt idx="2">
                  <c:v>1349000</c:v>
                </c:pt>
                <c:pt idx="3">
                  <c:v>1371000</c:v>
                </c:pt>
                <c:pt idx="4">
                  <c:v>1353000</c:v>
                </c:pt>
                <c:pt idx="5">
                  <c:v>1366000</c:v>
                </c:pt>
                <c:pt idx="6">
                  <c:v>1360000</c:v>
                </c:pt>
                <c:pt idx="7">
                  <c:v>1317000</c:v>
                </c:pt>
                <c:pt idx="8">
                  <c:v>1320000</c:v>
                </c:pt>
                <c:pt idx="9">
                  <c:v>1300000</c:v>
                </c:pt>
                <c:pt idx="10">
                  <c:v>1300000</c:v>
                </c:pt>
                <c:pt idx="11">
                  <c:v>1303000</c:v>
                </c:pt>
                <c:pt idx="12">
                  <c:v>1315000</c:v>
                </c:pt>
                <c:pt idx="13">
                  <c:v>1325000</c:v>
                </c:pt>
                <c:pt idx="14">
                  <c:v>1345000</c:v>
                </c:pt>
                <c:pt idx="15">
                  <c:v>1300000</c:v>
                </c:pt>
                <c:pt idx="16">
                  <c:v>1282000</c:v>
                </c:pt>
                <c:pt idx="17">
                  <c:v>1263000</c:v>
                </c:pt>
                <c:pt idx="18">
                  <c:v>1278000</c:v>
                </c:pt>
                <c:pt idx="19">
                  <c:v>1255000</c:v>
                </c:pt>
                <c:pt idx="20">
                  <c:v>1270000</c:v>
                </c:pt>
                <c:pt idx="21">
                  <c:v>1250000</c:v>
                </c:pt>
                <c:pt idx="22">
                  <c:v>1259000</c:v>
                </c:pt>
                <c:pt idx="23">
                  <c:v>1266000</c:v>
                </c:pt>
                <c:pt idx="24">
                  <c:v>1291000</c:v>
                </c:pt>
                <c:pt idx="25">
                  <c:v>1309000</c:v>
                </c:pt>
                <c:pt idx="26">
                  <c:v>1300000</c:v>
                </c:pt>
                <c:pt idx="27">
                  <c:v>1290000</c:v>
                </c:pt>
                <c:pt idx="28">
                  <c:v>1252000</c:v>
                </c:pt>
                <c:pt idx="29">
                  <c:v>1269000</c:v>
                </c:pt>
                <c:pt idx="30">
                  <c:v>1276000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D-4033-AAB7-019BFFC05716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cat>
            <c:numRef>
              <c:f>Sheet2!$A$5:$A$35</c:f>
              <c:numCache>
                <c:formatCode>m/d/yyyy</c:formatCode>
                <c:ptCount val="31"/>
                <c:pt idx="0">
                  <c:v>42142</c:v>
                </c:pt>
                <c:pt idx="1">
                  <c:v>42143</c:v>
                </c:pt>
                <c:pt idx="2">
                  <c:v>42144</c:v>
                </c:pt>
                <c:pt idx="3">
                  <c:v>42145</c:v>
                </c:pt>
                <c:pt idx="4">
                  <c:v>42146</c:v>
                </c:pt>
                <c:pt idx="5">
                  <c:v>42150</c:v>
                </c:pt>
                <c:pt idx="6">
                  <c:v>42151</c:v>
                </c:pt>
                <c:pt idx="7">
                  <c:v>42152</c:v>
                </c:pt>
                <c:pt idx="8">
                  <c:v>42153</c:v>
                </c:pt>
                <c:pt idx="9">
                  <c:v>42156</c:v>
                </c:pt>
                <c:pt idx="10">
                  <c:v>42157</c:v>
                </c:pt>
                <c:pt idx="11">
                  <c:v>42158</c:v>
                </c:pt>
                <c:pt idx="12">
                  <c:v>42159</c:v>
                </c:pt>
                <c:pt idx="13">
                  <c:v>42160</c:v>
                </c:pt>
                <c:pt idx="14">
                  <c:v>42163</c:v>
                </c:pt>
                <c:pt idx="15">
                  <c:v>42164</c:v>
                </c:pt>
                <c:pt idx="16">
                  <c:v>42165</c:v>
                </c:pt>
                <c:pt idx="17">
                  <c:v>42166</c:v>
                </c:pt>
                <c:pt idx="18">
                  <c:v>42167</c:v>
                </c:pt>
                <c:pt idx="19">
                  <c:v>42170</c:v>
                </c:pt>
                <c:pt idx="20">
                  <c:v>42171</c:v>
                </c:pt>
                <c:pt idx="21">
                  <c:v>42172</c:v>
                </c:pt>
                <c:pt idx="22">
                  <c:v>42173</c:v>
                </c:pt>
                <c:pt idx="23">
                  <c:v>42174</c:v>
                </c:pt>
                <c:pt idx="24">
                  <c:v>42177</c:v>
                </c:pt>
                <c:pt idx="25">
                  <c:v>42178</c:v>
                </c:pt>
                <c:pt idx="26">
                  <c:v>42179</c:v>
                </c:pt>
                <c:pt idx="27">
                  <c:v>42180</c:v>
                </c:pt>
                <c:pt idx="28">
                  <c:v>42181</c:v>
                </c:pt>
                <c:pt idx="29">
                  <c:v>42184</c:v>
                </c:pt>
                <c:pt idx="30">
                  <c:v>42185</c:v>
                </c:pt>
              </c:numCache>
            </c:numRef>
          </c:cat>
          <c:val>
            <c:numRef>
              <c:f>Sheet2!$C$5:$C$35</c:f>
              <c:numCache>
                <c:formatCode>General</c:formatCode>
                <c:ptCount val="31"/>
                <c:pt idx="0">
                  <c:v>1335000</c:v>
                </c:pt>
                <c:pt idx="1">
                  <c:v>1355000</c:v>
                </c:pt>
                <c:pt idx="2">
                  <c:v>1370000</c:v>
                </c:pt>
                <c:pt idx="3">
                  <c:v>1372000</c:v>
                </c:pt>
                <c:pt idx="4">
                  <c:v>1353000</c:v>
                </c:pt>
                <c:pt idx="5">
                  <c:v>1369000</c:v>
                </c:pt>
                <c:pt idx="6">
                  <c:v>1366000</c:v>
                </c:pt>
                <c:pt idx="7">
                  <c:v>1321000</c:v>
                </c:pt>
                <c:pt idx="8">
                  <c:v>1321000</c:v>
                </c:pt>
                <c:pt idx="9">
                  <c:v>1301000</c:v>
                </c:pt>
                <c:pt idx="10">
                  <c:v>1303000</c:v>
                </c:pt>
                <c:pt idx="11">
                  <c:v>1316000</c:v>
                </c:pt>
                <c:pt idx="12">
                  <c:v>1341000</c:v>
                </c:pt>
                <c:pt idx="13">
                  <c:v>1355000</c:v>
                </c:pt>
                <c:pt idx="14">
                  <c:v>1347000</c:v>
                </c:pt>
                <c:pt idx="15">
                  <c:v>1310000</c:v>
                </c:pt>
                <c:pt idx="16">
                  <c:v>1294000</c:v>
                </c:pt>
                <c:pt idx="17">
                  <c:v>1274000</c:v>
                </c:pt>
                <c:pt idx="18">
                  <c:v>1287000</c:v>
                </c:pt>
                <c:pt idx="19">
                  <c:v>1274000</c:v>
                </c:pt>
                <c:pt idx="20">
                  <c:v>1274000</c:v>
                </c:pt>
                <c:pt idx="21">
                  <c:v>1266000</c:v>
                </c:pt>
                <c:pt idx="22">
                  <c:v>1279000</c:v>
                </c:pt>
                <c:pt idx="23">
                  <c:v>1278000</c:v>
                </c:pt>
                <c:pt idx="24">
                  <c:v>1296000</c:v>
                </c:pt>
                <c:pt idx="25">
                  <c:v>1328000</c:v>
                </c:pt>
                <c:pt idx="26">
                  <c:v>1311000</c:v>
                </c:pt>
                <c:pt idx="27">
                  <c:v>1303000</c:v>
                </c:pt>
                <c:pt idx="28">
                  <c:v>1290000</c:v>
                </c:pt>
                <c:pt idx="29">
                  <c:v>1285000</c:v>
                </c:pt>
                <c:pt idx="30">
                  <c:v>1285000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D-4033-AAB7-019BFFC05716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cat>
            <c:numRef>
              <c:f>Sheet2!$A$5:$A$35</c:f>
              <c:numCache>
                <c:formatCode>m/d/yyyy</c:formatCode>
                <c:ptCount val="31"/>
                <c:pt idx="0">
                  <c:v>42142</c:v>
                </c:pt>
                <c:pt idx="1">
                  <c:v>42143</c:v>
                </c:pt>
                <c:pt idx="2">
                  <c:v>42144</c:v>
                </c:pt>
                <c:pt idx="3">
                  <c:v>42145</c:v>
                </c:pt>
                <c:pt idx="4">
                  <c:v>42146</c:v>
                </c:pt>
                <c:pt idx="5">
                  <c:v>42150</c:v>
                </c:pt>
                <c:pt idx="6">
                  <c:v>42151</c:v>
                </c:pt>
                <c:pt idx="7">
                  <c:v>42152</c:v>
                </c:pt>
                <c:pt idx="8">
                  <c:v>42153</c:v>
                </c:pt>
                <c:pt idx="9">
                  <c:v>42156</c:v>
                </c:pt>
                <c:pt idx="10">
                  <c:v>42157</c:v>
                </c:pt>
                <c:pt idx="11">
                  <c:v>42158</c:v>
                </c:pt>
                <c:pt idx="12">
                  <c:v>42159</c:v>
                </c:pt>
                <c:pt idx="13">
                  <c:v>42160</c:v>
                </c:pt>
                <c:pt idx="14">
                  <c:v>42163</c:v>
                </c:pt>
                <c:pt idx="15">
                  <c:v>42164</c:v>
                </c:pt>
                <c:pt idx="16">
                  <c:v>42165</c:v>
                </c:pt>
                <c:pt idx="17">
                  <c:v>42166</c:v>
                </c:pt>
                <c:pt idx="18">
                  <c:v>42167</c:v>
                </c:pt>
                <c:pt idx="19">
                  <c:v>42170</c:v>
                </c:pt>
                <c:pt idx="20">
                  <c:v>42171</c:v>
                </c:pt>
                <c:pt idx="21">
                  <c:v>42172</c:v>
                </c:pt>
                <c:pt idx="22">
                  <c:v>42173</c:v>
                </c:pt>
                <c:pt idx="23">
                  <c:v>42174</c:v>
                </c:pt>
                <c:pt idx="24">
                  <c:v>42177</c:v>
                </c:pt>
                <c:pt idx="25">
                  <c:v>42178</c:v>
                </c:pt>
                <c:pt idx="26">
                  <c:v>42179</c:v>
                </c:pt>
                <c:pt idx="27">
                  <c:v>42180</c:v>
                </c:pt>
                <c:pt idx="28">
                  <c:v>42181</c:v>
                </c:pt>
                <c:pt idx="29">
                  <c:v>42184</c:v>
                </c:pt>
                <c:pt idx="30">
                  <c:v>42185</c:v>
                </c:pt>
              </c:numCache>
            </c:numRef>
          </c:cat>
          <c:val>
            <c:numRef>
              <c:f>Sheet2!$D$5:$D$35</c:f>
              <c:numCache>
                <c:formatCode>General</c:formatCode>
                <c:ptCount val="31"/>
                <c:pt idx="0">
                  <c:v>1309000</c:v>
                </c:pt>
                <c:pt idx="1">
                  <c:v>1307000</c:v>
                </c:pt>
                <c:pt idx="2">
                  <c:v>1341000</c:v>
                </c:pt>
                <c:pt idx="3">
                  <c:v>1344000</c:v>
                </c:pt>
                <c:pt idx="4">
                  <c:v>1335000</c:v>
                </c:pt>
                <c:pt idx="5">
                  <c:v>1336000</c:v>
                </c:pt>
                <c:pt idx="6">
                  <c:v>1313000</c:v>
                </c:pt>
                <c:pt idx="7">
                  <c:v>1301000</c:v>
                </c:pt>
                <c:pt idx="8">
                  <c:v>1297000</c:v>
                </c:pt>
                <c:pt idx="9">
                  <c:v>1288000</c:v>
                </c:pt>
                <c:pt idx="10">
                  <c:v>1288000</c:v>
                </c:pt>
                <c:pt idx="11">
                  <c:v>1265000</c:v>
                </c:pt>
                <c:pt idx="12">
                  <c:v>1305000</c:v>
                </c:pt>
                <c:pt idx="13">
                  <c:v>1320000</c:v>
                </c:pt>
                <c:pt idx="14">
                  <c:v>1313000</c:v>
                </c:pt>
                <c:pt idx="15">
                  <c:v>1268000</c:v>
                </c:pt>
                <c:pt idx="16">
                  <c:v>1262000</c:v>
                </c:pt>
                <c:pt idx="17">
                  <c:v>1253000</c:v>
                </c:pt>
                <c:pt idx="18">
                  <c:v>1264000</c:v>
                </c:pt>
                <c:pt idx="19">
                  <c:v>1255000</c:v>
                </c:pt>
                <c:pt idx="20">
                  <c:v>1245000</c:v>
                </c:pt>
                <c:pt idx="21">
                  <c:v>1240000</c:v>
                </c:pt>
                <c:pt idx="22">
                  <c:v>1251000</c:v>
                </c:pt>
                <c:pt idx="23">
                  <c:v>1260000</c:v>
                </c:pt>
                <c:pt idx="24">
                  <c:v>1276000</c:v>
                </c:pt>
                <c:pt idx="25">
                  <c:v>1291000</c:v>
                </c:pt>
                <c:pt idx="26">
                  <c:v>1291000</c:v>
                </c:pt>
                <c:pt idx="27">
                  <c:v>1269000</c:v>
                </c:pt>
                <c:pt idx="28">
                  <c:v>1252000</c:v>
                </c:pt>
                <c:pt idx="29">
                  <c:v>1256000</c:v>
                </c:pt>
                <c:pt idx="30">
                  <c:v>1266000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D-4033-AAB7-019BFFC05716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cat>
            <c:numRef>
              <c:f>Sheet2!$A$5:$A$35</c:f>
              <c:numCache>
                <c:formatCode>m/d/yyyy</c:formatCode>
                <c:ptCount val="31"/>
                <c:pt idx="0">
                  <c:v>42142</c:v>
                </c:pt>
                <c:pt idx="1">
                  <c:v>42143</c:v>
                </c:pt>
                <c:pt idx="2">
                  <c:v>42144</c:v>
                </c:pt>
                <c:pt idx="3">
                  <c:v>42145</c:v>
                </c:pt>
                <c:pt idx="4">
                  <c:v>42146</c:v>
                </c:pt>
                <c:pt idx="5">
                  <c:v>42150</c:v>
                </c:pt>
                <c:pt idx="6">
                  <c:v>42151</c:v>
                </c:pt>
                <c:pt idx="7">
                  <c:v>42152</c:v>
                </c:pt>
                <c:pt idx="8">
                  <c:v>42153</c:v>
                </c:pt>
                <c:pt idx="9">
                  <c:v>42156</c:v>
                </c:pt>
                <c:pt idx="10">
                  <c:v>42157</c:v>
                </c:pt>
                <c:pt idx="11">
                  <c:v>42158</c:v>
                </c:pt>
                <c:pt idx="12">
                  <c:v>42159</c:v>
                </c:pt>
                <c:pt idx="13">
                  <c:v>42160</c:v>
                </c:pt>
                <c:pt idx="14">
                  <c:v>42163</c:v>
                </c:pt>
                <c:pt idx="15">
                  <c:v>42164</c:v>
                </c:pt>
                <c:pt idx="16">
                  <c:v>42165</c:v>
                </c:pt>
                <c:pt idx="17">
                  <c:v>42166</c:v>
                </c:pt>
                <c:pt idx="18">
                  <c:v>42167</c:v>
                </c:pt>
                <c:pt idx="19">
                  <c:v>42170</c:v>
                </c:pt>
                <c:pt idx="20">
                  <c:v>42171</c:v>
                </c:pt>
                <c:pt idx="21">
                  <c:v>42172</c:v>
                </c:pt>
                <c:pt idx="22">
                  <c:v>42173</c:v>
                </c:pt>
                <c:pt idx="23">
                  <c:v>42174</c:v>
                </c:pt>
                <c:pt idx="24">
                  <c:v>42177</c:v>
                </c:pt>
                <c:pt idx="25">
                  <c:v>42178</c:v>
                </c:pt>
                <c:pt idx="26">
                  <c:v>42179</c:v>
                </c:pt>
                <c:pt idx="27">
                  <c:v>42180</c:v>
                </c:pt>
                <c:pt idx="28">
                  <c:v>42181</c:v>
                </c:pt>
                <c:pt idx="29">
                  <c:v>42184</c:v>
                </c:pt>
                <c:pt idx="30">
                  <c:v>42185</c:v>
                </c:pt>
              </c:numCache>
            </c:numRef>
          </c:cat>
          <c:val>
            <c:numRef>
              <c:f>Sheet2!$E$5:$E$35</c:f>
              <c:numCache>
                <c:formatCode>General</c:formatCode>
                <c:ptCount val="31"/>
                <c:pt idx="0">
                  <c:v>1320000</c:v>
                </c:pt>
                <c:pt idx="1">
                  <c:v>1338000</c:v>
                </c:pt>
                <c:pt idx="2">
                  <c:v>1366000</c:v>
                </c:pt>
                <c:pt idx="3">
                  <c:v>1352000</c:v>
                </c:pt>
                <c:pt idx="4">
                  <c:v>1350000</c:v>
                </c:pt>
                <c:pt idx="5">
                  <c:v>1362000</c:v>
                </c:pt>
                <c:pt idx="6">
                  <c:v>1314000</c:v>
                </c:pt>
                <c:pt idx="7">
                  <c:v>1309000</c:v>
                </c:pt>
                <c:pt idx="8">
                  <c:v>1307000</c:v>
                </c:pt>
                <c:pt idx="9">
                  <c:v>1291000</c:v>
                </c:pt>
                <c:pt idx="10">
                  <c:v>1303000</c:v>
                </c:pt>
                <c:pt idx="11">
                  <c:v>1273000</c:v>
                </c:pt>
                <c:pt idx="12">
                  <c:v>1337000</c:v>
                </c:pt>
                <c:pt idx="13">
                  <c:v>1341000</c:v>
                </c:pt>
                <c:pt idx="14">
                  <c:v>1314000</c:v>
                </c:pt>
                <c:pt idx="15">
                  <c:v>1282000</c:v>
                </c:pt>
                <c:pt idx="16">
                  <c:v>1262000</c:v>
                </c:pt>
                <c:pt idx="17">
                  <c:v>1257000</c:v>
                </c:pt>
                <c:pt idx="18">
                  <c:v>1277000</c:v>
                </c:pt>
                <c:pt idx="19">
                  <c:v>1270000</c:v>
                </c:pt>
                <c:pt idx="20">
                  <c:v>1255000</c:v>
                </c:pt>
                <c:pt idx="21">
                  <c:v>1254000</c:v>
                </c:pt>
                <c:pt idx="22">
                  <c:v>1265000</c:v>
                </c:pt>
                <c:pt idx="23">
                  <c:v>1266000</c:v>
                </c:pt>
                <c:pt idx="24">
                  <c:v>1281000</c:v>
                </c:pt>
                <c:pt idx="25">
                  <c:v>1321000</c:v>
                </c:pt>
                <c:pt idx="26">
                  <c:v>1302000</c:v>
                </c:pt>
                <c:pt idx="27">
                  <c:v>1269000</c:v>
                </c:pt>
                <c:pt idx="28">
                  <c:v>1278000</c:v>
                </c:pt>
                <c:pt idx="29">
                  <c:v>1281000</c:v>
                </c:pt>
                <c:pt idx="30">
                  <c:v>1268000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D-4033-AAB7-019BFFC05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upBars>
          <c:downBars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downBars>
        </c:upDownBars>
        <c:axId val="172959232"/>
        <c:axId val="710008128"/>
      </c:stockChart>
      <c:dateAx>
        <c:axId val="172959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0008128"/>
        <c:crosses val="autoZero"/>
        <c:auto val="1"/>
        <c:lblOffset val="100"/>
        <c:baseTimeUnit val="days"/>
      </c:dateAx>
      <c:valAx>
        <c:axId val="710008128"/>
        <c:scaling>
          <c:orientation val="minMax"/>
          <c:min val="1220000"/>
        </c:scaling>
        <c:delete val="0"/>
        <c:axPos val="l"/>
        <c:numFmt formatCode="General" sourceLinked="1"/>
        <c:majorTickMark val="out"/>
        <c:minorTickMark val="none"/>
        <c:tickLblPos val="nextTo"/>
        <c:crossAx val="172959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40507436570429"/>
          <c:y val="4.7907312556804187E-2"/>
          <c:w val="0.8141143919510061"/>
          <c:h val="0.70770986959963333"/>
        </c:manualLayout>
      </c:layout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cat>
            <c:numRef>
              <c:f>Sheet2!$A$5:$A$35</c:f>
              <c:numCache>
                <c:formatCode>m/d/yyyy</c:formatCode>
                <c:ptCount val="31"/>
                <c:pt idx="0">
                  <c:v>42142</c:v>
                </c:pt>
                <c:pt idx="1">
                  <c:v>42143</c:v>
                </c:pt>
                <c:pt idx="2">
                  <c:v>42144</c:v>
                </c:pt>
                <c:pt idx="3">
                  <c:v>42145</c:v>
                </c:pt>
                <c:pt idx="4">
                  <c:v>42146</c:v>
                </c:pt>
                <c:pt idx="5">
                  <c:v>42150</c:v>
                </c:pt>
                <c:pt idx="6">
                  <c:v>42151</c:v>
                </c:pt>
                <c:pt idx="7">
                  <c:v>42152</c:v>
                </c:pt>
                <c:pt idx="8">
                  <c:v>42153</c:v>
                </c:pt>
                <c:pt idx="9">
                  <c:v>42156</c:v>
                </c:pt>
                <c:pt idx="10">
                  <c:v>42157</c:v>
                </c:pt>
                <c:pt idx="11">
                  <c:v>42158</c:v>
                </c:pt>
                <c:pt idx="12">
                  <c:v>42159</c:v>
                </c:pt>
                <c:pt idx="13">
                  <c:v>42160</c:v>
                </c:pt>
                <c:pt idx="14">
                  <c:v>42163</c:v>
                </c:pt>
                <c:pt idx="15">
                  <c:v>42164</c:v>
                </c:pt>
                <c:pt idx="16">
                  <c:v>42165</c:v>
                </c:pt>
                <c:pt idx="17">
                  <c:v>42166</c:v>
                </c:pt>
                <c:pt idx="18">
                  <c:v>42167</c:v>
                </c:pt>
                <c:pt idx="19">
                  <c:v>42170</c:v>
                </c:pt>
                <c:pt idx="20">
                  <c:v>42171</c:v>
                </c:pt>
                <c:pt idx="21">
                  <c:v>42172</c:v>
                </c:pt>
                <c:pt idx="22">
                  <c:v>42173</c:v>
                </c:pt>
                <c:pt idx="23">
                  <c:v>42174</c:v>
                </c:pt>
                <c:pt idx="24">
                  <c:v>42177</c:v>
                </c:pt>
                <c:pt idx="25">
                  <c:v>42178</c:v>
                </c:pt>
                <c:pt idx="26">
                  <c:v>42179</c:v>
                </c:pt>
                <c:pt idx="27">
                  <c:v>42180</c:v>
                </c:pt>
                <c:pt idx="28">
                  <c:v>42181</c:v>
                </c:pt>
                <c:pt idx="29">
                  <c:v>42184</c:v>
                </c:pt>
                <c:pt idx="30">
                  <c:v>42185</c:v>
                </c:pt>
              </c:numCache>
            </c:numRef>
          </c:cat>
          <c:val>
            <c:numRef>
              <c:f>Sheet2!$B$5:$B$35</c:f>
              <c:numCache>
                <c:formatCode>General</c:formatCode>
                <c:ptCount val="31"/>
                <c:pt idx="0">
                  <c:v>1335000</c:v>
                </c:pt>
                <c:pt idx="1">
                  <c:v>1321000</c:v>
                </c:pt>
                <c:pt idx="2">
                  <c:v>1349000</c:v>
                </c:pt>
                <c:pt idx="3">
                  <c:v>1371000</c:v>
                </c:pt>
                <c:pt idx="4">
                  <c:v>1353000</c:v>
                </c:pt>
                <c:pt idx="5">
                  <c:v>1366000</c:v>
                </c:pt>
                <c:pt idx="6">
                  <c:v>1360000</c:v>
                </c:pt>
                <c:pt idx="7">
                  <c:v>1317000</c:v>
                </c:pt>
                <c:pt idx="8">
                  <c:v>1320000</c:v>
                </c:pt>
                <c:pt idx="9">
                  <c:v>1300000</c:v>
                </c:pt>
                <c:pt idx="10">
                  <c:v>1300000</c:v>
                </c:pt>
                <c:pt idx="11">
                  <c:v>1303000</c:v>
                </c:pt>
                <c:pt idx="12">
                  <c:v>1315000</c:v>
                </c:pt>
                <c:pt idx="13">
                  <c:v>1325000</c:v>
                </c:pt>
                <c:pt idx="14">
                  <c:v>1345000</c:v>
                </c:pt>
                <c:pt idx="15">
                  <c:v>1300000</c:v>
                </c:pt>
                <c:pt idx="16">
                  <c:v>1282000</c:v>
                </c:pt>
                <c:pt idx="17">
                  <c:v>1263000</c:v>
                </c:pt>
                <c:pt idx="18">
                  <c:v>1278000</c:v>
                </c:pt>
                <c:pt idx="19">
                  <c:v>1255000</c:v>
                </c:pt>
                <c:pt idx="20">
                  <c:v>1270000</c:v>
                </c:pt>
                <c:pt idx="21">
                  <c:v>1250000</c:v>
                </c:pt>
                <c:pt idx="22">
                  <c:v>1259000</c:v>
                </c:pt>
                <c:pt idx="23">
                  <c:v>1266000</c:v>
                </c:pt>
                <c:pt idx="24">
                  <c:v>1291000</c:v>
                </c:pt>
                <c:pt idx="25">
                  <c:v>1309000</c:v>
                </c:pt>
                <c:pt idx="26">
                  <c:v>1300000</c:v>
                </c:pt>
                <c:pt idx="27">
                  <c:v>1290000</c:v>
                </c:pt>
                <c:pt idx="28">
                  <c:v>1252000</c:v>
                </c:pt>
                <c:pt idx="29">
                  <c:v>1269000</c:v>
                </c:pt>
                <c:pt idx="30">
                  <c:v>1276000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C-4725-91EC-52B1DB58D988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cat>
            <c:numRef>
              <c:f>Sheet2!$A$5:$A$35</c:f>
              <c:numCache>
                <c:formatCode>m/d/yyyy</c:formatCode>
                <c:ptCount val="31"/>
                <c:pt idx="0">
                  <c:v>42142</c:v>
                </c:pt>
                <c:pt idx="1">
                  <c:v>42143</c:v>
                </c:pt>
                <c:pt idx="2">
                  <c:v>42144</c:v>
                </c:pt>
                <c:pt idx="3">
                  <c:v>42145</c:v>
                </c:pt>
                <c:pt idx="4">
                  <c:v>42146</c:v>
                </c:pt>
                <c:pt idx="5">
                  <c:v>42150</c:v>
                </c:pt>
                <c:pt idx="6">
                  <c:v>42151</c:v>
                </c:pt>
                <c:pt idx="7">
                  <c:v>42152</c:v>
                </c:pt>
                <c:pt idx="8">
                  <c:v>42153</c:v>
                </c:pt>
                <c:pt idx="9">
                  <c:v>42156</c:v>
                </c:pt>
                <c:pt idx="10">
                  <c:v>42157</c:v>
                </c:pt>
                <c:pt idx="11">
                  <c:v>42158</c:v>
                </c:pt>
                <c:pt idx="12">
                  <c:v>42159</c:v>
                </c:pt>
                <c:pt idx="13">
                  <c:v>42160</c:v>
                </c:pt>
                <c:pt idx="14">
                  <c:v>42163</c:v>
                </c:pt>
                <c:pt idx="15">
                  <c:v>42164</c:v>
                </c:pt>
                <c:pt idx="16">
                  <c:v>42165</c:v>
                </c:pt>
                <c:pt idx="17">
                  <c:v>42166</c:v>
                </c:pt>
                <c:pt idx="18">
                  <c:v>42167</c:v>
                </c:pt>
                <c:pt idx="19">
                  <c:v>42170</c:v>
                </c:pt>
                <c:pt idx="20">
                  <c:v>42171</c:v>
                </c:pt>
                <c:pt idx="21">
                  <c:v>42172</c:v>
                </c:pt>
                <c:pt idx="22">
                  <c:v>42173</c:v>
                </c:pt>
                <c:pt idx="23">
                  <c:v>42174</c:v>
                </c:pt>
                <c:pt idx="24">
                  <c:v>42177</c:v>
                </c:pt>
                <c:pt idx="25">
                  <c:v>42178</c:v>
                </c:pt>
                <c:pt idx="26">
                  <c:v>42179</c:v>
                </c:pt>
                <c:pt idx="27">
                  <c:v>42180</c:v>
                </c:pt>
                <c:pt idx="28">
                  <c:v>42181</c:v>
                </c:pt>
                <c:pt idx="29">
                  <c:v>42184</c:v>
                </c:pt>
                <c:pt idx="30">
                  <c:v>42185</c:v>
                </c:pt>
              </c:numCache>
            </c:numRef>
          </c:cat>
          <c:val>
            <c:numRef>
              <c:f>Sheet2!$C$5:$C$35</c:f>
              <c:numCache>
                <c:formatCode>General</c:formatCode>
                <c:ptCount val="31"/>
                <c:pt idx="0">
                  <c:v>1335000</c:v>
                </c:pt>
                <c:pt idx="1">
                  <c:v>1355000</c:v>
                </c:pt>
                <c:pt idx="2">
                  <c:v>1370000</c:v>
                </c:pt>
                <c:pt idx="3">
                  <c:v>1372000</c:v>
                </c:pt>
                <c:pt idx="4">
                  <c:v>1353000</c:v>
                </c:pt>
                <c:pt idx="5">
                  <c:v>1369000</c:v>
                </c:pt>
                <c:pt idx="6">
                  <c:v>1366000</c:v>
                </c:pt>
                <c:pt idx="7">
                  <c:v>1321000</c:v>
                </c:pt>
                <c:pt idx="8">
                  <c:v>1321000</c:v>
                </c:pt>
                <c:pt idx="9">
                  <c:v>1301000</c:v>
                </c:pt>
                <c:pt idx="10">
                  <c:v>1303000</c:v>
                </c:pt>
                <c:pt idx="11">
                  <c:v>1316000</c:v>
                </c:pt>
                <c:pt idx="12">
                  <c:v>1341000</c:v>
                </c:pt>
                <c:pt idx="13">
                  <c:v>1355000</c:v>
                </c:pt>
                <c:pt idx="14">
                  <c:v>1347000</c:v>
                </c:pt>
                <c:pt idx="15">
                  <c:v>1310000</c:v>
                </c:pt>
                <c:pt idx="16">
                  <c:v>1294000</c:v>
                </c:pt>
                <c:pt idx="17">
                  <c:v>1274000</c:v>
                </c:pt>
                <c:pt idx="18">
                  <c:v>1287000</c:v>
                </c:pt>
                <c:pt idx="19">
                  <c:v>1274000</c:v>
                </c:pt>
                <c:pt idx="20">
                  <c:v>1274000</c:v>
                </c:pt>
                <c:pt idx="21">
                  <c:v>1266000</c:v>
                </c:pt>
                <c:pt idx="22">
                  <c:v>1279000</c:v>
                </c:pt>
                <c:pt idx="23">
                  <c:v>1278000</c:v>
                </c:pt>
                <c:pt idx="24">
                  <c:v>1296000</c:v>
                </c:pt>
                <c:pt idx="25">
                  <c:v>1328000</c:v>
                </c:pt>
                <c:pt idx="26">
                  <c:v>1311000</c:v>
                </c:pt>
                <c:pt idx="27">
                  <c:v>1303000</c:v>
                </c:pt>
                <c:pt idx="28">
                  <c:v>1290000</c:v>
                </c:pt>
                <c:pt idx="29">
                  <c:v>1285000</c:v>
                </c:pt>
                <c:pt idx="30">
                  <c:v>1285000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C-4725-91EC-52B1DB58D988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cat>
            <c:numRef>
              <c:f>Sheet2!$A$5:$A$35</c:f>
              <c:numCache>
                <c:formatCode>m/d/yyyy</c:formatCode>
                <c:ptCount val="31"/>
                <c:pt idx="0">
                  <c:v>42142</c:v>
                </c:pt>
                <c:pt idx="1">
                  <c:v>42143</c:v>
                </c:pt>
                <c:pt idx="2">
                  <c:v>42144</c:v>
                </c:pt>
                <c:pt idx="3">
                  <c:v>42145</c:v>
                </c:pt>
                <c:pt idx="4">
                  <c:v>42146</c:v>
                </c:pt>
                <c:pt idx="5">
                  <c:v>42150</c:v>
                </c:pt>
                <c:pt idx="6">
                  <c:v>42151</c:v>
                </c:pt>
                <c:pt idx="7">
                  <c:v>42152</c:v>
                </c:pt>
                <c:pt idx="8">
                  <c:v>42153</c:v>
                </c:pt>
                <c:pt idx="9">
                  <c:v>42156</c:v>
                </c:pt>
                <c:pt idx="10">
                  <c:v>42157</c:v>
                </c:pt>
                <c:pt idx="11">
                  <c:v>42158</c:v>
                </c:pt>
                <c:pt idx="12">
                  <c:v>42159</c:v>
                </c:pt>
                <c:pt idx="13">
                  <c:v>42160</c:v>
                </c:pt>
                <c:pt idx="14">
                  <c:v>42163</c:v>
                </c:pt>
                <c:pt idx="15">
                  <c:v>42164</c:v>
                </c:pt>
                <c:pt idx="16">
                  <c:v>42165</c:v>
                </c:pt>
                <c:pt idx="17">
                  <c:v>42166</c:v>
                </c:pt>
                <c:pt idx="18">
                  <c:v>42167</c:v>
                </c:pt>
                <c:pt idx="19">
                  <c:v>42170</c:v>
                </c:pt>
                <c:pt idx="20">
                  <c:v>42171</c:v>
                </c:pt>
                <c:pt idx="21">
                  <c:v>42172</c:v>
                </c:pt>
                <c:pt idx="22">
                  <c:v>42173</c:v>
                </c:pt>
                <c:pt idx="23">
                  <c:v>42174</c:v>
                </c:pt>
                <c:pt idx="24">
                  <c:v>42177</c:v>
                </c:pt>
                <c:pt idx="25">
                  <c:v>42178</c:v>
                </c:pt>
                <c:pt idx="26">
                  <c:v>42179</c:v>
                </c:pt>
                <c:pt idx="27">
                  <c:v>42180</c:v>
                </c:pt>
                <c:pt idx="28">
                  <c:v>42181</c:v>
                </c:pt>
                <c:pt idx="29">
                  <c:v>42184</c:v>
                </c:pt>
                <c:pt idx="30">
                  <c:v>42185</c:v>
                </c:pt>
              </c:numCache>
            </c:numRef>
          </c:cat>
          <c:val>
            <c:numRef>
              <c:f>Sheet2!$D$5:$D$35</c:f>
              <c:numCache>
                <c:formatCode>General</c:formatCode>
                <c:ptCount val="31"/>
                <c:pt idx="0">
                  <c:v>1309000</c:v>
                </c:pt>
                <c:pt idx="1">
                  <c:v>1307000</c:v>
                </c:pt>
                <c:pt idx="2">
                  <c:v>1341000</c:v>
                </c:pt>
                <c:pt idx="3">
                  <c:v>1344000</c:v>
                </c:pt>
                <c:pt idx="4">
                  <c:v>1335000</c:v>
                </c:pt>
                <c:pt idx="5">
                  <c:v>1336000</c:v>
                </c:pt>
                <c:pt idx="6">
                  <c:v>1313000</c:v>
                </c:pt>
                <c:pt idx="7">
                  <c:v>1301000</c:v>
                </c:pt>
                <c:pt idx="8">
                  <c:v>1297000</c:v>
                </c:pt>
                <c:pt idx="9">
                  <c:v>1288000</c:v>
                </c:pt>
                <c:pt idx="10">
                  <c:v>1288000</c:v>
                </c:pt>
                <c:pt idx="11">
                  <c:v>1265000</c:v>
                </c:pt>
                <c:pt idx="12">
                  <c:v>1305000</c:v>
                </c:pt>
                <c:pt idx="13">
                  <c:v>1320000</c:v>
                </c:pt>
                <c:pt idx="14">
                  <c:v>1313000</c:v>
                </c:pt>
                <c:pt idx="15">
                  <c:v>1268000</c:v>
                </c:pt>
                <c:pt idx="16">
                  <c:v>1262000</c:v>
                </c:pt>
                <c:pt idx="17">
                  <c:v>1253000</c:v>
                </c:pt>
                <c:pt idx="18">
                  <c:v>1264000</c:v>
                </c:pt>
                <c:pt idx="19">
                  <c:v>1255000</c:v>
                </c:pt>
                <c:pt idx="20">
                  <c:v>1245000</c:v>
                </c:pt>
                <c:pt idx="21">
                  <c:v>1240000</c:v>
                </c:pt>
                <c:pt idx="22">
                  <c:v>1251000</c:v>
                </c:pt>
                <c:pt idx="23">
                  <c:v>1260000</c:v>
                </c:pt>
                <c:pt idx="24">
                  <c:v>1276000</c:v>
                </c:pt>
                <c:pt idx="25">
                  <c:v>1291000</c:v>
                </c:pt>
                <c:pt idx="26">
                  <c:v>1291000</c:v>
                </c:pt>
                <c:pt idx="27">
                  <c:v>1269000</c:v>
                </c:pt>
                <c:pt idx="28">
                  <c:v>1252000</c:v>
                </c:pt>
                <c:pt idx="29">
                  <c:v>1256000</c:v>
                </c:pt>
                <c:pt idx="30">
                  <c:v>1266000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7C-4725-91EC-52B1DB58D988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cat>
            <c:numRef>
              <c:f>Sheet2!$A$5:$A$35</c:f>
              <c:numCache>
                <c:formatCode>m/d/yyyy</c:formatCode>
                <c:ptCount val="31"/>
                <c:pt idx="0">
                  <c:v>42142</c:v>
                </c:pt>
                <c:pt idx="1">
                  <c:v>42143</c:v>
                </c:pt>
                <c:pt idx="2">
                  <c:v>42144</c:v>
                </c:pt>
                <c:pt idx="3">
                  <c:v>42145</c:v>
                </c:pt>
                <c:pt idx="4">
                  <c:v>42146</c:v>
                </c:pt>
                <c:pt idx="5">
                  <c:v>42150</c:v>
                </c:pt>
                <c:pt idx="6">
                  <c:v>42151</c:v>
                </c:pt>
                <c:pt idx="7">
                  <c:v>42152</c:v>
                </c:pt>
                <c:pt idx="8">
                  <c:v>42153</c:v>
                </c:pt>
                <c:pt idx="9">
                  <c:v>42156</c:v>
                </c:pt>
                <c:pt idx="10">
                  <c:v>42157</c:v>
                </c:pt>
                <c:pt idx="11">
                  <c:v>42158</c:v>
                </c:pt>
                <c:pt idx="12">
                  <c:v>42159</c:v>
                </c:pt>
                <c:pt idx="13">
                  <c:v>42160</c:v>
                </c:pt>
                <c:pt idx="14">
                  <c:v>42163</c:v>
                </c:pt>
                <c:pt idx="15">
                  <c:v>42164</c:v>
                </c:pt>
                <c:pt idx="16">
                  <c:v>42165</c:v>
                </c:pt>
                <c:pt idx="17">
                  <c:v>42166</c:v>
                </c:pt>
                <c:pt idx="18">
                  <c:v>42167</c:v>
                </c:pt>
                <c:pt idx="19">
                  <c:v>42170</c:v>
                </c:pt>
                <c:pt idx="20">
                  <c:v>42171</c:v>
                </c:pt>
                <c:pt idx="21">
                  <c:v>42172</c:v>
                </c:pt>
                <c:pt idx="22">
                  <c:v>42173</c:v>
                </c:pt>
                <c:pt idx="23">
                  <c:v>42174</c:v>
                </c:pt>
                <c:pt idx="24">
                  <c:v>42177</c:v>
                </c:pt>
                <c:pt idx="25">
                  <c:v>42178</c:v>
                </c:pt>
                <c:pt idx="26">
                  <c:v>42179</c:v>
                </c:pt>
                <c:pt idx="27">
                  <c:v>42180</c:v>
                </c:pt>
                <c:pt idx="28">
                  <c:v>42181</c:v>
                </c:pt>
                <c:pt idx="29">
                  <c:v>42184</c:v>
                </c:pt>
                <c:pt idx="30">
                  <c:v>42185</c:v>
                </c:pt>
              </c:numCache>
            </c:numRef>
          </c:cat>
          <c:val>
            <c:numRef>
              <c:f>Sheet2!$E$5:$E$35</c:f>
              <c:numCache>
                <c:formatCode>General</c:formatCode>
                <c:ptCount val="31"/>
                <c:pt idx="0">
                  <c:v>1320000</c:v>
                </c:pt>
                <c:pt idx="1">
                  <c:v>1338000</c:v>
                </c:pt>
                <c:pt idx="2">
                  <c:v>1366000</c:v>
                </c:pt>
                <c:pt idx="3">
                  <c:v>1352000</c:v>
                </c:pt>
                <c:pt idx="4">
                  <c:v>1350000</c:v>
                </c:pt>
                <c:pt idx="5">
                  <c:v>1362000</c:v>
                </c:pt>
                <c:pt idx="6">
                  <c:v>1314000</c:v>
                </c:pt>
                <c:pt idx="7">
                  <c:v>1309000</c:v>
                </c:pt>
                <c:pt idx="8">
                  <c:v>1307000</c:v>
                </c:pt>
                <c:pt idx="9">
                  <c:v>1291000</c:v>
                </c:pt>
                <c:pt idx="10">
                  <c:v>1303000</c:v>
                </c:pt>
                <c:pt idx="11">
                  <c:v>1273000</c:v>
                </c:pt>
                <c:pt idx="12">
                  <c:v>1337000</c:v>
                </c:pt>
                <c:pt idx="13">
                  <c:v>1341000</c:v>
                </c:pt>
                <c:pt idx="14">
                  <c:v>1314000</c:v>
                </c:pt>
                <c:pt idx="15">
                  <c:v>1282000</c:v>
                </c:pt>
                <c:pt idx="16">
                  <c:v>1262000</c:v>
                </c:pt>
                <c:pt idx="17">
                  <c:v>1257000</c:v>
                </c:pt>
                <c:pt idx="18">
                  <c:v>1277000</c:v>
                </c:pt>
                <c:pt idx="19">
                  <c:v>1270000</c:v>
                </c:pt>
                <c:pt idx="20">
                  <c:v>1255000</c:v>
                </c:pt>
                <c:pt idx="21">
                  <c:v>1254000</c:v>
                </c:pt>
                <c:pt idx="22">
                  <c:v>1265000</c:v>
                </c:pt>
                <c:pt idx="23">
                  <c:v>1266000</c:v>
                </c:pt>
                <c:pt idx="24">
                  <c:v>1281000</c:v>
                </c:pt>
                <c:pt idx="25">
                  <c:v>1321000</c:v>
                </c:pt>
                <c:pt idx="26">
                  <c:v>1302000</c:v>
                </c:pt>
                <c:pt idx="27">
                  <c:v>1269000</c:v>
                </c:pt>
                <c:pt idx="28">
                  <c:v>1278000</c:v>
                </c:pt>
                <c:pt idx="29">
                  <c:v>1281000</c:v>
                </c:pt>
                <c:pt idx="30">
                  <c:v>1268000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7C-4725-91EC-52B1DB58D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upBars>
          <c:downBars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downBars>
        </c:upDownBars>
        <c:axId val="172959232"/>
        <c:axId val="710008128"/>
      </c:stockChart>
      <c:dateAx>
        <c:axId val="172959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0008128"/>
        <c:crosses val="autoZero"/>
        <c:auto val="1"/>
        <c:lblOffset val="100"/>
        <c:baseTimeUnit val="days"/>
      </c:dateAx>
      <c:valAx>
        <c:axId val="710008128"/>
        <c:scaling>
          <c:orientation val="minMax"/>
          <c:min val="1220000"/>
        </c:scaling>
        <c:delete val="0"/>
        <c:axPos val="l"/>
        <c:numFmt formatCode="General" sourceLinked="1"/>
        <c:majorTickMark val="out"/>
        <c:minorTickMark val="none"/>
        <c:tickLblPos val="nextTo"/>
        <c:crossAx val="172959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val>
            <c:numRef>
              <c:f>Sheet3!$A$1:$A$23</c:f>
              <c:numCache>
                <c:formatCode>0.0000</c:formatCode>
                <c:ptCount val="23"/>
                <c:pt idx="0">
                  <c:v>0.64084762156034658</c:v>
                </c:pt>
                <c:pt idx="1">
                  <c:v>0.74173426469669779</c:v>
                </c:pt>
                <c:pt idx="2">
                  <c:v>0.67108629060421832</c:v>
                </c:pt>
                <c:pt idx="3">
                  <c:v>0.68124205481624733</c:v>
                </c:pt>
                <c:pt idx="4">
                  <c:v>0.63425196362201963</c:v>
                </c:pt>
                <c:pt idx="5">
                  <c:v>0.6056544119840015</c:v>
                </c:pt>
                <c:pt idx="6">
                  <c:v>0.62647910065729762</c:v>
                </c:pt>
                <c:pt idx="7">
                  <c:v>0.6076992517219334</c:v>
                </c:pt>
                <c:pt idx="8">
                  <c:v>0.61532318872731462</c:v>
                </c:pt>
                <c:pt idx="9">
                  <c:v>0.65335774218053977</c:v>
                </c:pt>
                <c:pt idx="10">
                  <c:v>0.73677401307846702</c:v>
                </c:pt>
                <c:pt idx="11">
                  <c:v>0.58786455121062053</c:v>
                </c:pt>
                <c:pt idx="12">
                  <c:v>0.75088839088323456</c:v>
                </c:pt>
                <c:pt idx="13">
                  <c:v>0.74161621152744017</c:v>
                </c:pt>
                <c:pt idx="14">
                  <c:v>0.66318976288359954</c:v>
                </c:pt>
                <c:pt idx="15">
                  <c:v>0.75620511958238579</c:v>
                </c:pt>
                <c:pt idx="16">
                  <c:v>0.73621983960121207</c:v>
                </c:pt>
                <c:pt idx="17">
                  <c:v>0.634336460003041</c:v>
                </c:pt>
                <c:pt idx="18">
                  <c:v>0.67083487646374662</c:v>
                </c:pt>
                <c:pt idx="19">
                  <c:v>0.62449143238664395</c:v>
                </c:pt>
                <c:pt idx="20">
                  <c:v>0.65054830644380313</c:v>
                </c:pt>
                <c:pt idx="21">
                  <c:v>0.65208098324568364</c:v>
                </c:pt>
                <c:pt idx="22">
                  <c:v>0.67507992213559487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17-4453-A322-E258A899A298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Sheet3!$B$1:$B$23</c:f>
              <c:numCache>
                <c:formatCode>0.0000</c:formatCode>
                <c:ptCount val="23"/>
                <c:pt idx="0">
                  <c:v>0.65014641799798656</c:v>
                </c:pt>
                <c:pt idx="1">
                  <c:v>0.79842339657526928</c:v>
                </c:pt>
                <c:pt idx="2">
                  <c:v>0.7985809579915184</c:v>
                </c:pt>
                <c:pt idx="3">
                  <c:v>0.70025922113485206</c:v>
                </c:pt>
                <c:pt idx="4">
                  <c:v>0.73226776560715745</c:v>
                </c:pt>
                <c:pt idx="5">
                  <c:v>0.72465712686478156</c:v>
                </c:pt>
                <c:pt idx="6">
                  <c:v>0.66658707355526026</c:v>
                </c:pt>
                <c:pt idx="7">
                  <c:v>0.73583996497788817</c:v>
                </c:pt>
                <c:pt idx="8">
                  <c:v>0.68452433743144159</c:v>
                </c:pt>
                <c:pt idx="9">
                  <c:v>0.72464913903320127</c:v>
                </c:pt>
                <c:pt idx="10">
                  <c:v>0.78754308939279205</c:v>
                </c:pt>
                <c:pt idx="11">
                  <c:v>0.71570627777416251</c:v>
                </c:pt>
                <c:pt idx="12">
                  <c:v>0.77133146033526867</c:v>
                </c:pt>
                <c:pt idx="13">
                  <c:v>0.76268083202903358</c:v>
                </c:pt>
                <c:pt idx="14">
                  <c:v>0.66318976288359954</c:v>
                </c:pt>
                <c:pt idx="15">
                  <c:v>0.76734278833912117</c:v>
                </c:pt>
                <c:pt idx="16">
                  <c:v>0.74748652568370966</c:v>
                </c:pt>
                <c:pt idx="17">
                  <c:v>0.71063669206560975</c:v>
                </c:pt>
                <c:pt idx="18">
                  <c:v>0.75873607798332987</c:v>
                </c:pt>
                <c:pt idx="19">
                  <c:v>0.67156091011985264</c:v>
                </c:pt>
                <c:pt idx="20">
                  <c:v>0.65054830644380313</c:v>
                </c:pt>
                <c:pt idx="21">
                  <c:v>0.65208098324568364</c:v>
                </c:pt>
                <c:pt idx="22">
                  <c:v>0.67507992213559487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17-4453-A322-E258A899A298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val>
            <c:numRef>
              <c:f>Sheet3!$C$1:$C$23</c:f>
              <c:numCache>
                <c:formatCode>0.0000</c:formatCode>
                <c:ptCount val="23"/>
                <c:pt idx="0">
                  <c:v>0.38978011774403171</c:v>
                </c:pt>
                <c:pt idx="1">
                  <c:v>0.29766939831456579</c:v>
                </c:pt>
                <c:pt idx="2">
                  <c:v>0.29840957054903522</c:v>
                </c:pt>
                <c:pt idx="3">
                  <c:v>0.37696739371856208</c:v>
                </c:pt>
                <c:pt idx="4">
                  <c:v>0.32060139726957926</c:v>
                </c:pt>
                <c:pt idx="5">
                  <c:v>0.40731655384937071</c:v>
                </c:pt>
                <c:pt idx="6">
                  <c:v>0.37580427004503142</c:v>
                </c:pt>
                <c:pt idx="7">
                  <c:v>0.40070271492385284</c:v>
                </c:pt>
                <c:pt idx="8">
                  <c:v>0.417605621001234</c:v>
                </c:pt>
                <c:pt idx="9">
                  <c:v>0.34782318424056241</c:v>
                </c:pt>
                <c:pt idx="10">
                  <c:v>0.29000614151240295</c:v>
                </c:pt>
                <c:pt idx="11">
                  <c:v>0.4108529298149452</c:v>
                </c:pt>
                <c:pt idx="12">
                  <c:v>0.31136239766451207</c:v>
                </c:pt>
                <c:pt idx="13">
                  <c:v>0.26766225024153739</c:v>
                </c:pt>
                <c:pt idx="14">
                  <c:v>0.40388027948604716</c:v>
                </c:pt>
                <c:pt idx="15">
                  <c:v>0.3106983693130102</c:v>
                </c:pt>
                <c:pt idx="16">
                  <c:v>0.33061914063130415</c:v>
                </c:pt>
                <c:pt idx="17">
                  <c:v>0.32913553175276838</c:v>
                </c:pt>
                <c:pt idx="18">
                  <c:v>0.3082424201954595</c:v>
                </c:pt>
                <c:pt idx="19">
                  <c:v>0.40091141315391099</c:v>
                </c:pt>
                <c:pt idx="20">
                  <c:v>0.36058579278722069</c:v>
                </c:pt>
                <c:pt idx="21">
                  <c:v>0.38083457167385304</c:v>
                </c:pt>
                <c:pt idx="22">
                  <c:v>0.38813615043825511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17-4453-A322-E258A899A298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Sheet3!$D$1:$D$23</c:f>
              <c:numCache>
                <c:formatCode>0.0000</c:formatCode>
                <c:ptCount val="23"/>
                <c:pt idx="0">
                  <c:v>0.46417048924516247</c:v>
                </c:pt>
                <c:pt idx="1">
                  <c:v>0.30711758696099434</c:v>
                </c:pt>
                <c:pt idx="2">
                  <c:v>0.37686782740275815</c:v>
                </c:pt>
                <c:pt idx="3">
                  <c:v>0.38647597687786445</c:v>
                </c:pt>
                <c:pt idx="4">
                  <c:v>0.45782352004877103</c:v>
                </c:pt>
                <c:pt idx="5">
                  <c:v>0.40731655384937071</c:v>
                </c:pt>
                <c:pt idx="6">
                  <c:v>0.47607420228993791</c:v>
                </c:pt>
                <c:pt idx="7">
                  <c:v>0.40070271492385284</c:v>
                </c:pt>
                <c:pt idx="8">
                  <c:v>0.42749149938753844</c:v>
                </c:pt>
                <c:pt idx="9">
                  <c:v>0.41911458109322386</c:v>
                </c:pt>
                <c:pt idx="10">
                  <c:v>0.33062140256386385</c:v>
                </c:pt>
                <c:pt idx="11">
                  <c:v>0.43052088774779768</c:v>
                </c:pt>
                <c:pt idx="12">
                  <c:v>0.31136239766451207</c:v>
                </c:pt>
                <c:pt idx="13">
                  <c:v>0.37298535274951611</c:v>
                </c:pt>
                <c:pt idx="14">
                  <c:v>0.41468484129427963</c:v>
                </c:pt>
                <c:pt idx="15">
                  <c:v>0.3106983693130102</c:v>
                </c:pt>
                <c:pt idx="16">
                  <c:v>0.33061914063130415</c:v>
                </c:pt>
                <c:pt idx="17">
                  <c:v>0.47083596272610956</c:v>
                </c:pt>
                <c:pt idx="18">
                  <c:v>0.40713127190499132</c:v>
                </c:pt>
                <c:pt idx="19">
                  <c:v>0.44798089088711829</c:v>
                </c:pt>
                <c:pt idx="20">
                  <c:v>0.48326224087269898</c:v>
                </c:pt>
                <c:pt idx="21">
                  <c:v>0.45994810838230427</c:v>
                </c:pt>
                <c:pt idx="22">
                  <c:v>0.40664865183808385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17-4453-A322-E258A899A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/>
          <c:downBars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downBars>
        </c:upDownBars>
        <c:axId val="705182208"/>
        <c:axId val="704841984"/>
      </c:stockChart>
      <c:catAx>
        <c:axId val="705182208"/>
        <c:scaling>
          <c:orientation val="minMax"/>
        </c:scaling>
        <c:delete val="0"/>
        <c:axPos val="b"/>
        <c:majorTickMark val="out"/>
        <c:minorTickMark val="none"/>
        <c:tickLblPos val="nextTo"/>
        <c:crossAx val="704841984"/>
        <c:crosses val="autoZero"/>
        <c:auto val="1"/>
        <c:lblAlgn val="ctr"/>
        <c:lblOffset val="100"/>
        <c:noMultiLvlLbl val="0"/>
      </c:catAx>
      <c:valAx>
        <c:axId val="704841984"/>
        <c:scaling>
          <c:orientation val="minMax"/>
          <c:max val="1.2"/>
        </c:scaling>
        <c:delete val="0"/>
        <c:axPos val="l"/>
        <c:numFmt formatCode="0.0000" sourceLinked="1"/>
        <c:majorTickMark val="out"/>
        <c:minorTickMark val="none"/>
        <c:tickLblPos val="nextTo"/>
        <c:crossAx val="70518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val>
            <c:numRef>
              <c:f>Sheet3!$F$1:$F$22</c:f>
              <c:numCache>
                <c:formatCode>General</c:formatCode>
                <c:ptCount val="22"/>
                <c:pt idx="0">
                  <c:v>0.44831482676090656</c:v>
                </c:pt>
                <c:pt idx="1">
                  <c:v>0.37668993506170473</c:v>
                </c:pt>
                <c:pt idx="2">
                  <c:v>0.40792039276172493</c:v>
                </c:pt>
                <c:pt idx="3">
                  <c:v>0.38519379093251138</c:v>
                </c:pt>
                <c:pt idx="4">
                  <c:v>0.3688662181748959</c:v>
                </c:pt>
                <c:pt idx="5">
                  <c:v>0.22612315463824179</c:v>
                </c:pt>
                <c:pt idx="6">
                  <c:v>0.48837070424186857</c:v>
                </c:pt>
                <c:pt idx="7">
                  <c:v>0.64465549486400986</c:v>
                </c:pt>
                <c:pt idx="8">
                  <c:v>0.48625972505157478</c:v>
                </c:pt>
                <c:pt idx="9">
                  <c:v>0.41035200937673882</c:v>
                </c:pt>
                <c:pt idx="10">
                  <c:v>0.35009013294922142</c:v>
                </c:pt>
                <c:pt idx="11">
                  <c:v>0.31383994683662808</c:v>
                </c:pt>
                <c:pt idx="12">
                  <c:v>0.37173319383679221</c:v>
                </c:pt>
                <c:pt idx="13">
                  <c:v>0.29044454032976846</c:v>
                </c:pt>
                <c:pt idx="14">
                  <c:v>0.38063267130795608</c:v>
                </c:pt>
                <c:pt idx="15">
                  <c:v>0.41617547251749659</c:v>
                </c:pt>
                <c:pt idx="16">
                  <c:v>0.37841776681059214</c:v>
                </c:pt>
                <c:pt idx="17">
                  <c:v>0.35159915023571092</c:v>
                </c:pt>
                <c:pt idx="18">
                  <c:v>0.29960590417242444</c:v>
                </c:pt>
                <c:pt idx="19">
                  <c:v>0.29974479425473333</c:v>
                </c:pt>
                <c:pt idx="20">
                  <c:v>0.26698023623572747</c:v>
                </c:pt>
                <c:pt idx="21">
                  <c:v>0.42624351473994559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09-4E7C-A4B7-4285AFD3AD12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Sheet3!$G$1:$G$22</c:f>
              <c:numCache>
                <c:formatCode>General</c:formatCode>
                <c:ptCount val="22"/>
                <c:pt idx="0">
                  <c:v>0.77148513873746249</c:v>
                </c:pt>
                <c:pt idx="1">
                  <c:v>0.75561222317774845</c:v>
                </c:pt>
                <c:pt idx="2">
                  <c:v>0.74351548058905836</c:v>
                </c:pt>
                <c:pt idx="3">
                  <c:v>0.78456005923559247</c:v>
                </c:pt>
                <c:pt idx="4">
                  <c:v>0.72389337097304896</c:v>
                </c:pt>
                <c:pt idx="5">
                  <c:v>0.87156160822890694</c:v>
                </c:pt>
                <c:pt idx="6">
                  <c:v>0.74029416421562222</c:v>
                </c:pt>
                <c:pt idx="7">
                  <c:v>0.96112273779725299</c:v>
                </c:pt>
                <c:pt idx="8">
                  <c:v>0.69792463294228924</c:v>
                </c:pt>
                <c:pt idx="9">
                  <c:v>0.71481600554080549</c:v>
                </c:pt>
                <c:pt idx="10">
                  <c:v>0.75016517968090868</c:v>
                </c:pt>
                <c:pt idx="11">
                  <c:v>0.82372395150062494</c:v>
                </c:pt>
                <c:pt idx="12">
                  <c:v>0.75746429074734667</c:v>
                </c:pt>
                <c:pt idx="13">
                  <c:v>0.849297068775415</c:v>
                </c:pt>
                <c:pt idx="14">
                  <c:v>0.76211219598532209</c:v>
                </c:pt>
                <c:pt idx="15">
                  <c:v>1</c:v>
                </c:pt>
                <c:pt idx="16">
                  <c:v>0.7961723413507702</c:v>
                </c:pt>
                <c:pt idx="17">
                  <c:v>0.74485200568755472</c:v>
                </c:pt>
                <c:pt idx="18">
                  <c:v>0.81277995650498314</c:v>
                </c:pt>
                <c:pt idx="19">
                  <c:v>0.77272752901902897</c:v>
                </c:pt>
                <c:pt idx="20">
                  <c:v>0.80549208703803477</c:v>
                </c:pt>
                <c:pt idx="21">
                  <c:v>0.71273599037847857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09-4E7C-A4B7-4285AFD3AD12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val>
            <c:numRef>
              <c:f>Sheet3!$H$1:$H$22</c:f>
              <c:numCache>
                <c:formatCode>General</c:formatCode>
                <c:ptCount val="22"/>
                <c:pt idx="0">
                  <c:v>0.31524469829997159</c:v>
                </c:pt>
                <c:pt idx="1">
                  <c:v>0.37668993506170473</c:v>
                </c:pt>
                <c:pt idx="2">
                  <c:v>0.31908639892507784</c:v>
                </c:pt>
                <c:pt idx="3">
                  <c:v>0.38519379093251138</c:v>
                </c:pt>
                <c:pt idx="4">
                  <c:v>0.32829168642653633</c:v>
                </c:pt>
                <c:pt idx="5">
                  <c:v>0.22612315463824179</c:v>
                </c:pt>
                <c:pt idx="6">
                  <c:v>0.29690887466181426</c:v>
                </c:pt>
                <c:pt idx="7">
                  <c:v>0</c:v>
                </c:pt>
                <c:pt idx="8">
                  <c:v>0.26283565561137684</c:v>
                </c:pt>
                <c:pt idx="9">
                  <c:v>0.36351139458226683</c:v>
                </c:pt>
                <c:pt idx="10">
                  <c:v>0.35009013294922142</c:v>
                </c:pt>
                <c:pt idx="11">
                  <c:v>0.20535398839747906</c:v>
                </c:pt>
                <c:pt idx="12">
                  <c:v>0.25828287121604027</c:v>
                </c:pt>
                <c:pt idx="13">
                  <c:v>0.16625508956406954</c:v>
                </c:pt>
                <c:pt idx="14">
                  <c:v>0.3705937364480244</c:v>
                </c:pt>
                <c:pt idx="15">
                  <c:v>0.35967632469660848</c:v>
                </c:pt>
                <c:pt idx="16">
                  <c:v>0.34128402685146481</c:v>
                </c:pt>
                <c:pt idx="17">
                  <c:v>0.35159915023571092</c:v>
                </c:pt>
                <c:pt idx="18">
                  <c:v>0.29960590417242444</c:v>
                </c:pt>
                <c:pt idx="19">
                  <c:v>0.29974479425473333</c:v>
                </c:pt>
                <c:pt idx="20">
                  <c:v>0.26698023623572747</c:v>
                </c:pt>
                <c:pt idx="21">
                  <c:v>0.33415664757041597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09-4E7C-A4B7-4285AFD3AD12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Sheet3!$I$1:$I$22</c:f>
              <c:numCache>
                <c:formatCode>General</c:formatCode>
                <c:ptCount val="22"/>
                <c:pt idx="0">
                  <c:v>0.60989998274918522</c:v>
                </c:pt>
                <c:pt idx="1">
                  <c:v>0.63595255324636668</c:v>
                </c:pt>
                <c:pt idx="2">
                  <c:v>0.67442237427166618</c:v>
                </c:pt>
                <c:pt idx="3">
                  <c:v>0.58999700544691203</c:v>
                </c:pt>
                <c:pt idx="4">
                  <c:v>0.72389337097304896</c:v>
                </c:pt>
                <c:pt idx="5">
                  <c:v>0.82113672904213675</c:v>
                </c:pt>
                <c:pt idx="6">
                  <c:v>0.61937090342822076</c:v>
                </c:pt>
                <c:pt idx="7">
                  <c:v>0.53916641388626307</c:v>
                </c:pt>
                <c:pt idx="8">
                  <c:v>0.69792463294228924</c:v>
                </c:pt>
                <c:pt idx="9">
                  <c:v>0.65626523704771622</c:v>
                </c:pt>
                <c:pt idx="10">
                  <c:v>0.69459920096817573</c:v>
                </c:pt>
                <c:pt idx="11">
                  <c:v>0.80202675981279659</c:v>
                </c:pt>
                <c:pt idx="12">
                  <c:v>0.75746429074734667</c:v>
                </c:pt>
                <c:pt idx="13">
                  <c:v>0.83894794787827431</c:v>
                </c:pt>
                <c:pt idx="14">
                  <c:v>0.63160604280622334</c:v>
                </c:pt>
                <c:pt idx="15">
                  <c:v>0.36909284933342362</c:v>
                </c:pt>
                <c:pt idx="16">
                  <c:v>0.62907051153470006</c:v>
                </c:pt>
                <c:pt idx="17">
                  <c:v>0.6968943403885508</c:v>
                </c:pt>
                <c:pt idx="18">
                  <c:v>0.73295288169769524</c:v>
                </c:pt>
                <c:pt idx="19">
                  <c:v>0.77272752901902897</c:v>
                </c:pt>
                <c:pt idx="20">
                  <c:v>0.80549208703803477</c:v>
                </c:pt>
                <c:pt idx="21">
                  <c:v>0.67180849385868857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09-4E7C-A4B7-4285AFD3A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upBars>
          <c:downBars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downBars>
        </c:upDownBars>
        <c:axId val="704720896"/>
        <c:axId val="704843712"/>
      </c:stockChart>
      <c:catAx>
        <c:axId val="704720896"/>
        <c:scaling>
          <c:orientation val="minMax"/>
        </c:scaling>
        <c:delete val="0"/>
        <c:axPos val="b"/>
        <c:majorTickMark val="out"/>
        <c:minorTickMark val="none"/>
        <c:tickLblPos val="nextTo"/>
        <c:crossAx val="704843712"/>
        <c:crosses val="autoZero"/>
        <c:auto val="1"/>
        <c:lblAlgn val="ctr"/>
        <c:lblOffset val="100"/>
        <c:noMultiLvlLbl val="0"/>
      </c:catAx>
      <c:valAx>
        <c:axId val="7048437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04720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val>
            <c:numRef>
              <c:f>Sheet3!$K$1:$K$22</c:f>
              <c:numCache>
                <c:formatCode>General</c:formatCode>
                <c:ptCount val="22"/>
                <c:pt idx="0">
                  <c:v>0.63406699324650495</c:v>
                </c:pt>
                <c:pt idx="1">
                  <c:v>0.58548951121539083</c:v>
                </c:pt>
                <c:pt idx="2">
                  <c:v>0.60838142063532885</c:v>
                </c:pt>
                <c:pt idx="3">
                  <c:v>0.58442228380183248</c:v>
                </c:pt>
                <c:pt idx="4">
                  <c:v>0.62061010748300105</c:v>
                </c:pt>
                <c:pt idx="5">
                  <c:v>0.5850548429344985</c:v>
                </c:pt>
                <c:pt idx="6">
                  <c:v>0.55084229000355311</c:v>
                </c:pt>
                <c:pt idx="7">
                  <c:v>0.54876245295457859</c:v>
                </c:pt>
                <c:pt idx="8">
                  <c:v>0.55109402116224426</c:v>
                </c:pt>
                <c:pt idx="9">
                  <c:v>0.52127280251725772</c:v>
                </c:pt>
                <c:pt idx="10">
                  <c:v>0.58539649778028302</c:v>
                </c:pt>
                <c:pt idx="11">
                  <c:v>0.52651745413797124</c:v>
                </c:pt>
                <c:pt idx="12">
                  <c:v>0.55857106764370046</c:v>
                </c:pt>
                <c:pt idx="13">
                  <c:v>0.53113981401250365</c:v>
                </c:pt>
                <c:pt idx="14">
                  <c:v>0.53120871095851852</c:v>
                </c:pt>
                <c:pt idx="15">
                  <c:v>0.63115387426650482</c:v>
                </c:pt>
                <c:pt idx="16">
                  <c:v>0.56424913706828284</c:v>
                </c:pt>
                <c:pt idx="17">
                  <c:v>0.51052644537807168</c:v>
                </c:pt>
                <c:pt idx="18">
                  <c:v>0.49010874124582182</c:v>
                </c:pt>
                <c:pt idx="19">
                  <c:v>0.60873330292255479</c:v>
                </c:pt>
                <c:pt idx="20">
                  <c:v>0.55567571120696302</c:v>
                </c:pt>
                <c:pt idx="21">
                  <c:v>0.61346850822726584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64-4E42-8BF3-322718A5B216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Sheet3!$L$1:$L$22</c:f>
              <c:numCache>
                <c:formatCode>General</c:formatCode>
                <c:ptCount val="22"/>
                <c:pt idx="0">
                  <c:v>0.63406699324650495</c:v>
                </c:pt>
                <c:pt idx="1">
                  <c:v>0.58548951121539083</c:v>
                </c:pt>
                <c:pt idx="2">
                  <c:v>0.6363086176669851</c:v>
                </c:pt>
                <c:pt idx="3">
                  <c:v>0.62297118153379072</c:v>
                </c:pt>
                <c:pt idx="4">
                  <c:v>0.63025284415112914</c:v>
                </c:pt>
                <c:pt idx="5">
                  <c:v>0.59481857919402303</c:v>
                </c:pt>
                <c:pt idx="6">
                  <c:v>0.58005454673689838</c:v>
                </c:pt>
                <c:pt idx="7">
                  <c:v>0.65899381655030653</c:v>
                </c:pt>
                <c:pt idx="8">
                  <c:v>0.64024117831441341</c:v>
                </c:pt>
                <c:pt idx="9">
                  <c:v>0.64097967547425316</c:v>
                </c:pt>
                <c:pt idx="10">
                  <c:v>0.63455683392368423</c:v>
                </c:pt>
                <c:pt idx="11">
                  <c:v>0.63342323662598798</c:v>
                </c:pt>
                <c:pt idx="12">
                  <c:v>0.64791069167097759</c:v>
                </c:pt>
                <c:pt idx="13">
                  <c:v>0.64325946174882886</c:v>
                </c:pt>
                <c:pt idx="14">
                  <c:v>0.62170282316905179</c:v>
                </c:pt>
                <c:pt idx="15">
                  <c:v>0.65113655060958064</c:v>
                </c:pt>
                <c:pt idx="16">
                  <c:v>0.65592796575287171</c:v>
                </c:pt>
                <c:pt idx="17">
                  <c:v>0.62364919691683685</c:v>
                </c:pt>
                <c:pt idx="18">
                  <c:v>0.67461842281006179</c:v>
                </c:pt>
                <c:pt idx="19">
                  <c:v>0.60873330292255479</c:v>
                </c:pt>
                <c:pt idx="20">
                  <c:v>0.57789233928705541</c:v>
                </c:pt>
                <c:pt idx="21">
                  <c:v>0.61346850822726584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64-4E42-8BF3-322718A5B216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val>
            <c:numRef>
              <c:f>Sheet3!$M$1:$M$22</c:f>
              <c:numCache>
                <c:formatCode>General</c:formatCode>
                <c:ptCount val="22"/>
                <c:pt idx="0">
                  <c:v>0.38591073745624177</c:v>
                </c:pt>
                <c:pt idx="1">
                  <c:v>0.41662088408907616</c:v>
                </c:pt>
                <c:pt idx="2">
                  <c:v>0.32910945031875777</c:v>
                </c:pt>
                <c:pt idx="3">
                  <c:v>0.43022669287399246</c:v>
                </c:pt>
                <c:pt idx="4">
                  <c:v>0.39882716411605923</c:v>
                </c:pt>
                <c:pt idx="5">
                  <c:v>0.467890007820219</c:v>
                </c:pt>
                <c:pt idx="6">
                  <c:v>0.43399326307017455</c:v>
                </c:pt>
                <c:pt idx="7">
                  <c:v>0.44855212241300702</c:v>
                </c:pt>
                <c:pt idx="8">
                  <c:v>0.4124206655922012</c:v>
                </c:pt>
                <c:pt idx="9">
                  <c:v>0.46141936603875866</c:v>
                </c:pt>
                <c:pt idx="10">
                  <c:v>0.4379154893500794</c:v>
                </c:pt>
                <c:pt idx="11">
                  <c:v>0.4390490866477757</c:v>
                </c:pt>
                <c:pt idx="12">
                  <c:v>0.45930481872450352</c:v>
                </c:pt>
                <c:pt idx="13">
                  <c:v>0.44959825202244885</c:v>
                </c:pt>
                <c:pt idx="14">
                  <c:v>0.44071459874798674</c:v>
                </c:pt>
                <c:pt idx="15">
                  <c:v>0.35139640546340761</c:v>
                </c:pt>
                <c:pt idx="16">
                  <c:v>0.46238377186318641</c:v>
                </c:pt>
                <c:pt idx="17">
                  <c:v>0.47967478586749929</c:v>
                </c:pt>
                <c:pt idx="18">
                  <c:v>0.4798582033811426</c:v>
                </c:pt>
                <c:pt idx="19">
                  <c:v>0.41540759282742745</c:v>
                </c:pt>
                <c:pt idx="20">
                  <c:v>0.44459257080649961</c:v>
                </c:pt>
                <c:pt idx="21">
                  <c:v>0.44797062267644322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64-4E42-8BF3-322718A5B216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Sheet3!$N$1:$N$22</c:f>
              <c:numCache>
                <c:formatCode>General</c:formatCode>
                <c:ptCount val="22"/>
                <c:pt idx="0">
                  <c:v>0.49089992259827558</c:v>
                </c:pt>
                <c:pt idx="1">
                  <c:v>0.55734474002767098</c:v>
                </c:pt>
                <c:pt idx="2">
                  <c:v>0.57114515792645282</c:v>
                </c:pt>
                <c:pt idx="3">
                  <c:v>0.50732448833791177</c:v>
                </c:pt>
                <c:pt idx="4">
                  <c:v>0.49525453079733789</c:v>
                </c:pt>
                <c:pt idx="5">
                  <c:v>0.49718121659878817</c:v>
                </c:pt>
                <c:pt idx="6">
                  <c:v>0.58005454673689838</c:v>
                </c:pt>
                <c:pt idx="7">
                  <c:v>0.48863625462963511</c:v>
                </c:pt>
                <c:pt idx="8">
                  <c:v>0.54118878147866833</c:v>
                </c:pt>
                <c:pt idx="9">
                  <c:v>0.52127280251725772</c:v>
                </c:pt>
                <c:pt idx="10">
                  <c:v>0.48707582549348061</c:v>
                </c:pt>
                <c:pt idx="11">
                  <c:v>0.54595486913579383</c:v>
                </c:pt>
                <c:pt idx="12">
                  <c:v>0.47915806850834292</c:v>
                </c:pt>
                <c:pt idx="13">
                  <c:v>0.52094711876374733</c:v>
                </c:pt>
                <c:pt idx="14">
                  <c:v>0.5513185136719716</c:v>
                </c:pt>
                <c:pt idx="15">
                  <c:v>0.51125781620803423</c:v>
                </c:pt>
                <c:pt idx="16">
                  <c:v>0.46238377186318641</c:v>
                </c:pt>
                <c:pt idx="17">
                  <c:v>0.5310942183851195</c:v>
                </c:pt>
                <c:pt idx="18">
                  <c:v>0.50035927911050249</c:v>
                </c:pt>
                <c:pt idx="19">
                  <c:v>0.51207044787499034</c:v>
                </c:pt>
                <c:pt idx="20">
                  <c:v>0.56678402524701066</c:v>
                </c:pt>
                <c:pt idx="21">
                  <c:v>0.47003700741655391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64-4E42-8BF3-322718A5B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/>
          <c:downBars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downBars>
        </c:upDownBars>
        <c:axId val="704722432"/>
        <c:axId val="704843136"/>
      </c:stockChart>
      <c:catAx>
        <c:axId val="704722432"/>
        <c:scaling>
          <c:orientation val="minMax"/>
        </c:scaling>
        <c:delete val="0"/>
        <c:axPos val="b"/>
        <c:majorTickMark val="out"/>
        <c:minorTickMark val="none"/>
        <c:tickLblPos val="nextTo"/>
        <c:crossAx val="704843136"/>
        <c:crosses val="autoZero"/>
        <c:auto val="1"/>
        <c:lblAlgn val="ctr"/>
        <c:lblOffset val="100"/>
        <c:noMultiLvlLbl val="0"/>
      </c:catAx>
      <c:valAx>
        <c:axId val="704843136"/>
        <c:scaling>
          <c:orientation val="minMax"/>
          <c:max val="1.2"/>
        </c:scaling>
        <c:delete val="0"/>
        <c:axPos val="l"/>
        <c:numFmt formatCode="General" sourceLinked="1"/>
        <c:majorTickMark val="out"/>
        <c:minorTickMark val="none"/>
        <c:tickLblPos val="nextTo"/>
        <c:crossAx val="704722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val>
            <c:numRef>
              <c:f>Sheet3!$P$1:$P$24</c:f>
              <c:numCache>
                <c:formatCode>General</c:formatCode>
                <c:ptCount val="24"/>
                <c:pt idx="0">
                  <c:v>0.46632809792835189</c:v>
                </c:pt>
                <c:pt idx="1">
                  <c:v>0.44554656908664714</c:v>
                </c:pt>
                <c:pt idx="2">
                  <c:v>0.43917464194031014</c:v>
                </c:pt>
                <c:pt idx="3">
                  <c:v>0.45117535682746124</c:v>
                </c:pt>
                <c:pt idx="4">
                  <c:v>0.51099855992813314</c:v>
                </c:pt>
                <c:pt idx="5">
                  <c:v>0.49120397085542428</c:v>
                </c:pt>
                <c:pt idx="6">
                  <c:v>0.50492114926708209</c:v>
                </c:pt>
                <c:pt idx="7">
                  <c:v>0.49898207072326139</c:v>
                </c:pt>
                <c:pt idx="8">
                  <c:v>0.46292322122666102</c:v>
                </c:pt>
                <c:pt idx="9">
                  <c:v>0.45333267086582418</c:v>
                </c:pt>
                <c:pt idx="10">
                  <c:v>0.4797207520404127</c:v>
                </c:pt>
                <c:pt idx="11">
                  <c:v>0.55084229000355311</c:v>
                </c:pt>
                <c:pt idx="12">
                  <c:v>0.49571039735456546</c:v>
                </c:pt>
                <c:pt idx="13">
                  <c:v>0.46433667407182899</c:v>
                </c:pt>
                <c:pt idx="14">
                  <c:v>0.49868492311648305</c:v>
                </c:pt>
                <c:pt idx="15">
                  <c:v>0.45770176128854162</c:v>
                </c:pt>
                <c:pt idx="16">
                  <c:v>0.45166977714096707</c:v>
                </c:pt>
                <c:pt idx="17">
                  <c:v>0.5142847059839597</c:v>
                </c:pt>
                <c:pt idx="18">
                  <c:v>0.43804637997216039</c:v>
                </c:pt>
                <c:pt idx="19">
                  <c:v>0.4562106017882564</c:v>
                </c:pt>
                <c:pt idx="20">
                  <c:v>0.48953611193759233</c:v>
                </c:pt>
                <c:pt idx="21">
                  <c:v>0.44510795654799662</c:v>
                </c:pt>
                <c:pt idx="22">
                  <c:v>0.44040528613380325</c:v>
                </c:pt>
                <c:pt idx="23">
                  <c:v>0.47411716966863199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69-42A9-BAE5-59E51A09BA8D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Sheet3!$Q$1:$Q$24</c:f>
              <c:numCache>
                <c:formatCode>General</c:formatCode>
                <c:ptCount val="24"/>
                <c:pt idx="0">
                  <c:v>0.66207067631223626</c:v>
                </c:pt>
                <c:pt idx="1">
                  <c:v>0.69374966448728848</c:v>
                </c:pt>
                <c:pt idx="2">
                  <c:v>0.72325713861320395</c:v>
                </c:pt>
                <c:pt idx="3">
                  <c:v>0.64131127346028316</c:v>
                </c:pt>
                <c:pt idx="4">
                  <c:v>0.67251921086412192</c:v>
                </c:pt>
                <c:pt idx="5">
                  <c:v>0.69134704099523658</c:v>
                </c:pt>
                <c:pt idx="6">
                  <c:v>0.6879935292751399</c:v>
                </c:pt>
                <c:pt idx="7">
                  <c:v>0.65793285862137429</c:v>
                </c:pt>
                <c:pt idx="8">
                  <c:v>0.63887427821119158</c:v>
                </c:pt>
                <c:pt idx="9">
                  <c:v>0.67440864625531083</c:v>
                </c:pt>
                <c:pt idx="10">
                  <c:v>0.61330262926843004</c:v>
                </c:pt>
                <c:pt idx="11">
                  <c:v>0.65795389802581927</c:v>
                </c:pt>
                <c:pt idx="12">
                  <c:v>0.65781345448383088</c:v>
                </c:pt>
                <c:pt idx="13">
                  <c:v>0.74166326896560297</c:v>
                </c:pt>
                <c:pt idx="14">
                  <c:v>0.6274320266149932</c:v>
                </c:pt>
                <c:pt idx="15">
                  <c:v>0.64842816213451115</c:v>
                </c:pt>
                <c:pt idx="16">
                  <c:v>0.75719994048104522</c:v>
                </c:pt>
                <c:pt idx="17">
                  <c:v>0.66794489555441139</c:v>
                </c:pt>
                <c:pt idx="18">
                  <c:v>0.69614523463371236</c:v>
                </c:pt>
                <c:pt idx="19">
                  <c:v>0.78774506401827482</c:v>
                </c:pt>
                <c:pt idx="20">
                  <c:v>0.81643645983262159</c:v>
                </c:pt>
                <c:pt idx="21">
                  <c:v>0.68431949490632071</c:v>
                </c:pt>
                <c:pt idx="22">
                  <c:v>0.69971236102448897</c:v>
                </c:pt>
                <c:pt idx="23">
                  <c:v>0.63223824013326746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69-42A9-BAE5-59E51A09BA8D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val>
            <c:numRef>
              <c:f>Sheet3!$R$1:$R$24</c:f>
              <c:numCache>
                <c:formatCode>General</c:formatCode>
                <c:ptCount val="24"/>
                <c:pt idx="0">
                  <c:v>0.39175949663925308</c:v>
                </c:pt>
                <c:pt idx="1">
                  <c:v>0.35008384008639909</c:v>
                </c:pt>
                <c:pt idx="2">
                  <c:v>0.39182755916149309</c:v>
                </c:pt>
                <c:pt idx="3">
                  <c:v>0.45117535682746124</c:v>
                </c:pt>
                <c:pt idx="4">
                  <c:v>0.41004815309314124</c:v>
                </c:pt>
                <c:pt idx="5">
                  <c:v>0.41114674279949825</c:v>
                </c:pt>
                <c:pt idx="6">
                  <c:v>0.33148415768050277</c:v>
                </c:pt>
                <c:pt idx="7">
                  <c:v>0.36983455555604372</c:v>
                </c:pt>
                <c:pt idx="8">
                  <c:v>0.45314816250529849</c:v>
                </c:pt>
                <c:pt idx="9">
                  <c:v>0.40308813100457791</c:v>
                </c:pt>
                <c:pt idx="10">
                  <c:v>0.46944522302287317</c:v>
                </c:pt>
                <c:pt idx="11">
                  <c:v>0.33661907395902485</c:v>
                </c:pt>
                <c:pt idx="12">
                  <c:v>0.40452742771935363</c:v>
                </c:pt>
                <c:pt idx="13">
                  <c:v>0.4129798972396494</c:v>
                </c:pt>
                <c:pt idx="14">
                  <c:v>0.44504029665877187</c:v>
                </c:pt>
                <c:pt idx="15">
                  <c:v>0.40160576103972695</c:v>
                </c:pt>
                <c:pt idx="16">
                  <c:v>0.4189344024973875</c:v>
                </c:pt>
                <c:pt idx="17">
                  <c:v>0.40452742771935363</c:v>
                </c:pt>
                <c:pt idx="18">
                  <c:v>0.42682469063905054</c:v>
                </c:pt>
                <c:pt idx="19">
                  <c:v>0.4219139332817034</c:v>
                </c:pt>
                <c:pt idx="20">
                  <c:v>0.34943596283972245</c:v>
                </c:pt>
                <c:pt idx="21">
                  <c:v>0.34258872582300237</c:v>
                </c:pt>
                <c:pt idx="22">
                  <c:v>0.36148574160185437</c:v>
                </c:pt>
                <c:pt idx="23">
                  <c:v>0.4628228074925872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69-42A9-BAE5-59E51A09BA8D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Sheet3!$S$1:$S$24</c:f>
              <c:numCache>
                <c:formatCode>General</c:formatCode>
                <c:ptCount val="24"/>
                <c:pt idx="0">
                  <c:v>0.62478637566768747</c:v>
                </c:pt>
                <c:pt idx="1">
                  <c:v>0.65556457288718983</c:v>
                </c:pt>
                <c:pt idx="2">
                  <c:v>0.59068530683252018</c:v>
                </c:pt>
                <c:pt idx="3">
                  <c:v>0.60128265943232162</c:v>
                </c:pt>
                <c:pt idx="4">
                  <c:v>0.55137872266213106</c:v>
                </c:pt>
                <c:pt idx="5">
                  <c:v>0.55124689189736809</c:v>
                </c:pt>
                <c:pt idx="6">
                  <c:v>0.62054581032480394</c:v>
                </c:pt>
                <c:pt idx="7">
                  <c:v>0.6181951616468464</c:v>
                </c:pt>
                <c:pt idx="8">
                  <c:v>0.58999898460437761</c:v>
                </c:pt>
                <c:pt idx="9">
                  <c:v>0.61411519842181306</c:v>
                </c:pt>
                <c:pt idx="10">
                  <c:v>0.58247604221581128</c:v>
                </c:pt>
                <c:pt idx="11">
                  <c:v>0.59952938455912863</c:v>
                </c:pt>
                <c:pt idx="12">
                  <c:v>0.58689336698977868</c:v>
                </c:pt>
                <c:pt idx="13">
                  <c:v>0.52596480627044595</c:v>
                </c:pt>
                <c:pt idx="14">
                  <c:v>0.57378740015728058</c:v>
                </c:pt>
                <c:pt idx="15">
                  <c:v>0.63720896208474764</c:v>
                </c:pt>
                <c:pt idx="16">
                  <c:v>0.51714052642812758</c:v>
                </c:pt>
                <c:pt idx="17">
                  <c:v>0.55818761728980393</c:v>
                </c:pt>
                <c:pt idx="18">
                  <c:v>0.58392834130260252</c:v>
                </c:pt>
                <c:pt idx="19">
                  <c:v>0.47907504745929264</c:v>
                </c:pt>
                <c:pt idx="20">
                  <c:v>0.48953611193759233</c:v>
                </c:pt>
                <c:pt idx="21">
                  <c:v>0.67292846927020744</c:v>
                </c:pt>
                <c:pt idx="22">
                  <c:v>0.64334125778738349</c:v>
                </c:pt>
                <c:pt idx="23">
                  <c:v>0.57576642925303934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69-42A9-BAE5-59E51A09B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</c:spPr>
          </c:upBars>
          <c:downBars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downBars>
        </c:upDownBars>
        <c:axId val="704723456"/>
        <c:axId val="704847168"/>
      </c:stockChart>
      <c:catAx>
        <c:axId val="704723456"/>
        <c:scaling>
          <c:orientation val="minMax"/>
        </c:scaling>
        <c:delete val="0"/>
        <c:axPos val="b"/>
        <c:majorTickMark val="out"/>
        <c:minorTickMark val="none"/>
        <c:tickLblPos val="nextTo"/>
        <c:crossAx val="704847168"/>
        <c:crosses val="autoZero"/>
        <c:auto val="1"/>
        <c:lblAlgn val="ctr"/>
        <c:lblOffset val="100"/>
        <c:noMultiLvlLbl val="0"/>
      </c:catAx>
      <c:valAx>
        <c:axId val="704847168"/>
        <c:scaling>
          <c:orientation val="minMax"/>
          <c:max val="1.2"/>
        </c:scaling>
        <c:delete val="0"/>
        <c:axPos val="l"/>
        <c:numFmt formatCode="General" sourceLinked="1"/>
        <c:majorTickMark val="out"/>
        <c:minorTickMark val="none"/>
        <c:tickLblPos val="nextTo"/>
        <c:crossAx val="704723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val>
            <c:numRef>
              <c:f>Sheet3!$A$1:$A$23</c:f>
              <c:numCache>
                <c:formatCode>0.0000</c:formatCode>
                <c:ptCount val="23"/>
                <c:pt idx="0">
                  <c:v>0.64084762156034658</c:v>
                </c:pt>
                <c:pt idx="1">
                  <c:v>0.74173426469669779</c:v>
                </c:pt>
                <c:pt idx="2">
                  <c:v>0.67108629060421832</c:v>
                </c:pt>
                <c:pt idx="3">
                  <c:v>0.68124205481624733</c:v>
                </c:pt>
                <c:pt idx="4">
                  <c:v>0.63425196362201963</c:v>
                </c:pt>
                <c:pt idx="5">
                  <c:v>0.6056544119840015</c:v>
                </c:pt>
                <c:pt idx="6">
                  <c:v>0.62647910065729762</c:v>
                </c:pt>
                <c:pt idx="7">
                  <c:v>0.6076992517219334</c:v>
                </c:pt>
                <c:pt idx="8">
                  <c:v>0.61532318872731462</c:v>
                </c:pt>
                <c:pt idx="9">
                  <c:v>0.65335774218053977</c:v>
                </c:pt>
                <c:pt idx="10">
                  <c:v>0.73677401307846702</c:v>
                </c:pt>
                <c:pt idx="11">
                  <c:v>0.58786455121062053</c:v>
                </c:pt>
                <c:pt idx="12">
                  <c:v>0.75088839088323456</c:v>
                </c:pt>
                <c:pt idx="13">
                  <c:v>0.74161621152744017</c:v>
                </c:pt>
                <c:pt idx="14">
                  <c:v>0.66318976288359954</c:v>
                </c:pt>
                <c:pt idx="15">
                  <c:v>0.75620511958238579</c:v>
                </c:pt>
                <c:pt idx="16">
                  <c:v>0.73621983960121207</c:v>
                </c:pt>
                <c:pt idx="17">
                  <c:v>0.634336460003041</c:v>
                </c:pt>
                <c:pt idx="18">
                  <c:v>0.67083487646374662</c:v>
                </c:pt>
                <c:pt idx="19">
                  <c:v>0.62449143238664395</c:v>
                </c:pt>
                <c:pt idx="20">
                  <c:v>0.65054830644380313</c:v>
                </c:pt>
                <c:pt idx="21">
                  <c:v>0.65208098324568364</c:v>
                </c:pt>
                <c:pt idx="22">
                  <c:v>0.67507992213559487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A-460E-90A6-8CCA559B114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Sheet3!$B$1:$B$23</c:f>
              <c:numCache>
                <c:formatCode>0.0000</c:formatCode>
                <c:ptCount val="23"/>
                <c:pt idx="0">
                  <c:v>0.65014641799798656</c:v>
                </c:pt>
                <c:pt idx="1">
                  <c:v>0.79842339657526928</c:v>
                </c:pt>
                <c:pt idx="2">
                  <c:v>0.7985809579915184</c:v>
                </c:pt>
                <c:pt idx="3">
                  <c:v>0.70025922113485206</c:v>
                </c:pt>
                <c:pt idx="4">
                  <c:v>0.73226776560715745</c:v>
                </c:pt>
                <c:pt idx="5">
                  <c:v>0.72465712686478156</c:v>
                </c:pt>
                <c:pt idx="6">
                  <c:v>0.66658707355526026</c:v>
                </c:pt>
                <c:pt idx="7">
                  <c:v>0.73583996497788817</c:v>
                </c:pt>
                <c:pt idx="8">
                  <c:v>0.68452433743144159</c:v>
                </c:pt>
                <c:pt idx="9">
                  <c:v>0.72464913903320127</c:v>
                </c:pt>
                <c:pt idx="10">
                  <c:v>0.78754308939279205</c:v>
                </c:pt>
                <c:pt idx="11">
                  <c:v>0.71570627777416251</c:v>
                </c:pt>
                <c:pt idx="12">
                  <c:v>0.77133146033526867</c:v>
                </c:pt>
                <c:pt idx="13">
                  <c:v>0.76268083202903358</c:v>
                </c:pt>
                <c:pt idx="14">
                  <c:v>0.66318976288359954</c:v>
                </c:pt>
                <c:pt idx="15">
                  <c:v>0.76734278833912117</c:v>
                </c:pt>
                <c:pt idx="16">
                  <c:v>0.74748652568370966</c:v>
                </c:pt>
                <c:pt idx="17">
                  <c:v>0.71063669206560975</c:v>
                </c:pt>
                <c:pt idx="18">
                  <c:v>0.75873607798332987</c:v>
                </c:pt>
                <c:pt idx="19">
                  <c:v>0.67156091011985264</c:v>
                </c:pt>
                <c:pt idx="20">
                  <c:v>0.65054830644380313</c:v>
                </c:pt>
                <c:pt idx="21">
                  <c:v>0.65208098324568364</c:v>
                </c:pt>
                <c:pt idx="22">
                  <c:v>0.67507992213559487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CA-460E-90A6-8CCA559B114A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val>
            <c:numRef>
              <c:f>Sheet3!$C$1:$C$23</c:f>
              <c:numCache>
                <c:formatCode>0.0000</c:formatCode>
                <c:ptCount val="23"/>
                <c:pt idx="0">
                  <c:v>0.38978011774403171</c:v>
                </c:pt>
                <c:pt idx="1">
                  <c:v>0.29766939831456579</c:v>
                </c:pt>
                <c:pt idx="2">
                  <c:v>0.29840957054903522</c:v>
                </c:pt>
                <c:pt idx="3">
                  <c:v>0.37696739371856208</c:v>
                </c:pt>
                <c:pt idx="4">
                  <c:v>0.32060139726957926</c:v>
                </c:pt>
                <c:pt idx="5">
                  <c:v>0.40731655384937071</c:v>
                </c:pt>
                <c:pt idx="6">
                  <c:v>0.37580427004503142</c:v>
                </c:pt>
                <c:pt idx="7">
                  <c:v>0.40070271492385284</c:v>
                </c:pt>
                <c:pt idx="8">
                  <c:v>0.417605621001234</c:v>
                </c:pt>
                <c:pt idx="9">
                  <c:v>0.34782318424056241</c:v>
                </c:pt>
                <c:pt idx="10">
                  <c:v>0.29000614151240295</c:v>
                </c:pt>
                <c:pt idx="11">
                  <c:v>0.4108529298149452</c:v>
                </c:pt>
                <c:pt idx="12">
                  <c:v>0.31136239766451207</c:v>
                </c:pt>
                <c:pt idx="13">
                  <c:v>0.26766225024153739</c:v>
                </c:pt>
                <c:pt idx="14">
                  <c:v>0.40388027948604716</c:v>
                </c:pt>
                <c:pt idx="15">
                  <c:v>0.3106983693130102</c:v>
                </c:pt>
                <c:pt idx="16">
                  <c:v>0.33061914063130415</c:v>
                </c:pt>
                <c:pt idx="17">
                  <c:v>0.32913553175276838</c:v>
                </c:pt>
                <c:pt idx="18">
                  <c:v>0.3082424201954595</c:v>
                </c:pt>
                <c:pt idx="19">
                  <c:v>0.40091141315391099</c:v>
                </c:pt>
                <c:pt idx="20">
                  <c:v>0.36058579278722069</c:v>
                </c:pt>
                <c:pt idx="21">
                  <c:v>0.38083457167385304</c:v>
                </c:pt>
                <c:pt idx="22">
                  <c:v>0.38813615043825511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CA-460E-90A6-8CCA559B114A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Sheet3!$D$1:$D$23</c:f>
              <c:numCache>
                <c:formatCode>0.0000</c:formatCode>
                <c:ptCount val="23"/>
                <c:pt idx="0">
                  <c:v>0.46417048924516247</c:v>
                </c:pt>
                <c:pt idx="1">
                  <c:v>0.30711758696099434</c:v>
                </c:pt>
                <c:pt idx="2">
                  <c:v>0.37686782740275815</c:v>
                </c:pt>
                <c:pt idx="3">
                  <c:v>0.38647597687786445</c:v>
                </c:pt>
                <c:pt idx="4">
                  <c:v>0.45782352004877103</c:v>
                </c:pt>
                <c:pt idx="5">
                  <c:v>0.40731655384937071</c:v>
                </c:pt>
                <c:pt idx="6">
                  <c:v>0.47607420228993791</c:v>
                </c:pt>
                <c:pt idx="7">
                  <c:v>0.40070271492385284</c:v>
                </c:pt>
                <c:pt idx="8">
                  <c:v>0.42749149938753844</c:v>
                </c:pt>
                <c:pt idx="9">
                  <c:v>0.41911458109322386</c:v>
                </c:pt>
                <c:pt idx="10">
                  <c:v>0.33062140256386385</c:v>
                </c:pt>
                <c:pt idx="11">
                  <c:v>0.43052088774779768</c:v>
                </c:pt>
                <c:pt idx="12">
                  <c:v>0.31136239766451207</c:v>
                </c:pt>
                <c:pt idx="13">
                  <c:v>0.37298535274951611</c:v>
                </c:pt>
                <c:pt idx="14">
                  <c:v>0.41468484129427963</c:v>
                </c:pt>
                <c:pt idx="15">
                  <c:v>0.3106983693130102</c:v>
                </c:pt>
                <c:pt idx="16">
                  <c:v>0.33061914063130415</c:v>
                </c:pt>
                <c:pt idx="17">
                  <c:v>0.47083596272610956</c:v>
                </c:pt>
                <c:pt idx="18">
                  <c:v>0.40713127190499132</c:v>
                </c:pt>
                <c:pt idx="19">
                  <c:v>0.44798089088711829</c:v>
                </c:pt>
                <c:pt idx="20">
                  <c:v>0.48326224087269898</c:v>
                </c:pt>
                <c:pt idx="21">
                  <c:v>0.45994810838230427</c:v>
                </c:pt>
                <c:pt idx="22">
                  <c:v>0.40664865183808385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CA-460E-90A6-8CCA559B1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/>
          <c:downBars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downBars>
        </c:upDownBars>
        <c:axId val="704724480"/>
        <c:axId val="706503808"/>
      </c:stockChart>
      <c:catAx>
        <c:axId val="704724480"/>
        <c:scaling>
          <c:orientation val="minMax"/>
        </c:scaling>
        <c:delete val="0"/>
        <c:axPos val="b"/>
        <c:majorTickMark val="out"/>
        <c:minorTickMark val="none"/>
        <c:tickLblPos val="nextTo"/>
        <c:crossAx val="706503808"/>
        <c:crosses val="autoZero"/>
        <c:auto val="1"/>
        <c:lblAlgn val="ctr"/>
        <c:lblOffset val="100"/>
        <c:noMultiLvlLbl val="0"/>
      </c:catAx>
      <c:valAx>
        <c:axId val="706503808"/>
        <c:scaling>
          <c:orientation val="minMax"/>
          <c:max val="1.2"/>
        </c:scaling>
        <c:delete val="0"/>
        <c:axPos val="l"/>
        <c:numFmt formatCode="0.0000" sourceLinked="1"/>
        <c:majorTickMark val="out"/>
        <c:minorTickMark val="none"/>
        <c:tickLblPos val="nextTo"/>
        <c:crossAx val="704724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val>
            <c:numRef>
              <c:f>Sheet3!$F$1:$F$22</c:f>
              <c:numCache>
                <c:formatCode>General</c:formatCode>
                <c:ptCount val="22"/>
                <c:pt idx="0">
                  <c:v>0.44831482676090656</c:v>
                </c:pt>
                <c:pt idx="1">
                  <c:v>0.37668993506170473</c:v>
                </c:pt>
                <c:pt idx="2">
                  <c:v>0.40792039276172493</c:v>
                </c:pt>
                <c:pt idx="3">
                  <c:v>0.38519379093251138</c:v>
                </c:pt>
                <c:pt idx="4">
                  <c:v>0.3688662181748959</c:v>
                </c:pt>
                <c:pt idx="5">
                  <c:v>0.22612315463824179</c:v>
                </c:pt>
                <c:pt idx="6">
                  <c:v>0.48837070424186857</c:v>
                </c:pt>
                <c:pt idx="7">
                  <c:v>0.64465549486400986</c:v>
                </c:pt>
                <c:pt idx="8">
                  <c:v>0.48625972505157478</c:v>
                </c:pt>
                <c:pt idx="9">
                  <c:v>0.41035200937673882</c:v>
                </c:pt>
                <c:pt idx="10">
                  <c:v>0.35009013294922142</c:v>
                </c:pt>
                <c:pt idx="11">
                  <c:v>0.31383994683662808</c:v>
                </c:pt>
                <c:pt idx="12">
                  <c:v>0.37173319383679221</c:v>
                </c:pt>
                <c:pt idx="13">
                  <c:v>0.29044454032976846</c:v>
                </c:pt>
                <c:pt idx="14">
                  <c:v>0.38063267130795608</c:v>
                </c:pt>
                <c:pt idx="15">
                  <c:v>0.41617547251749659</c:v>
                </c:pt>
                <c:pt idx="16">
                  <c:v>0.37841776681059214</c:v>
                </c:pt>
                <c:pt idx="17">
                  <c:v>0.35159915023571092</c:v>
                </c:pt>
                <c:pt idx="18">
                  <c:v>0.29960590417242444</c:v>
                </c:pt>
                <c:pt idx="19">
                  <c:v>0.29974479425473333</c:v>
                </c:pt>
                <c:pt idx="20">
                  <c:v>0.26698023623572747</c:v>
                </c:pt>
                <c:pt idx="21">
                  <c:v>0.42624351473994559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7-4E7D-A8C3-1FF0587924F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Sheet3!$G$1:$G$22</c:f>
              <c:numCache>
                <c:formatCode>General</c:formatCode>
                <c:ptCount val="22"/>
                <c:pt idx="0">
                  <c:v>0.77148513873746249</c:v>
                </c:pt>
                <c:pt idx="1">
                  <c:v>0.75561222317774845</c:v>
                </c:pt>
                <c:pt idx="2">
                  <c:v>0.74351548058905836</c:v>
                </c:pt>
                <c:pt idx="3">
                  <c:v>0.78456005923559247</c:v>
                </c:pt>
                <c:pt idx="4">
                  <c:v>0.72389337097304896</c:v>
                </c:pt>
                <c:pt idx="5">
                  <c:v>0.87156160822890694</c:v>
                </c:pt>
                <c:pt idx="6">
                  <c:v>0.74029416421562222</c:v>
                </c:pt>
                <c:pt idx="7">
                  <c:v>0.96112273779725299</c:v>
                </c:pt>
                <c:pt idx="8">
                  <c:v>0.69792463294228924</c:v>
                </c:pt>
                <c:pt idx="9">
                  <c:v>0.71481600554080549</c:v>
                </c:pt>
                <c:pt idx="10">
                  <c:v>0.75016517968090868</c:v>
                </c:pt>
                <c:pt idx="11">
                  <c:v>0.82372395150062494</c:v>
                </c:pt>
                <c:pt idx="12">
                  <c:v>0.75746429074734667</c:v>
                </c:pt>
                <c:pt idx="13">
                  <c:v>0.849297068775415</c:v>
                </c:pt>
                <c:pt idx="14">
                  <c:v>0.76211219598532209</c:v>
                </c:pt>
                <c:pt idx="15">
                  <c:v>1</c:v>
                </c:pt>
                <c:pt idx="16">
                  <c:v>0.7961723413507702</c:v>
                </c:pt>
                <c:pt idx="17">
                  <c:v>0.74485200568755472</c:v>
                </c:pt>
                <c:pt idx="18">
                  <c:v>0.81277995650498314</c:v>
                </c:pt>
                <c:pt idx="19">
                  <c:v>0.77272752901902897</c:v>
                </c:pt>
                <c:pt idx="20">
                  <c:v>0.80549208703803477</c:v>
                </c:pt>
                <c:pt idx="21">
                  <c:v>0.71273599037847857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7-4E7D-A8C3-1FF0587924F0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val>
            <c:numRef>
              <c:f>Sheet3!$H$1:$H$22</c:f>
              <c:numCache>
                <c:formatCode>General</c:formatCode>
                <c:ptCount val="22"/>
                <c:pt idx="0">
                  <c:v>0.31524469829997159</c:v>
                </c:pt>
                <c:pt idx="1">
                  <c:v>0.37668993506170473</c:v>
                </c:pt>
                <c:pt idx="2">
                  <c:v>0.31908639892507784</c:v>
                </c:pt>
                <c:pt idx="3">
                  <c:v>0.38519379093251138</c:v>
                </c:pt>
                <c:pt idx="4">
                  <c:v>0.32829168642653633</c:v>
                </c:pt>
                <c:pt idx="5">
                  <c:v>0.22612315463824179</c:v>
                </c:pt>
                <c:pt idx="6">
                  <c:v>0.29690887466181426</c:v>
                </c:pt>
                <c:pt idx="7">
                  <c:v>0</c:v>
                </c:pt>
                <c:pt idx="8">
                  <c:v>0.26283565561137684</c:v>
                </c:pt>
                <c:pt idx="9">
                  <c:v>0.36351139458226683</c:v>
                </c:pt>
                <c:pt idx="10">
                  <c:v>0.35009013294922142</c:v>
                </c:pt>
                <c:pt idx="11">
                  <c:v>0.20535398839747906</c:v>
                </c:pt>
                <c:pt idx="12">
                  <c:v>0.25828287121604027</c:v>
                </c:pt>
                <c:pt idx="13">
                  <c:v>0.16625508956406954</c:v>
                </c:pt>
                <c:pt idx="14">
                  <c:v>0.3705937364480244</c:v>
                </c:pt>
                <c:pt idx="15">
                  <c:v>0.35967632469660848</c:v>
                </c:pt>
                <c:pt idx="16">
                  <c:v>0.34128402685146481</c:v>
                </c:pt>
                <c:pt idx="17">
                  <c:v>0.35159915023571092</c:v>
                </c:pt>
                <c:pt idx="18">
                  <c:v>0.29960590417242444</c:v>
                </c:pt>
                <c:pt idx="19">
                  <c:v>0.29974479425473333</c:v>
                </c:pt>
                <c:pt idx="20">
                  <c:v>0.26698023623572747</c:v>
                </c:pt>
                <c:pt idx="21">
                  <c:v>0.33415664757041597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E7-4E7D-A8C3-1FF0587924F0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Sheet3!$I$1:$I$22</c:f>
              <c:numCache>
                <c:formatCode>General</c:formatCode>
                <c:ptCount val="22"/>
                <c:pt idx="0">
                  <c:v>0.60989998274918522</c:v>
                </c:pt>
                <c:pt idx="1">
                  <c:v>0.63595255324636668</c:v>
                </c:pt>
                <c:pt idx="2">
                  <c:v>0.67442237427166618</c:v>
                </c:pt>
                <c:pt idx="3">
                  <c:v>0.58999700544691203</c:v>
                </c:pt>
                <c:pt idx="4">
                  <c:v>0.72389337097304896</c:v>
                </c:pt>
                <c:pt idx="5">
                  <c:v>0.82113672904213675</c:v>
                </c:pt>
                <c:pt idx="6">
                  <c:v>0.61937090342822076</c:v>
                </c:pt>
                <c:pt idx="7">
                  <c:v>0.53916641388626307</c:v>
                </c:pt>
                <c:pt idx="8">
                  <c:v>0.69792463294228924</c:v>
                </c:pt>
                <c:pt idx="9">
                  <c:v>0.65626523704771622</c:v>
                </c:pt>
                <c:pt idx="10">
                  <c:v>0.69459920096817573</c:v>
                </c:pt>
                <c:pt idx="11">
                  <c:v>0.80202675981279659</c:v>
                </c:pt>
                <c:pt idx="12">
                  <c:v>0.75746429074734667</c:v>
                </c:pt>
                <c:pt idx="13">
                  <c:v>0.83894794787827431</c:v>
                </c:pt>
                <c:pt idx="14">
                  <c:v>0.63160604280622334</c:v>
                </c:pt>
                <c:pt idx="15">
                  <c:v>0.36909284933342362</c:v>
                </c:pt>
                <c:pt idx="16">
                  <c:v>0.62907051153470006</c:v>
                </c:pt>
                <c:pt idx="17">
                  <c:v>0.6968943403885508</c:v>
                </c:pt>
                <c:pt idx="18">
                  <c:v>0.73295288169769524</c:v>
                </c:pt>
                <c:pt idx="19">
                  <c:v>0.77272752901902897</c:v>
                </c:pt>
                <c:pt idx="20">
                  <c:v>0.80549208703803477</c:v>
                </c:pt>
                <c:pt idx="21">
                  <c:v>0.67180849385868857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E7-4E7D-A8C3-1FF058792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upBars>
          <c:downBars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downBars>
        </c:upDownBars>
        <c:axId val="706557440"/>
        <c:axId val="706505536"/>
      </c:stockChart>
      <c:catAx>
        <c:axId val="70655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706505536"/>
        <c:crosses val="autoZero"/>
        <c:auto val="1"/>
        <c:lblAlgn val="ctr"/>
        <c:lblOffset val="100"/>
        <c:noMultiLvlLbl val="0"/>
      </c:catAx>
      <c:valAx>
        <c:axId val="7065055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06557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val>
            <c:numRef>
              <c:f>Sheet3!$K$1:$K$22</c:f>
              <c:numCache>
                <c:formatCode>General</c:formatCode>
                <c:ptCount val="22"/>
                <c:pt idx="0">
                  <c:v>0.63406699324650495</c:v>
                </c:pt>
                <c:pt idx="1">
                  <c:v>0.58548951121539083</c:v>
                </c:pt>
                <c:pt idx="2">
                  <c:v>0.60838142063532885</c:v>
                </c:pt>
                <c:pt idx="3">
                  <c:v>0.58442228380183248</c:v>
                </c:pt>
                <c:pt idx="4">
                  <c:v>0.62061010748300105</c:v>
                </c:pt>
                <c:pt idx="5">
                  <c:v>0.5850548429344985</c:v>
                </c:pt>
                <c:pt idx="6">
                  <c:v>0.55084229000355311</c:v>
                </c:pt>
                <c:pt idx="7">
                  <c:v>0.54876245295457859</c:v>
                </c:pt>
                <c:pt idx="8">
                  <c:v>0.55109402116224426</c:v>
                </c:pt>
                <c:pt idx="9">
                  <c:v>0.52127280251725772</c:v>
                </c:pt>
                <c:pt idx="10">
                  <c:v>0.58539649778028302</c:v>
                </c:pt>
                <c:pt idx="11">
                  <c:v>0.52651745413797124</c:v>
                </c:pt>
                <c:pt idx="12">
                  <c:v>0.55857106764370046</c:v>
                </c:pt>
                <c:pt idx="13">
                  <c:v>0.53113981401250365</c:v>
                </c:pt>
                <c:pt idx="14">
                  <c:v>0.53120871095851852</c:v>
                </c:pt>
                <c:pt idx="15">
                  <c:v>0.63115387426650482</c:v>
                </c:pt>
                <c:pt idx="16">
                  <c:v>0.56424913706828284</c:v>
                </c:pt>
                <c:pt idx="17">
                  <c:v>0.51052644537807168</c:v>
                </c:pt>
                <c:pt idx="18">
                  <c:v>0.49010874124582182</c:v>
                </c:pt>
                <c:pt idx="19">
                  <c:v>0.60873330292255479</c:v>
                </c:pt>
                <c:pt idx="20">
                  <c:v>0.55567571120696302</c:v>
                </c:pt>
                <c:pt idx="21">
                  <c:v>0.61346850822726584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8F-41C2-9610-60D23B0445B4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Sheet3!$L$1:$L$22</c:f>
              <c:numCache>
                <c:formatCode>General</c:formatCode>
                <c:ptCount val="22"/>
                <c:pt idx="0">
                  <c:v>0.63406699324650495</c:v>
                </c:pt>
                <c:pt idx="1">
                  <c:v>0.58548951121539083</c:v>
                </c:pt>
                <c:pt idx="2">
                  <c:v>0.6363086176669851</c:v>
                </c:pt>
                <c:pt idx="3">
                  <c:v>0.62297118153379072</c:v>
                </c:pt>
                <c:pt idx="4">
                  <c:v>0.63025284415112914</c:v>
                </c:pt>
                <c:pt idx="5">
                  <c:v>0.59481857919402303</c:v>
                </c:pt>
                <c:pt idx="6">
                  <c:v>0.58005454673689838</c:v>
                </c:pt>
                <c:pt idx="7">
                  <c:v>0.65899381655030653</c:v>
                </c:pt>
                <c:pt idx="8">
                  <c:v>0.64024117831441341</c:v>
                </c:pt>
                <c:pt idx="9">
                  <c:v>0.64097967547425316</c:v>
                </c:pt>
                <c:pt idx="10">
                  <c:v>0.63455683392368423</c:v>
                </c:pt>
                <c:pt idx="11">
                  <c:v>0.63342323662598798</c:v>
                </c:pt>
                <c:pt idx="12">
                  <c:v>0.64791069167097759</c:v>
                </c:pt>
                <c:pt idx="13">
                  <c:v>0.64325946174882886</c:v>
                </c:pt>
                <c:pt idx="14">
                  <c:v>0.62170282316905179</c:v>
                </c:pt>
                <c:pt idx="15">
                  <c:v>0.65113655060958064</c:v>
                </c:pt>
                <c:pt idx="16">
                  <c:v>0.65592796575287171</c:v>
                </c:pt>
                <c:pt idx="17">
                  <c:v>0.62364919691683685</c:v>
                </c:pt>
                <c:pt idx="18">
                  <c:v>0.67461842281006179</c:v>
                </c:pt>
                <c:pt idx="19">
                  <c:v>0.60873330292255479</c:v>
                </c:pt>
                <c:pt idx="20">
                  <c:v>0.57789233928705541</c:v>
                </c:pt>
                <c:pt idx="21">
                  <c:v>0.61346850822726584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8F-41C2-9610-60D23B0445B4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val>
            <c:numRef>
              <c:f>Sheet3!$M$1:$M$22</c:f>
              <c:numCache>
                <c:formatCode>General</c:formatCode>
                <c:ptCount val="22"/>
                <c:pt idx="0">
                  <c:v>0.38591073745624177</c:v>
                </c:pt>
                <c:pt idx="1">
                  <c:v>0.41662088408907616</c:v>
                </c:pt>
                <c:pt idx="2">
                  <c:v>0.32910945031875777</c:v>
                </c:pt>
                <c:pt idx="3">
                  <c:v>0.43022669287399246</c:v>
                </c:pt>
                <c:pt idx="4">
                  <c:v>0.39882716411605923</c:v>
                </c:pt>
                <c:pt idx="5">
                  <c:v>0.467890007820219</c:v>
                </c:pt>
                <c:pt idx="6">
                  <c:v>0.43399326307017455</c:v>
                </c:pt>
                <c:pt idx="7">
                  <c:v>0.44855212241300702</c:v>
                </c:pt>
                <c:pt idx="8">
                  <c:v>0.4124206655922012</c:v>
                </c:pt>
                <c:pt idx="9">
                  <c:v>0.46141936603875866</c:v>
                </c:pt>
                <c:pt idx="10">
                  <c:v>0.4379154893500794</c:v>
                </c:pt>
                <c:pt idx="11">
                  <c:v>0.4390490866477757</c:v>
                </c:pt>
                <c:pt idx="12">
                  <c:v>0.45930481872450352</c:v>
                </c:pt>
                <c:pt idx="13">
                  <c:v>0.44959825202244885</c:v>
                </c:pt>
                <c:pt idx="14">
                  <c:v>0.44071459874798674</c:v>
                </c:pt>
                <c:pt idx="15">
                  <c:v>0.35139640546340761</c:v>
                </c:pt>
                <c:pt idx="16">
                  <c:v>0.46238377186318641</c:v>
                </c:pt>
                <c:pt idx="17">
                  <c:v>0.47967478586749929</c:v>
                </c:pt>
                <c:pt idx="18">
                  <c:v>0.4798582033811426</c:v>
                </c:pt>
                <c:pt idx="19">
                  <c:v>0.41540759282742745</c:v>
                </c:pt>
                <c:pt idx="20">
                  <c:v>0.44459257080649961</c:v>
                </c:pt>
                <c:pt idx="21">
                  <c:v>0.44797062267644322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8F-41C2-9610-60D23B0445B4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Sheet3!$N$1:$N$22</c:f>
              <c:numCache>
                <c:formatCode>General</c:formatCode>
                <c:ptCount val="22"/>
                <c:pt idx="0">
                  <c:v>0.49089992259827558</c:v>
                </c:pt>
                <c:pt idx="1">
                  <c:v>0.55734474002767098</c:v>
                </c:pt>
                <c:pt idx="2">
                  <c:v>0.57114515792645282</c:v>
                </c:pt>
                <c:pt idx="3">
                  <c:v>0.50732448833791177</c:v>
                </c:pt>
                <c:pt idx="4">
                  <c:v>0.49525453079733789</c:v>
                </c:pt>
                <c:pt idx="5">
                  <c:v>0.49718121659878817</c:v>
                </c:pt>
                <c:pt idx="6">
                  <c:v>0.58005454673689838</c:v>
                </c:pt>
                <c:pt idx="7">
                  <c:v>0.48863625462963511</c:v>
                </c:pt>
                <c:pt idx="8">
                  <c:v>0.54118878147866833</c:v>
                </c:pt>
                <c:pt idx="9">
                  <c:v>0.52127280251725772</c:v>
                </c:pt>
                <c:pt idx="10">
                  <c:v>0.48707582549348061</c:v>
                </c:pt>
                <c:pt idx="11">
                  <c:v>0.54595486913579383</c:v>
                </c:pt>
                <c:pt idx="12">
                  <c:v>0.47915806850834292</c:v>
                </c:pt>
                <c:pt idx="13">
                  <c:v>0.52094711876374733</c:v>
                </c:pt>
                <c:pt idx="14">
                  <c:v>0.5513185136719716</c:v>
                </c:pt>
                <c:pt idx="15">
                  <c:v>0.51125781620803423</c:v>
                </c:pt>
                <c:pt idx="16">
                  <c:v>0.46238377186318641</c:v>
                </c:pt>
                <c:pt idx="17">
                  <c:v>0.5310942183851195</c:v>
                </c:pt>
                <c:pt idx="18">
                  <c:v>0.50035927911050249</c:v>
                </c:pt>
                <c:pt idx="19">
                  <c:v>0.51207044787499034</c:v>
                </c:pt>
                <c:pt idx="20">
                  <c:v>0.56678402524701066</c:v>
                </c:pt>
                <c:pt idx="21">
                  <c:v>0.47003700741655391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8F-41C2-9610-60D23B044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upBars>
          <c:downBars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downBars>
        </c:upDownBars>
        <c:axId val="701278208"/>
        <c:axId val="706504960"/>
      </c:stockChart>
      <c:catAx>
        <c:axId val="701278208"/>
        <c:scaling>
          <c:orientation val="minMax"/>
        </c:scaling>
        <c:delete val="0"/>
        <c:axPos val="b"/>
        <c:majorTickMark val="out"/>
        <c:minorTickMark val="none"/>
        <c:tickLblPos val="nextTo"/>
        <c:crossAx val="706504960"/>
        <c:crosses val="autoZero"/>
        <c:auto val="1"/>
        <c:lblAlgn val="ctr"/>
        <c:lblOffset val="100"/>
        <c:noMultiLvlLbl val="0"/>
      </c:catAx>
      <c:valAx>
        <c:axId val="706504960"/>
        <c:scaling>
          <c:orientation val="minMax"/>
          <c:max val="1.2"/>
        </c:scaling>
        <c:delete val="0"/>
        <c:axPos val="l"/>
        <c:numFmt formatCode="General" sourceLinked="1"/>
        <c:majorTickMark val="out"/>
        <c:minorTickMark val="none"/>
        <c:tickLblPos val="nextTo"/>
        <c:crossAx val="701278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val>
            <c:numRef>
              <c:f>Sheet3!$P$1:$P$24</c:f>
              <c:numCache>
                <c:formatCode>General</c:formatCode>
                <c:ptCount val="24"/>
                <c:pt idx="0">
                  <c:v>0.46632809792835189</c:v>
                </c:pt>
                <c:pt idx="1">
                  <c:v>0.44554656908664714</c:v>
                </c:pt>
                <c:pt idx="2">
                  <c:v>0.43917464194031014</c:v>
                </c:pt>
                <c:pt idx="3">
                  <c:v>0.45117535682746124</c:v>
                </c:pt>
                <c:pt idx="4">
                  <c:v>0.51099855992813314</c:v>
                </c:pt>
                <c:pt idx="5">
                  <c:v>0.49120397085542428</c:v>
                </c:pt>
                <c:pt idx="6">
                  <c:v>0.50492114926708209</c:v>
                </c:pt>
                <c:pt idx="7">
                  <c:v>0.49898207072326139</c:v>
                </c:pt>
                <c:pt idx="8">
                  <c:v>0.46292322122666102</c:v>
                </c:pt>
                <c:pt idx="9">
                  <c:v>0.45333267086582418</c:v>
                </c:pt>
                <c:pt idx="10">
                  <c:v>0.4797207520404127</c:v>
                </c:pt>
                <c:pt idx="11">
                  <c:v>0.55084229000355311</c:v>
                </c:pt>
                <c:pt idx="12">
                  <c:v>0.49571039735456546</c:v>
                </c:pt>
                <c:pt idx="13">
                  <c:v>0.46433667407182899</c:v>
                </c:pt>
                <c:pt idx="14">
                  <c:v>0.49868492311648305</c:v>
                </c:pt>
                <c:pt idx="15">
                  <c:v>0.45770176128854162</c:v>
                </c:pt>
                <c:pt idx="16">
                  <c:v>0.45166977714096707</c:v>
                </c:pt>
                <c:pt idx="17">
                  <c:v>0.5142847059839597</c:v>
                </c:pt>
                <c:pt idx="18">
                  <c:v>0.43804637997216039</c:v>
                </c:pt>
                <c:pt idx="19">
                  <c:v>0.4562106017882564</c:v>
                </c:pt>
                <c:pt idx="20">
                  <c:v>0.48953611193759233</c:v>
                </c:pt>
                <c:pt idx="21">
                  <c:v>0.44510795654799662</c:v>
                </c:pt>
                <c:pt idx="22">
                  <c:v>0.44040528613380325</c:v>
                </c:pt>
                <c:pt idx="23">
                  <c:v>0.47411716966863199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C0-4406-98F0-D7442A23FD5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Sheet3!$Q$1:$Q$24</c:f>
              <c:numCache>
                <c:formatCode>General</c:formatCode>
                <c:ptCount val="24"/>
                <c:pt idx="0">
                  <c:v>0.66207067631223626</c:v>
                </c:pt>
                <c:pt idx="1">
                  <c:v>0.69374966448728848</c:v>
                </c:pt>
                <c:pt idx="2">
                  <c:v>0.72325713861320395</c:v>
                </c:pt>
                <c:pt idx="3">
                  <c:v>0.64131127346028316</c:v>
                </c:pt>
                <c:pt idx="4">
                  <c:v>0.67251921086412192</c:v>
                </c:pt>
                <c:pt idx="5">
                  <c:v>0.69134704099523658</c:v>
                </c:pt>
                <c:pt idx="6">
                  <c:v>0.6879935292751399</c:v>
                </c:pt>
                <c:pt idx="7">
                  <c:v>0.65793285862137429</c:v>
                </c:pt>
                <c:pt idx="8">
                  <c:v>0.63887427821119158</c:v>
                </c:pt>
                <c:pt idx="9">
                  <c:v>0.67440864625531083</c:v>
                </c:pt>
                <c:pt idx="10">
                  <c:v>0.61330262926843004</c:v>
                </c:pt>
                <c:pt idx="11">
                  <c:v>0.65795389802581927</c:v>
                </c:pt>
                <c:pt idx="12">
                  <c:v>0.65781345448383088</c:v>
                </c:pt>
                <c:pt idx="13">
                  <c:v>0.74166326896560297</c:v>
                </c:pt>
                <c:pt idx="14">
                  <c:v>0.6274320266149932</c:v>
                </c:pt>
                <c:pt idx="15">
                  <c:v>0.64842816213451115</c:v>
                </c:pt>
                <c:pt idx="16">
                  <c:v>0.75719994048104522</c:v>
                </c:pt>
                <c:pt idx="17">
                  <c:v>0.66794489555441139</c:v>
                </c:pt>
                <c:pt idx="18">
                  <c:v>0.69614523463371236</c:v>
                </c:pt>
                <c:pt idx="19">
                  <c:v>0.78774506401827482</c:v>
                </c:pt>
                <c:pt idx="20">
                  <c:v>0.81643645983262159</c:v>
                </c:pt>
                <c:pt idx="21">
                  <c:v>0.68431949490632071</c:v>
                </c:pt>
                <c:pt idx="22">
                  <c:v>0.69971236102448897</c:v>
                </c:pt>
                <c:pt idx="23">
                  <c:v>0.63223824013326746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C0-4406-98F0-D7442A23FD5A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val>
            <c:numRef>
              <c:f>Sheet3!$R$1:$R$24</c:f>
              <c:numCache>
                <c:formatCode>General</c:formatCode>
                <c:ptCount val="24"/>
                <c:pt idx="0">
                  <c:v>0.39175949663925308</c:v>
                </c:pt>
                <c:pt idx="1">
                  <c:v>0.35008384008639909</c:v>
                </c:pt>
                <c:pt idx="2">
                  <c:v>0.39182755916149309</c:v>
                </c:pt>
                <c:pt idx="3">
                  <c:v>0.45117535682746124</c:v>
                </c:pt>
                <c:pt idx="4">
                  <c:v>0.41004815309314124</c:v>
                </c:pt>
                <c:pt idx="5">
                  <c:v>0.41114674279949825</c:v>
                </c:pt>
                <c:pt idx="6">
                  <c:v>0.33148415768050277</c:v>
                </c:pt>
                <c:pt idx="7">
                  <c:v>0.36983455555604372</c:v>
                </c:pt>
                <c:pt idx="8">
                  <c:v>0.45314816250529849</c:v>
                </c:pt>
                <c:pt idx="9">
                  <c:v>0.40308813100457791</c:v>
                </c:pt>
                <c:pt idx="10">
                  <c:v>0.46944522302287317</c:v>
                </c:pt>
                <c:pt idx="11">
                  <c:v>0.33661907395902485</c:v>
                </c:pt>
                <c:pt idx="12">
                  <c:v>0.40452742771935363</c:v>
                </c:pt>
                <c:pt idx="13">
                  <c:v>0.4129798972396494</c:v>
                </c:pt>
                <c:pt idx="14">
                  <c:v>0.44504029665877187</c:v>
                </c:pt>
                <c:pt idx="15">
                  <c:v>0.40160576103972695</c:v>
                </c:pt>
                <c:pt idx="16">
                  <c:v>0.4189344024973875</c:v>
                </c:pt>
                <c:pt idx="17">
                  <c:v>0.40452742771935363</c:v>
                </c:pt>
                <c:pt idx="18">
                  <c:v>0.42682469063905054</c:v>
                </c:pt>
                <c:pt idx="19">
                  <c:v>0.4219139332817034</c:v>
                </c:pt>
                <c:pt idx="20">
                  <c:v>0.34943596283972245</c:v>
                </c:pt>
                <c:pt idx="21">
                  <c:v>0.34258872582300237</c:v>
                </c:pt>
                <c:pt idx="22">
                  <c:v>0.36148574160185437</c:v>
                </c:pt>
                <c:pt idx="23">
                  <c:v>0.4628228074925872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C0-4406-98F0-D7442A23FD5A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Sheet3!$S$1:$S$24</c:f>
              <c:numCache>
                <c:formatCode>General</c:formatCode>
                <c:ptCount val="24"/>
                <c:pt idx="0">
                  <c:v>0.62478637566768747</c:v>
                </c:pt>
                <c:pt idx="1">
                  <c:v>0.65556457288718983</c:v>
                </c:pt>
                <c:pt idx="2">
                  <c:v>0.59068530683252018</c:v>
                </c:pt>
                <c:pt idx="3">
                  <c:v>0.60128265943232162</c:v>
                </c:pt>
                <c:pt idx="4">
                  <c:v>0.55137872266213106</c:v>
                </c:pt>
                <c:pt idx="5">
                  <c:v>0.55124689189736809</c:v>
                </c:pt>
                <c:pt idx="6">
                  <c:v>0.62054581032480394</c:v>
                </c:pt>
                <c:pt idx="7">
                  <c:v>0.6181951616468464</c:v>
                </c:pt>
                <c:pt idx="8">
                  <c:v>0.58999898460437761</c:v>
                </c:pt>
                <c:pt idx="9">
                  <c:v>0.61411519842181306</c:v>
                </c:pt>
                <c:pt idx="10">
                  <c:v>0.58247604221581128</c:v>
                </c:pt>
                <c:pt idx="11">
                  <c:v>0.59952938455912863</c:v>
                </c:pt>
                <c:pt idx="12">
                  <c:v>0.58689336698977868</c:v>
                </c:pt>
                <c:pt idx="13">
                  <c:v>0.52596480627044595</c:v>
                </c:pt>
                <c:pt idx="14">
                  <c:v>0.57378740015728058</c:v>
                </c:pt>
                <c:pt idx="15">
                  <c:v>0.63720896208474764</c:v>
                </c:pt>
                <c:pt idx="16">
                  <c:v>0.51714052642812758</c:v>
                </c:pt>
                <c:pt idx="17">
                  <c:v>0.55818761728980393</c:v>
                </c:pt>
                <c:pt idx="18">
                  <c:v>0.58392834130260252</c:v>
                </c:pt>
                <c:pt idx="19">
                  <c:v>0.47907504745929264</c:v>
                </c:pt>
                <c:pt idx="20">
                  <c:v>0.48953611193759233</c:v>
                </c:pt>
                <c:pt idx="21">
                  <c:v>0.67292846927020744</c:v>
                </c:pt>
                <c:pt idx="22">
                  <c:v>0.64334125778738349</c:v>
                </c:pt>
                <c:pt idx="23">
                  <c:v>0.57576642925303934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C0-4406-98F0-D7442A23F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upBars>
          <c:downBars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downBars>
        </c:upDownBars>
        <c:axId val="706558976"/>
        <c:axId val="706508992"/>
      </c:stockChart>
      <c:catAx>
        <c:axId val="706558976"/>
        <c:scaling>
          <c:orientation val="minMax"/>
        </c:scaling>
        <c:delete val="0"/>
        <c:axPos val="b"/>
        <c:majorTickMark val="out"/>
        <c:minorTickMark val="none"/>
        <c:tickLblPos val="nextTo"/>
        <c:crossAx val="706508992"/>
        <c:crosses val="autoZero"/>
        <c:auto val="1"/>
        <c:lblAlgn val="ctr"/>
        <c:lblOffset val="100"/>
        <c:noMultiLvlLbl val="0"/>
      </c:catAx>
      <c:valAx>
        <c:axId val="706508992"/>
        <c:scaling>
          <c:orientation val="minMax"/>
          <c:max val="1.2"/>
        </c:scaling>
        <c:delete val="0"/>
        <c:axPos val="l"/>
        <c:numFmt formatCode="General" sourceLinked="1"/>
        <c:majorTickMark val="out"/>
        <c:minorTickMark val="none"/>
        <c:tickLblPos val="nextTo"/>
        <c:crossAx val="706558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57150</xdr:rowOff>
        </xdr:from>
        <xdr:to>
          <xdr:col>8</xdr:col>
          <xdr:colOff>400050</xdr:colOff>
          <xdr:row>9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7</xdr:row>
          <xdr:rowOff>57150</xdr:rowOff>
        </xdr:from>
        <xdr:to>
          <xdr:col>10</xdr:col>
          <xdr:colOff>400050</xdr:colOff>
          <xdr:row>9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스텝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11</xdr:row>
      <xdr:rowOff>133350</xdr:rowOff>
    </xdr:from>
    <xdr:to>
      <xdr:col>11</xdr:col>
      <xdr:colOff>2347913</xdr:colOff>
      <xdr:row>27</xdr:row>
      <xdr:rowOff>38100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</xdr:colOff>
      <xdr:row>16</xdr:row>
      <xdr:rowOff>95251</xdr:rowOff>
    </xdr:from>
    <xdr:to>
      <xdr:col>6</xdr:col>
      <xdr:colOff>438150</xdr:colOff>
      <xdr:row>32</xdr:row>
      <xdr:rowOff>1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109537</xdr:colOff>
      <xdr:row>2</xdr:row>
      <xdr:rowOff>85725</xdr:rowOff>
    </xdr:from>
    <xdr:to>
      <xdr:col>6</xdr:col>
      <xdr:colOff>566737</xdr:colOff>
      <xdr:row>15</xdr:row>
      <xdr:rowOff>104775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128587</xdr:colOff>
      <xdr:row>15</xdr:row>
      <xdr:rowOff>142875</xdr:rowOff>
    </xdr:from>
    <xdr:to>
      <xdr:col>6</xdr:col>
      <xdr:colOff>585787</xdr:colOff>
      <xdr:row>28</xdr:row>
      <xdr:rowOff>161925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623887</xdr:colOff>
      <xdr:row>2</xdr:row>
      <xdr:rowOff>76200</xdr:rowOff>
    </xdr:from>
    <xdr:to>
      <xdr:col>13</xdr:col>
      <xdr:colOff>395287</xdr:colOff>
      <xdr:row>15</xdr:row>
      <xdr:rowOff>95250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633412</xdr:colOff>
      <xdr:row>15</xdr:row>
      <xdr:rowOff>152400</xdr:rowOff>
    </xdr:from>
    <xdr:to>
      <xdr:col>13</xdr:col>
      <xdr:colOff>404812</xdr:colOff>
      <xdr:row>28</xdr:row>
      <xdr:rowOff>171450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0</xdr:row>
      <xdr:rowOff>85725</xdr:rowOff>
    </xdr:from>
    <xdr:to>
      <xdr:col>7</xdr:col>
      <xdr:colOff>352425</xdr:colOff>
      <xdr:row>11</xdr:row>
      <xdr:rowOff>28575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390525</xdr:colOff>
      <xdr:row>11</xdr:row>
      <xdr:rowOff>66675</xdr:rowOff>
    </xdr:from>
    <xdr:to>
      <xdr:col>7</xdr:col>
      <xdr:colOff>352425</xdr:colOff>
      <xdr:row>22</xdr:row>
      <xdr:rowOff>9525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495299</xdr:colOff>
      <xdr:row>0</xdr:row>
      <xdr:rowOff>85725</xdr:rowOff>
    </xdr:from>
    <xdr:to>
      <xdr:col>14</xdr:col>
      <xdr:colOff>457499</xdr:colOff>
      <xdr:row>11</xdr:row>
      <xdr:rowOff>28575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495300</xdr:colOff>
      <xdr:row>11</xdr:row>
      <xdr:rowOff>66675</xdr:rowOff>
    </xdr:from>
    <xdr:to>
      <xdr:col>14</xdr:col>
      <xdr:colOff>457500</xdr:colOff>
      <xdr:row>22</xdr:row>
      <xdr:rowOff>9525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49"/>
  <sheetViews>
    <sheetView tabSelected="1" workbookViewId="0">
      <selection activeCell="U2" sqref="U2"/>
    </sheetView>
  </sheetViews>
  <sheetFormatPr defaultRowHeight="13.5" x14ac:dyDescent="0.3"/>
  <cols>
    <col min="1" max="4" width="6.25" style="7" bestFit="1" customWidth="1"/>
    <col min="5" max="5" width="5.25" style="7" bestFit="1" customWidth="1"/>
    <col min="6" max="6" width="5.5" style="6" customWidth="1"/>
    <col min="7" max="7" width="2.375" style="7" bestFit="1" customWidth="1"/>
    <col min="8" max="11" width="5.375" style="7" bestFit="1" customWidth="1"/>
    <col min="12" max="12" width="31.875" style="7" customWidth="1"/>
    <col min="13" max="16" width="6.25" style="7" bestFit="1" customWidth="1"/>
    <col min="17" max="17" width="4.125" style="7" bestFit="1" customWidth="1"/>
    <col min="18" max="20" width="3.5" style="7" bestFit="1" customWidth="1"/>
    <col min="21" max="21" width="7.125" style="7" bestFit="1" customWidth="1"/>
    <col min="22" max="16384" width="9" style="7"/>
  </cols>
  <sheetData>
    <row r="1" spans="1:21" ht="24.75" customHeight="1" x14ac:dyDescent="0.3">
      <c r="A1" s="27" t="s">
        <v>29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</row>
    <row r="2" spans="1:21" x14ac:dyDescent="0.3">
      <c r="A2" s="24" t="s">
        <v>3</v>
      </c>
      <c r="B2" s="24"/>
      <c r="C2" s="24"/>
      <c r="D2" s="24"/>
      <c r="E2" s="24"/>
      <c r="G2" s="23" t="s">
        <v>0</v>
      </c>
      <c r="H2" s="23"/>
      <c r="I2" s="23"/>
      <c r="J2" s="23"/>
      <c r="K2" s="23"/>
      <c r="M2" s="21" t="s">
        <v>6</v>
      </c>
      <c r="N2" s="22"/>
      <c r="O2" s="22"/>
      <c r="P2" s="22"/>
      <c r="Q2" s="22"/>
      <c r="R2" s="22"/>
      <c r="S2" s="22"/>
      <c r="T2" s="22"/>
    </row>
    <row r="3" spans="1:21" x14ac:dyDescent="0.3">
      <c r="A3" s="15" t="s">
        <v>20</v>
      </c>
      <c r="B3" s="15" t="s">
        <v>21</v>
      </c>
      <c r="C3" s="15" t="s">
        <v>22</v>
      </c>
      <c r="D3" s="15" t="s">
        <v>23</v>
      </c>
      <c r="E3" s="15" t="s">
        <v>7</v>
      </c>
      <c r="F3" s="9"/>
      <c r="G3" s="16"/>
      <c r="H3" s="16" t="s">
        <v>20</v>
      </c>
      <c r="I3" s="16" t="s">
        <v>21</v>
      </c>
      <c r="J3" s="16" t="s">
        <v>22</v>
      </c>
      <c r="K3" s="16" t="s">
        <v>23</v>
      </c>
      <c r="M3" s="17">
        <v>1</v>
      </c>
      <c r="N3" s="17">
        <v>2</v>
      </c>
      <c r="O3" s="17">
        <v>3</v>
      </c>
      <c r="P3" s="17">
        <v>4</v>
      </c>
      <c r="Q3" s="17" t="s">
        <v>1</v>
      </c>
      <c r="R3" s="17" t="s">
        <v>2</v>
      </c>
      <c r="S3" s="18" t="s">
        <v>4</v>
      </c>
      <c r="T3" s="18" t="s">
        <v>5</v>
      </c>
      <c r="U3" s="19" t="s">
        <v>27</v>
      </c>
    </row>
    <row r="4" spans="1:21" x14ac:dyDescent="0.3">
      <c r="A4" s="10">
        <v>0.63406699324650495</v>
      </c>
      <c r="B4" s="10">
        <v>0.63406699324650495</v>
      </c>
      <c r="C4" s="10">
        <v>0.38591073745624177</v>
      </c>
      <c r="D4" s="10">
        <v>0.49089992259827558</v>
      </c>
      <c r="E4" s="8">
        <f>IF(Q4=1,1,IF(R4=1,2,IF(S4=1,3,4)))</f>
        <v>3</v>
      </c>
      <c r="F4" s="9"/>
      <c r="G4" s="8">
        <v>1</v>
      </c>
      <c r="H4" s="11">
        <v>0.9068567156791687</v>
      </c>
      <c r="I4" s="11">
        <v>0.3201214075088501</v>
      </c>
      <c r="J4" s="12">
        <v>4.7551453113555908E-2</v>
      </c>
      <c r="K4" s="12">
        <v>0.40108895301818848</v>
      </c>
      <c r="M4" s="10">
        <v>0.12502436266505851</v>
      </c>
      <c r="N4" s="10">
        <v>0.36350350259966541</v>
      </c>
      <c r="O4" s="10">
        <v>9.9981983011734957E-2</v>
      </c>
      <c r="P4" s="10">
        <v>0.19936991696854639</v>
      </c>
      <c r="Q4" s="8">
        <f>IF(M4 &lt; SMALL($M4:$P4, 2), 1, 0)</f>
        <v>0</v>
      </c>
      <c r="R4" s="8">
        <f>IF(N4 &lt; SMALL($M4:$P4, 2), 1, 0)</f>
        <v>0</v>
      </c>
      <c r="S4" s="8">
        <f>IF(O4 &lt; SMALL($M4:$P4, 2), 1, 0)</f>
        <v>1</v>
      </c>
      <c r="T4" s="8">
        <f>IF(P4 &lt; SMALL($M4:$P4, 2), 1, 0)</f>
        <v>0</v>
      </c>
      <c r="U4" s="10">
        <f>M4*Q4 + N4*R4 + O4*S4 + P4*T4</f>
        <v>9.9981983011734957E-2</v>
      </c>
    </row>
    <row r="5" spans="1:21" x14ac:dyDescent="0.3">
      <c r="A5" s="10">
        <v>0.44831482676090656</v>
      </c>
      <c r="B5" s="10">
        <v>0.77148513873746249</v>
      </c>
      <c r="C5" s="10">
        <v>0.31524469829997159</v>
      </c>
      <c r="D5" s="10">
        <v>0.60989998274918522</v>
      </c>
      <c r="E5" s="8">
        <f t="shared" ref="E5:E68" si="0">IF(Q5=1,1,IF(R5=1,2,IF(S5=1,3,4)))</f>
        <v>2</v>
      </c>
      <c r="F5" s="9"/>
      <c r="G5" s="8">
        <v>2</v>
      </c>
      <c r="H5" s="11">
        <v>0.42049354314804077</v>
      </c>
      <c r="I5" s="11">
        <v>5.9728503227233887E-2</v>
      </c>
      <c r="J5" s="12">
        <v>0.23717743158340454</v>
      </c>
      <c r="K5" s="12">
        <v>0.85686922073364258</v>
      </c>
      <c r="M5" s="10">
        <v>0.3135439995857624</v>
      </c>
      <c r="N5" s="10">
        <v>0.10102745624083936</v>
      </c>
      <c r="O5" s="10">
        <v>0.23860756660889182</v>
      </c>
      <c r="P5" s="10">
        <v>0.13950328923467936</v>
      </c>
      <c r="Q5" s="8">
        <f t="shared" ref="Q5:Q23" si="1">IF(M5 &lt; SMALL($M5:$P5, 2), 1, 0)</f>
        <v>0</v>
      </c>
      <c r="R5" s="8">
        <f t="shared" ref="R5:R23" si="2">IF(N5 &lt; SMALL($M5:$P5, 2), 1, 0)</f>
        <v>1</v>
      </c>
      <c r="S5" s="8">
        <f t="shared" ref="S5:S23" si="3">IF(O5 &lt; SMALL($M5:$P5, 2), 1, 0)</f>
        <v>0</v>
      </c>
      <c r="T5" s="8">
        <f t="shared" ref="T5:T23" si="4">IF(P5 &lt; SMALL($M5:$P5, 2), 1, 0)</f>
        <v>0</v>
      </c>
      <c r="U5" s="10">
        <f t="shared" ref="U5:U68" si="5">M5*Q5 + N5*R5 + O5*S5 + P5*T5</f>
        <v>0.10102745624083936</v>
      </c>
    </row>
    <row r="6" spans="1:21" x14ac:dyDescent="0.3">
      <c r="A6" s="10">
        <v>0.46632809792835189</v>
      </c>
      <c r="B6" s="10">
        <v>0.66207067631223626</v>
      </c>
      <c r="C6" s="10">
        <v>0.39175949663925308</v>
      </c>
      <c r="D6" s="10">
        <v>0.62478637566768747</v>
      </c>
      <c r="E6" s="8">
        <f t="shared" si="0"/>
        <v>4</v>
      </c>
      <c r="F6" s="9"/>
      <c r="G6" s="8">
        <v>3</v>
      </c>
      <c r="H6" s="11">
        <v>0.22917813062667847</v>
      </c>
      <c r="I6" s="11">
        <v>0.3555985689163208</v>
      </c>
      <c r="J6" s="12">
        <v>0.4337957501411438</v>
      </c>
      <c r="K6" s="12">
        <v>0.2643287181854248</v>
      </c>
      <c r="M6" s="10">
        <v>0.30815468196898244</v>
      </c>
      <c r="N6" s="10">
        <v>0.18934901021475264</v>
      </c>
      <c r="O6" s="10">
        <v>0.15066188501793532</v>
      </c>
      <c r="P6" s="10">
        <v>4.4937189405151616E-2</v>
      </c>
      <c r="Q6" s="8">
        <f t="shared" si="1"/>
        <v>0</v>
      </c>
      <c r="R6" s="8">
        <f t="shared" si="2"/>
        <v>0</v>
      </c>
      <c r="S6" s="8">
        <f t="shared" si="3"/>
        <v>0</v>
      </c>
      <c r="T6" s="8">
        <f t="shared" si="4"/>
        <v>1</v>
      </c>
      <c r="U6" s="10">
        <f t="shared" si="5"/>
        <v>4.4937189405151616E-2</v>
      </c>
    </row>
    <row r="7" spans="1:21" x14ac:dyDescent="0.3">
      <c r="A7" s="10">
        <v>0.64084762156034658</v>
      </c>
      <c r="B7" s="10">
        <v>0.65014641799798656</v>
      </c>
      <c r="C7" s="10">
        <v>0.38978011774403171</v>
      </c>
      <c r="D7" s="10">
        <v>0.46417048924516247</v>
      </c>
      <c r="E7" s="8">
        <f t="shared" si="0"/>
        <v>1</v>
      </c>
      <c r="F7" s="9"/>
      <c r="G7" s="8">
        <v>4</v>
      </c>
      <c r="H7" s="11">
        <v>0.26485627889633179</v>
      </c>
      <c r="I7" s="11">
        <v>0.72439420223236084</v>
      </c>
      <c r="J7" s="12">
        <v>0.14991861581802368</v>
      </c>
      <c r="K7" s="12">
        <v>0.89843082427978516</v>
      </c>
      <c r="M7" s="10">
        <v>9.652413752918193E-2</v>
      </c>
      <c r="N7" s="10">
        <v>0.37744628343619829</v>
      </c>
      <c r="O7" s="10">
        <v>0.11652889471490142</v>
      </c>
      <c r="P7" s="10">
        <v>0.21600782210988792</v>
      </c>
      <c r="Q7" s="8">
        <f t="shared" si="1"/>
        <v>1</v>
      </c>
      <c r="R7" s="8">
        <f t="shared" si="2"/>
        <v>0</v>
      </c>
      <c r="S7" s="8">
        <f t="shared" si="3"/>
        <v>0</v>
      </c>
      <c r="T7" s="8">
        <f t="shared" si="4"/>
        <v>0</v>
      </c>
      <c r="U7" s="10">
        <f t="shared" si="5"/>
        <v>9.652413752918193E-2</v>
      </c>
    </row>
    <row r="8" spans="1:21" x14ac:dyDescent="0.3">
      <c r="A8" s="10">
        <v>0.58548951121539083</v>
      </c>
      <c r="B8" s="10">
        <v>0.58548951121539083</v>
      </c>
      <c r="C8" s="10">
        <v>0.41662088408907616</v>
      </c>
      <c r="D8" s="10">
        <v>0.55734474002767098</v>
      </c>
      <c r="E8" s="8">
        <f t="shared" si="0"/>
        <v>3</v>
      </c>
      <c r="F8" s="9"/>
      <c r="M8" s="10">
        <v>0.22406702927225861</v>
      </c>
      <c r="N8" s="10">
        <v>0.33631106885733508</v>
      </c>
      <c r="O8" s="10">
        <v>6.5162830366296762E-2</v>
      </c>
      <c r="P8" s="10">
        <v>0.15222976452464301</v>
      </c>
      <c r="Q8" s="8">
        <f t="shared" si="1"/>
        <v>0</v>
      </c>
      <c r="R8" s="8">
        <f t="shared" si="2"/>
        <v>0</v>
      </c>
      <c r="S8" s="8">
        <f t="shared" si="3"/>
        <v>1</v>
      </c>
      <c r="T8" s="8">
        <f t="shared" si="4"/>
        <v>0</v>
      </c>
      <c r="U8" s="10">
        <f t="shared" si="5"/>
        <v>6.5162830366296762E-2</v>
      </c>
    </row>
    <row r="9" spans="1:21" x14ac:dyDescent="0.3">
      <c r="A9" s="10">
        <v>0.60838142063532885</v>
      </c>
      <c r="B9" s="10">
        <v>0.6363086176669851</v>
      </c>
      <c r="C9" s="10">
        <v>0.32910945031875777</v>
      </c>
      <c r="D9" s="10">
        <v>0.57114515792645282</v>
      </c>
      <c r="E9" s="8">
        <f t="shared" si="0"/>
        <v>3</v>
      </c>
      <c r="F9" s="9"/>
      <c r="M9" s="10">
        <v>0.19513606311714937</v>
      </c>
      <c r="N9" s="10">
        <v>0.29659226092464336</v>
      </c>
      <c r="O9" s="10">
        <v>0.13326665691972517</v>
      </c>
      <c r="P9" s="10">
        <v>0.16981894901734429</v>
      </c>
      <c r="Q9" s="8">
        <f t="shared" si="1"/>
        <v>0</v>
      </c>
      <c r="R9" s="8">
        <f t="shared" si="2"/>
        <v>0</v>
      </c>
      <c r="S9" s="8">
        <f t="shared" si="3"/>
        <v>1</v>
      </c>
      <c r="T9" s="8">
        <f t="shared" si="4"/>
        <v>0</v>
      </c>
      <c r="U9" s="10">
        <f t="shared" si="5"/>
        <v>0.13326665691972517</v>
      </c>
    </row>
    <row r="10" spans="1:21" x14ac:dyDescent="0.3">
      <c r="A10" s="10">
        <v>0.74173426469669779</v>
      </c>
      <c r="B10" s="10">
        <v>0.79842339657526928</v>
      </c>
      <c r="C10" s="10">
        <v>0.29766939831456579</v>
      </c>
      <c r="D10" s="10">
        <v>0.30711758696099434</v>
      </c>
      <c r="E10" s="8">
        <f t="shared" si="0"/>
        <v>1</v>
      </c>
      <c r="F10" s="9"/>
      <c r="M10" s="10">
        <v>0.15939924583195408</v>
      </c>
      <c r="N10" s="10">
        <v>0.51906944518964504</v>
      </c>
      <c r="O10" s="10">
        <v>0.36158164549383348</v>
      </c>
      <c r="P10" s="10">
        <v>0.42705042865940734</v>
      </c>
      <c r="Q10" s="8">
        <f t="shared" si="1"/>
        <v>1</v>
      </c>
      <c r="R10" s="8">
        <f t="shared" si="2"/>
        <v>0</v>
      </c>
      <c r="S10" s="8">
        <f t="shared" si="3"/>
        <v>0</v>
      </c>
      <c r="T10" s="8">
        <f t="shared" si="4"/>
        <v>0</v>
      </c>
      <c r="U10" s="10">
        <f t="shared" si="5"/>
        <v>0.15939924583195408</v>
      </c>
    </row>
    <row r="11" spans="1:21" x14ac:dyDescent="0.3">
      <c r="A11" s="10">
        <v>0.58442228380183248</v>
      </c>
      <c r="B11" s="10">
        <v>0.62297118153379072</v>
      </c>
      <c r="C11" s="10">
        <v>0.43022669287399246</v>
      </c>
      <c r="D11" s="10">
        <v>0.50732448833791177</v>
      </c>
      <c r="E11" s="8">
        <f t="shared" si="0"/>
        <v>3</v>
      </c>
      <c r="F11" s="9"/>
      <c r="I11" s="20" t="s">
        <v>28</v>
      </c>
      <c r="J11" s="25">
        <f>U249</f>
        <v>19.575245287670704</v>
      </c>
      <c r="K11" s="26"/>
      <c r="M11" s="10">
        <v>0.17761802347998876</v>
      </c>
      <c r="N11" s="10">
        <v>0.34230125923900756</v>
      </c>
      <c r="O11" s="10">
        <v>3.275584976491306E-2</v>
      </c>
      <c r="P11" s="10">
        <v>0.15282875504955737</v>
      </c>
      <c r="Q11" s="8">
        <f t="shared" si="1"/>
        <v>0</v>
      </c>
      <c r="R11" s="8">
        <f t="shared" si="2"/>
        <v>0</v>
      </c>
      <c r="S11" s="8">
        <f t="shared" si="3"/>
        <v>1</v>
      </c>
      <c r="T11" s="8">
        <f t="shared" si="4"/>
        <v>0</v>
      </c>
      <c r="U11" s="10">
        <f t="shared" si="5"/>
        <v>3.275584976491306E-2</v>
      </c>
    </row>
    <row r="12" spans="1:21" x14ac:dyDescent="0.3">
      <c r="A12" s="10">
        <v>0.62061010748300105</v>
      </c>
      <c r="B12" s="10">
        <v>0.63025284415112914</v>
      </c>
      <c r="C12" s="10">
        <v>0.39882716411605923</v>
      </c>
      <c r="D12" s="10">
        <v>0.49525453079733789</v>
      </c>
      <c r="E12" s="8">
        <f t="shared" si="0"/>
        <v>3</v>
      </c>
      <c r="F12" s="9"/>
      <c r="M12" s="10">
        <v>0.1384911067247408</v>
      </c>
      <c r="N12" s="10">
        <v>0.35721812749940446</v>
      </c>
      <c r="O12" s="10">
        <v>8.0892844715695647E-2</v>
      </c>
      <c r="P12" s="10">
        <v>0.18552015869518823</v>
      </c>
      <c r="Q12" s="8">
        <f t="shared" si="1"/>
        <v>0</v>
      </c>
      <c r="R12" s="8">
        <f t="shared" si="2"/>
        <v>0</v>
      </c>
      <c r="S12" s="8">
        <f t="shared" si="3"/>
        <v>1</v>
      </c>
      <c r="T12" s="8">
        <f t="shared" si="4"/>
        <v>0</v>
      </c>
      <c r="U12" s="10">
        <f t="shared" si="5"/>
        <v>8.0892844715695647E-2</v>
      </c>
    </row>
    <row r="13" spans="1:21" x14ac:dyDescent="0.3">
      <c r="A13" s="10">
        <v>0.5850548429344985</v>
      </c>
      <c r="B13" s="10">
        <v>0.59481857919402303</v>
      </c>
      <c r="C13" s="10">
        <v>0.467890007820219</v>
      </c>
      <c r="D13" s="10">
        <v>0.49718121659878817</v>
      </c>
      <c r="E13" s="8">
        <f t="shared" si="0"/>
        <v>3</v>
      </c>
      <c r="F13" s="9"/>
      <c r="M13" s="10">
        <v>0.20531963500794895</v>
      </c>
      <c r="N13" s="10">
        <v>0.37791143588229575</v>
      </c>
      <c r="O13" s="10">
        <v>5.4819703939644748E-2</v>
      </c>
      <c r="P13" s="10">
        <v>0.17819326647343361</v>
      </c>
      <c r="Q13" s="8">
        <f t="shared" si="1"/>
        <v>0</v>
      </c>
      <c r="R13" s="8">
        <f t="shared" si="2"/>
        <v>0</v>
      </c>
      <c r="S13" s="8">
        <f t="shared" si="3"/>
        <v>1</v>
      </c>
      <c r="T13" s="8">
        <f t="shared" si="4"/>
        <v>0</v>
      </c>
      <c r="U13" s="10">
        <f t="shared" si="5"/>
        <v>5.4819703939644748E-2</v>
      </c>
    </row>
    <row r="14" spans="1:21" x14ac:dyDescent="0.3">
      <c r="A14" s="10">
        <v>0.55084229000355311</v>
      </c>
      <c r="B14" s="10">
        <v>0.58005454673689838</v>
      </c>
      <c r="C14" s="10">
        <v>0.43399326307017455</v>
      </c>
      <c r="D14" s="10">
        <v>0.58005454673689838</v>
      </c>
      <c r="E14" s="8">
        <f t="shared" si="0"/>
        <v>3</v>
      </c>
      <c r="F14" s="9"/>
      <c r="M14" s="10">
        <v>0.26220627449882949</v>
      </c>
      <c r="N14" s="10">
        <v>0.31916144431231636</v>
      </c>
      <c r="O14" s="10">
        <v>7.4354313025969607E-2</v>
      </c>
      <c r="P14" s="10">
        <v>0.12943973337588335</v>
      </c>
      <c r="Q14" s="8">
        <f t="shared" si="1"/>
        <v>0</v>
      </c>
      <c r="R14" s="8">
        <f t="shared" si="2"/>
        <v>0</v>
      </c>
      <c r="S14" s="8">
        <f t="shared" si="3"/>
        <v>1</v>
      </c>
      <c r="T14" s="8">
        <f t="shared" si="4"/>
        <v>0</v>
      </c>
      <c r="U14" s="10">
        <f t="shared" si="5"/>
        <v>7.4354313025969607E-2</v>
      </c>
    </row>
    <row r="15" spans="1:21" x14ac:dyDescent="0.3">
      <c r="A15" s="10">
        <v>0.67108629060421832</v>
      </c>
      <c r="B15" s="10">
        <v>0.7985809579915184</v>
      </c>
      <c r="C15" s="10">
        <v>0.29840957054903522</v>
      </c>
      <c r="D15" s="10">
        <v>0.37686782740275815</v>
      </c>
      <c r="E15" s="8">
        <f t="shared" si="0"/>
        <v>1</v>
      </c>
      <c r="F15" s="9"/>
      <c r="M15" s="10">
        <v>0.10938374164606257</v>
      </c>
      <c r="N15" s="10">
        <v>0.41985998873950287</v>
      </c>
      <c r="O15" s="10">
        <v>0.29057354040037198</v>
      </c>
      <c r="P15" s="10">
        <v>0.33786050029873949</v>
      </c>
      <c r="Q15" s="8">
        <f t="shared" si="1"/>
        <v>1</v>
      </c>
      <c r="R15" s="8">
        <f t="shared" si="2"/>
        <v>0</v>
      </c>
      <c r="S15" s="8">
        <f t="shared" si="3"/>
        <v>0</v>
      </c>
      <c r="T15" s="8">
        <f t="shared" si="4"/>
        <v>0</v>
      </c>
      <c r="U15" s="10">
        <f t="shared" si="5"/>
        <v>0.10938374164606257</v>
      </c>
    </row>
    <row r="16" spans="1:21" x14ac:dyDescent="0.3">
      <c r="A16" s="10">
        <v>0.44554656908664714</v>
      </c>
      <c r="B16" s="10">
        <v>0.69374966448728848</v>
      </c>
      <c r="C16" s="10">
        <v>0.35008384008639909</v>
      </c>
      <c r="D16" s="10">
        <v>0.65556457288718983</v>
      </c>
      <c r="E16" s="8">
        <f t="shared" si="0"/>
        <v>4</v>
      </c>
      <c r="F16" s="9"/>
      <c r="M16" s="10">
        <v>0.33945136467689779</v>
      </c>
      <c r="N16" s="10">
        <v>0.129889486630893</v>
      </c>
      <c r="O16" s="10">
        <v>0.20834197252625553</v>
      </c>
      <c r="P16" s="10">
        <v>9.6539302818095904E-2</v>
      </c>
      <c r="Q16" s="8">
        <f t="shared" si="1"/>
        <v>0</v>
      </c>
      <c r="R16" s="8">
        <f t="shared" si="2"/>
        <v>0</v>
      </c>
      <c r="S16" s="8">
        <f t="shared" si="3"/>
        <v>0</v>
      </c>
      <c r="T16" s="8">
        <f t="shared" si="4"/>
        <v>1</v>
      </c>
      <c r="U16" s="10">
        <f t="shared" si="5"/>
        <v>9.6539302818095904E-2</v>
      </c>
    </row>
    <row r="17" spans="1:21" x14ac:dyDescent="0.3">
      <c r="A17" s="10">
        <v>0.43917464194031014</v>
      </c>
      <c r="B17" s="10">
        <v>0.72325713861320395</v>
      </c>
      <c r="C17" s="10">
        <v>0.39182755916149309</v>
      </c>
      <c r="D17" s="10">
        <v>0.59068530683252018</v>
      </c>
      <c r="E17" s="8">
        <f t="shared" si="0"/>
        <v>4</v>
      </c>
      <c r="F17" s="9"/>
      <c r="M17" s="10">
        <v>0.30167819844539512</v>
      </c>
      <c r="N17" s="10">
        <v>0.15871248557292064</v>
      </c>
      <c r="O17" s="10">
        <v>0.17539474285246495</v>
      </c>
      <c r="P17" s="10">
        <v>5.8725605667321268E-2</v>
      </c>
      <c r="Q17" s="8">
        <f t="shared" si="1"/>
        <v>0</v>
      </c>
      <c r="R17" s="8">
        <f t="shared" si="2"/>
        <v>0</v>
      </c>
      <c r="S17" s="8">
        <f t="shared" si="3"/>
        <v>0</v>
      </c>
      <c r="T17" s="8">
        <f t="shared" si="4"/>
        <v>1</v>
      </c>
      <c r="U17" s="10">
        <f t="shared" si="5"/>
        <v>5.8725605667321268E-2</v>
      </c>
    </row>
    <row r="18" spans="1:21" x14ac:dyDescent="0.3">
      <c r="A18" s="10">
        <v>0.68124205481624733</v>
      </c>
      <c r="B18" s="10">
        <v>0.70025922113485206</v>
      </c>
      <c r="C18" s="10">
        <v>0.37696739371856208</v>
      </c>
      <c r="D18" s="10">
        <v>0.38647597687786445</v>
      </c>
      <c r="E18" s="8">
        <f t="shared" si="0"/>
        <v>1</v>
      </c>
      <c r="F18" s="9"/>
      <c r="M18" s="10">
        <v>3.0420864040618802E-2</v>
      </c>
      <c r="N18" s="10">
        <v>0.43710209981329712</v>
      </c>
      <c r="O18" s="10">
        <v>0.2084381364814169</v>
      </c>
      <c r="P18" s="10">
        <v>0.29701854772747083</v>
      </c>
      <c r="Q18" s="8">
        <f t="shared" si="1"/>
        <v>1</v>
      </c>
      <c r="R18" s="8">
        <f t="shared" si="2"/>
        <v>0</v>
      </c>
      <c r="S18" s="8">
        <f t="shared" si="3"/>
        <v>0</v>
      </c>
      <c r="T18" s="8">
        <f t="shared" si="4"/>
        <v>0</v>
      </c>
      <c r="U18" s="10">
        <f t="shared" si="5"/>
        <v>3.0420864040618802E-2</v>
      </c>
    </row>
    <row r="19" spans="1:21" x14ac:dyDescent="0.3">
      <c r="A19" s="10">
        <v>0.63425196362201963</v>
      </c>
      <c r="B19" s="10">
        <v>0.73226776560715745</v>
      </c>
      <c r="C19" s="10">
        <v>0.32060139726957926</v>
      </c>
      <c r="D19" s="10">
        <v>0.45782352004877103</v>
      </c>
      <c r="E19" s="8">
        <f t="shared" si="0"/>
        <v>1</v>
      </c>
      <c r="F19" s="9"/>
      <c r="M19" s="10">
        <v>7.8227113269980664E-2</v>
      </c>
      <c r="N19" s="10">
        <v>0.34270356544350628</v>
      </c>
      <c r="O19" s="10">
        <v>0.1898661057500908</v>
      </c>
      <c r="P19" s="10">
        <v>0.23763393181223483</v>
      </c>
      <c r="Q19" s="8">
        <f t="shared" si="1"/>
        <v>1</v>
      </c>
      <c r="R19" s="8">
        <f t="shared" si="2"/>
        <v>0</v>
      </c>
      <c r="S19" s="8">
        <f t="shared" si="3"/>
        <v>0</v>
      </c>
      <c r="T19" s="8">
        <f t="shared" si="4"/>
        <v>0</v>
      </c>
      <c r="U19" s="10">
        <f t="shared" si="5"/>
        <v>7.8227113269980664E-2</v>
      </c>
    </row>
    <row r="20" spans="1:21" x14ac:dyDescent="0.3">
      <c r="A20" s="10">
        <v>0.6056544119840015</v>
      </c>
      <c r="B20" s="10">
        <v>0.72465712686478156</v>
      </c>
      <c r="C20" s="10">
        <v>0.40731655384937071</v>
      </c>
      <c r="D20" s="10">
        <v>0.40731655384937071</v>
      </c>
      <c r="E20" s="8">
        <f t="shared" si="0"/>
        <v>1</v>
      </c>
      <c r="F20" s="9"/>
      <c r="M20" s="10">
        <v>8.6510858045733219E-2</v>
      </c>
      <c r="N20" s="10">
        <v>0.37658155651656505</v>
      </c>
      <c r="O20" s="10">
        <v>0.16275578834463536</v>
      </c>
      <c r="P20" s="10">
        <v>0.23263747809852831</v>
      </c>
      <c r="Q20" s="8">
        <f t="shared" si="1"/>
        <v>1</v>
      </c>
      <c r="R20" s="8">
        <f t="shared" si="2"/>
        <v>0</v>
      </c>
      <c r="S20" s="8">
        <f t="shared" si="3"/>
        <v>0</v>
      </c>
      <c r="T20" s="8">
        <f t="shared" si="4"/>
        <v>0</v>
      </c>
      <c r="U20" s="10">
        <f t="shared" si="5"/>
        <v>8.6510858045733219E-2</v>
      </c>
    </row>
    <row r="21" spans="1:21" x14ac:dyDescent="0.3">
      <c r="A21" s="10">
        <v>0.54876245295457859</v>
      </c>
      <c r="B21" s="10">
        <v>0.65899381655030653</v>
      </c>
      <c r="C21" s="10">
        <v>0.44855212241300702</v>
      </c>
      <c r="D21" s="10">
        <v>0.48863625462963511</v>
      </c>
      <c r="E21" s="8">
        <f t="shared" si="0"/>
        <v>3</v>
      </c>
      <c r="F21" s="9"/>
      <c r="M21" s="10">
        <v>0.18382712013114019</v>
      </c>
      <c r="N21" s="10">
        <v>0.32471984098574308</v>
      </c>
      <c r="O21" s="10">
        <v>4.8640463372238769E-2</v>
      </c>
      <c r="P21" s="10">
        <v>0.13435707334992769</v>
      </c>
      <c r="Q21" s="8">
        <f t="shared" si="1"/>
        <v>0</v>
      </c>
      <c r="R21" s="8">
        <f t="shared" si="2"/>
        <v>0</v>
      </c>
      <c r="S21" s="8">
        <f t="shared" si="3"/>
        <v>1</v>
      </c>
      <c r="T21" s="8">
        <f t="shared" si="4"/>
        <v>0</v>
      </c>
      <c r="U21" s="10">
        <f t="shared" si="5"/>
        <v>4.8640463372238769E-2</v>
      </c>
    </row>
    <row r="22" spans="1:21" x14ac:dyDescent="0.3">
      <c r="A22" s="10">
        <v>0.55109402116224426</v>
      </c>
      <c r="B22" s="10">
        <v>0.64024117831441341</v>
      </c>
      <c r="C22" s="10">
        <v>0.4124206655922012</v>
      </c>
      <c r="D22" s="10">
        <v>0.54118878147866833</v>
      </c>
      <c r="E22" s="8">
        <f t="shared" si="0"/>
        <v>3</v>
      </c>
      <c r="F22" s="9"/>
      <c r="M22" s="10">
        <v>0.20412873150091307</v>
      </c>
      <c r="N22" s="10">
        <v>0.29019455995380256</v>
      </c>
      <c r="O22" s="10">
        <v>3.8418528252306988E-2</v>
      </c>
      <c r="P22" s="10">
        <v>0.10251560608997785</v>
      </c>
      <c r="Q22" s="8">
        <f t="shared" si="1"/>
        <v>0</v>
      </c>
      <c r="R22" s="8">
        <f t="shared" si="2"/>
        <v>0</v>
      </c>
      <c r="S22" s="8">
        <f t="shared" si="3"/>
        <v>1</v>
      </c>
      <c r="T22" s="8">
        <f t="shared" si="4"/>
        <v>0</v>
      </c>
      <c r="U22" s="10">
        <f t="shared" si="5"/>
        <v>3.8418528252306988E-2</v>
      </c>
    </row>
    <row r="23" spans="1:21" x14ac:dyDescent="0.3">
      <c r="A23" s="10">
        <v>0.45117535682746124</v>
      </c>
      <c r="B23" s="10">
        <v>0.64131127346028316</v>
      </c>
      <c r="C23" s="10">
        <v>0.45117535682746124</v>
      </c>
      <c r="D23" s="10">
        <v>0.60128265943232162</v>
      </c>
      <c r="E23" s="8">
        <f t="shared" si="0"/>
        <v>4</v>
      </c>
      <c r="F23" s="9"/>
      <c r="M23" s="10">
        <v>0.31918753036870917</v>
      </c>
      <c r="N23" s="10">
        <v>0.23971253892994074</v>
      </c>
      <c r="O23" s="10">
        <v>0.13393079834590799</v>
      </c>
      <c r="P23" s="10">
        <v>5.5855747273362587E-2</v>
      </c>
      <c r="Q23" s="8">
        <f t="shared" si="1"/>
        <v>0</v>
      </c>
      <c r="R23" s="8">
        <f t="shared" si="2"/>
        <v>0</v>
      </c>
      <c r="S23" s="8">
        <f t="shared" si="3"/>
        <v>0</v>
      </c>
      <c r="T23" s="8">
        <f t="shared" si="4"/>
        <v>1</v>
      </c>
      <c r="U23" s="10">
        <f t="shared" si="5"/>
        <v>5.5855747273362587E-2</v>
      </c>
    </row>
    <row r="24" spans="1:21" x14ac:dyDescent="0.3">
      <c r="A24" s="13">
        <v>0.62647910065729762</v>
      </c>
      <c r="B24" s="13">
        <v>0.66658707355526026</v>
      </c>
      <c r="C24" s="13">
        <v>0.37580427004503142</v>
      </c>
      <c r="D24" s="13">
        <v>0.47607420228993791</v>
      </c>
      <c r="E24" s="8">
        <f t="shared" si="0"/>
        <v>1</v>
      </c>
      <c r="M24" s="10">
        <v>9.7868948437049838E-2</v>
      </c>
      <c r="N24" s="10">
        <v>0.35135186358169018</v>
      </c>
      <c r="O24" s="10">
        <v>0.11349343648899447</v>
      </c>
      <c r="P24" s="10">
        <v>0.19831503790498037</v>
      </c>
      <c r="Q24" s="8">
        <f t="shared" ref="Q24" si="6">IF(M24 &lt; SMALL($M24:$P24, 2), 1, 0)</f>
        <v>1</v>
      </c>
      <c r="R24" s="8">
        <f t="shared" ref="R24" si="7">IF(N24 &lt; SMALL($M24:$P24, 2), 1, 0)</f>
        <v>0</v>
      </c>
      <c r="S24" s="8">
        <f t="shared" ref="S24" si="8">IF(O24 &lt; SMALL($M24:$P24, 2), 1, 0)</f>
        <v>0</v>
      </c>
      <c r="T24" s="8">
        <f t="shared" ref="T24" si="9">IF(P24 &lt; SMALL($M24:$P24, 2), 1, 0)</f>
        <v>0</v>
      </c>
      <c r="U24" s="10">
        <f t="shared" si="5"/>
        <v>9.7868948437049838E-2</v>
      </c>
    </row>
    <row r="25" spans="1:21" x14ac:dyDescent="0.3">
      <c r="A25" s="13">
        <v>0.51099855992813314</v>
      </c>
      <c r="B25" s="13">
        <v>0.67251921086412192</v>
      </c>
      <c r="C25" s="13">
        <v>0.41004815309314124</v>
      </c>
      <c r="D25" s="13">
        <v>0.55137872266213106</v>
      </c>
      <c r="E25" s="8">
        <f t="shared" si="0"/>
        <v>4</v>
      </c>
      <c r="M25" s="10">
        <v>0.22863031091623728</v>
      </c>
      <c r="N25" s="10">
        <v>0.24570173427833766</v>
      </c>
      <c r="O25" s="10">
        <v>7.8965835184236874E-2</v>
      </c>
      <c r="P25" s="10">
        <v>5.7164772591543234E-2</v>
      </c>
      <c r="Q25" s="8">
        <f t="shared" ref="Q25:Q88" si="10">IF(M25 &lt; SMALL($M25:$P25, 2), 1, 0)</f>
        <v>0</v>
      </c>
      <c r="R25" s="8">
        <f t="shared" ref="R25:R88" si="11">IF(N25 &lt; SMALL($M25:$P25, 2), 1, 0)</f>
        <v>0</v>
      </c>
      <c r="S25" s="8">
        <f t="shared" ref="S25:S88" si="12">IF(O25 &lt; SMALL($M25:$P25, 2), 1, 0)</f>
        <v>0</v>
      </c>
      <c r="T25" s="8">
        <f t="shared" ref="T25:T88" si="13">IF(P25 &lt; SMALL($M25:$P25, 2), 1, 0)</f>
        <v>1</v>
      </c>
      <c r="U25" s="10">
        <f t="shared" si="5"/>
        <v>5.7164772591543234E-2</v>
      </c>
    </row>
    <row r="26" spans="1:21" x14ac:dyDescent="0.3">
      <c r="A26" s="13">
        <v>0.49120397085542428</v>
      </c>
      <c r="B26" s="13">
        <v>0.69134704099523658</v>
      </c>
      <c r="C26" s="13">
        <v>0.41114674279949825</v>
      </c>
      <c r="D26" s="13">
        <v>0.55124689189736809</v>
      </c>
      <c r="E26" s="8">
        <f t="shared" si="0"/>
        <v>4</v>
      </c>
      <c r="M26" s="10">
        <v>0.24110504191696605</v>
      </c>
      <c r="N26" s="10">
        <v>0.2278008955252056</v>
      </c>
      <c r="O26" s="10">
        <v>0.1025730215108497</v>
      </c>
      <c r="P26" s="10">
        <v>4.6298156069241744E-2</v>
      </c>
      <c r="Q26" s="8">
        <f t="shared" si="10"/>
        <v>0</v>
      </c>
      <c r="R26" s="8">
        <f t="shared" si="11"/>
        <v>0</v>
      </c>
      <c r="S26" s="8">
        <f t="shared" si="12"/>
        <v>0</v>
      </c>
      <c r="T26" s="8">
        <f t="shared" si="13"/>
        <v>1</v>
      </c>
      <c r="U26" s="10">
        <f t="shared" si="5"/>
        <v>4.6298156069241744E-2</v>
      </c>
    </row>
    <row r="27" spans="1:21" x14ac:dyDescent="0.3">
      <c r="A27" s="13">
        <v>0.52127280251725772</v>
      </c>
      <c r="B27" s="13">
        <v>0.64097967547425316</v>
      </c>
      <c r="C27" s="13">
        <v>0.46141936603875866</v>
      </c>
      <c r="D27" s="13">
        <v>0.52127280251725772</v>
      </c>
      <c r="E27" s="8">
        <f t="shared" si="0"/>
        <v>3</v>
      </c>
      <c r="M27" s="10">
        <v>0.22947817369551121</v>
      </c>
      <c r="N27" s="10">
        <v>0.30767536413201518</v>
      </c>
      <c r="O27" s="10">
        <v>4.4167336591146834E-2</v>
      </c>
      <c r="P27" s="10">
        <v>0.10461009908560052</v>
      </c>
      <c r="Q27" s="8">
        <f t="shared" si="10"/>
        <v>0</v>
      </c>
      <c r="R27" s="8">
        <f t="shared" si="11"/>
        <v>0</v>
      </c>
      <c r="S27" s="8">
        <f t="shared" si="12"/>
        <v>1</v>
      </c>
      <c r="T27" s="8">
        <f t="shared" si="13"/>
        <v>0</v>
      </c>
      <c r="U27" s="10">
        <f t="shared" si="5"/>
        <v>4.4167336591146834E-2</v>
      </c>
    </row>
    <row r="28" spans="1:21" x14ac:dyDescent="0.3">
      <c r="A28" s="13">
        <v>0.58539649778028302</v>
      </c>
      <c r="B28" s="13">
        <v>0.63455683392368423</v>
      </c>
      <c r="C28" s="13">
        <v>0.4379154893500794</v>
      </c>
      <c r="D28" s="13">
        <v>0.48707582549348061</v>
      </c>
      <c r="E28" s="8">
        <f t="shared" si="0"/>
        <v>3</v>
      </c>
      <c r="M28" s="10">
        <v>0.16417388712915901</v>
      </c>
      <c r="N28" s="10">
        <v>0.35132599180527568</v>
      </c>
      <c r="O28" s="10">
        <v>4.5755399375909625E-2</v>
      </c>
      <c r="P28" s="10">
        <v>0.16272425018291478</v>
      </c>
      <c r="Q28" s="8">
        <f t="shared" si="10"/>
        <v>0</v>
      </c>
      <c r="R28" s="8">
        <f t="shared" si="11"/>
        <v>0</v>
      </c>
      <c r="S28" s="8">
        <f t="shared" si="12"/>
        <v>1</v>
      </c>
      <c r="T28" s="8">
        <f t="shared" si="13"/>
        <v>0</v>
      </c>
      <c r="U28" s="10">
        <f t="shared" si="5"/>
        <v>4.5755399375909625E-2</v>
      </c>
    </row>
    <row r="29" spans="1:21" x14ac:dyDescent="0.3">
      <c r="A29" s="13">
        <v>0.50492114926708209</v>
      </c>
      <c r="B29" s="13">
        <v>0.6879935292751399</v>
      </c>
      <c r="C29" s="13">
        <v>0.33148415768050277</v>
      </c>
      <c r="D29" s="13">
        <v>0.62054581032480394</v>
      </c>
      <c r="E29" s="8">
        <f t="shared" si="0"/>
        <v>4</v>
      </c>
      <c r="M29" s="10">
        <v>0.27588086215932439</v>
      </c>
      <c r="N29" s="10">
        <v>0.17436161651737195</v>
      </c>
      <c r="O29" s="10">
        <v>0.16882642522845734</v>
      </c>
      <c r="P29" s="10">
        <v>9.6289531556203317E-2</v>
      </c>
      <c r="Q29" s="8">
        <f t="shared" si="10"/>
        <v>0</v>
      </c>
      <c r="R29" s="8">
        <f t="shared" si="11"/>
        <v>0</v>
      </c>
      <c r="S29" s="8">
        <f t="shared" si="12"/>
        <v>0</v>
      </c>
      <c r="T29" s="8">
        <f t="shared" si="13"/>
        <v>1</v>
      </c>
      <c r="U29" s="10">
        <f t="shared" si="5"/>
        <v>9.6289531556203317E-2</v>
      </c>
    </row>
    <row r="30" spans="1:21" x14ac:dyDescent="0.3">
      <c r="A30" s="13">
        <v>0.52651745413797124</v>
      </c>
      <c r="B30" s="13">
        <v>0.63342323662598798</v>
      </c>
      <c r="C30" s="13">
        <v>0.4390490866477757</v>
      </c>
      <c r="D30" s="13">
        <v>0.54595486913579383</v>
      </c>
      <c r="E30" s="8">
        <f t="shared" si="0"/>
        <v>3</v>
      </c>
      <c r="M30" s="10">
        <v>0.23309047031095323</v>
      </c>
      <c r="N30" s="10">
        <v>0.29022282703975466</v>
      </c>
      <c r="O30" s="10">
        <v>4.0049405161093871E-2</v>
      </c>
      <c r="P30" s="10">
        <v>8.8237096319169178E-2</v>
      </c>
      <c r="Q30" s="8">
        <f t="shared" si="10"/>
        <v>0</v>
      </c>
      <c r="R30" s="8">
        <f t="shared" si="11"/>
        <v>0</v>
      </c>
      <c r="S30" s="8">
        <f t="shared" si="12"/>
        <v>1</v>
      </c>
      <c r="T30" s="8">
        <f t="shared" si="13"/>
        <v>0</v>
      </c>
      <c r="U30" s="10">
        <f t="shared" si="5"/>
        <v>4.0049405161093871E-2</v>
      </c>
    </row>
    <row r="31" spans="1:21" x14ac:dyDescent="0.3">
      <c r="A31" s="13">
        <v>0.6076992517219334</v>
      </c>
      <c r="B31" s="13">
        <v>0.73583996497788817</v>
      </c>
      <c r="C31" s="13">
        <v>0.40070271492385284</v>
      </c>
      <c r="D31" s="13">
        <v>0.40070271492385284</v>
      </c>
      <c r="E31" s="8">
        <f t="shared" si="0"/>
        <v>1</v>
      </c>
      <c r="M31" s="10">
        <v>8.390584395352671E-2</v>
      </c>
      <c r="N31" s="10">
        <v>0.37899197902050985</v>
      </c>
      <c r="O31" s="10">
        <v>0.17632997942101852</v>
      </c>
      <c r="P31" s="10">
        <v>0.2417595779179266</v>
      </c>
      <c r="Q31" s="8">
        <f t="shared" si="10"/>
        <v>1</v>
      </c>
      <c r="R31" s="8">
        <f t="shared" si="11"/>
        <v>0</v>
      </c>
      <c r="S31" s="8">
        <f t="shared" si="12"/>
        <v>0</v>
      </c>
      <c r="T31" s="8">
        <f t="shared" si="13"/>
        <v>0</v>
      </c>
      <c r="U31" s="10">
        <f t="shared" si="5"/>
        <v>8.390584395352671E-2</v>
      </c>
    </row>
    <row r="32" spans="1:21" x14ac:dyDescent="0.3">
      <c r="A32" s="13">
        <v>0.37668993506170473</v>
      </c>
      <c r="B32" s="13">
        <v>0.75561222317774845</v>
      </c>
      <c r="C32" s="13">
        <v>0.37668993506170473</v>
      </c>
      <c r="D32" s="13">
        <v>0.63595255324636668</v>
      </c>
      <c r="E32" s="8">
        <f t="shared" si="0"/>
        <v>2</v>
      </c>
      <c r="M32" s="10">
        <v>0.37967543983094437</v>
      </c>
      <c r="N32" s="10">
        <v>9.9339244215465639E-2</v>
      </c>
      <c r="O32" s="10">
        <v>0.25852532153902369</v>
      </c>
      <c r="P32" s="10">
        <v>0.1346174681355331</v>
      </c>
      <c r="Q32" s="8">
        <f t="shared" si="10"/>
        <v>0</v>
      </c>
      <c r="R32" s="8">
        <f t="shared" si="11"/>
        <v>1</v>
      </c>
      <c r="S32" s="8">
        <f t="shared" si="12"/>
        <v>0</v>
      </c>
      <c r="T32" s="8">
        <f t="shared" si="13"/>
        <v>0</v>
      </c>
      <c r="U32" s="10">
        <f t="shared" si="5"/>
        <v>9.9339244215465639E-2</v>
      </c>
    </row>
    <row r="33" spans="1:21" x14ac:dyDescent="0.3">
      <c r="A33" s="13">
        <v>0.49898207072326139</v>
      </c>
      <c r="B33" s="13">
        <v>0.65793285862137429</v>
      </c>
      <c r="C33" s="13">
        <v>0.36983455555604372</v>
      </c>
      <c r="D33" s="13">
        <v>0.6181951616468464</v>
      </c>
      <c r="E33" s="8">
        <f t="shared" si="0"/>
        <v>4</v>
      </c>
      <c r="M33" s="10">
        <v>0.28098599984302952</v>
      </c>
      <c r="N33" s="10">
        <v>0.20131913664983764</v>
      </c>
      <c r="O33" s="10">
        <v>0.13738971624054791</v>
      </c>
      <c r="P33" s="10">
        <v>6.4264609653601729E-2</v>
      </c>
      <c r="Q33" s="8">
        <f t="shared" si="10"/>
        <v>0</v>
      </c>
      <c r="R33" s="8">
        <f t="shared" si="11"/>
        <v>0</v>
      </c>
      <c r="S33" s="8">
        <f t="shared" si="12"/>
        <v>0</v>
      </c>
      <c r="T33" s="8">
        <f t="shared" si="13"/>
        <v>1</v>
      </c>
      <c r="U33" s="10">
        <f t="shared" si="5"/>
        <v>6.4264609653601729E-2</v>
      </c>
    </row>
    <row r="34" spans="1:21" x14ac:dyDescent="0.3">
      <c r="A34" s="13">
        <v>0.55857106764370046</v>
      </c>
      <c r="B34" s="13">
        <v>0.64791069167097759</v>
      </c>
      <c r="C34" s="13">
        <v>0.45930481872450352</v>
      </c>
      <c r="D34" s="13">
        <v>0.47915806850834292</v>
      </c>
      <c r="E34" s="8">
        <f t="shared" si="0"/>
        <v>3</v>
      </c>
      <c r="M34" s="10">
        <v>0.18247220806034564</v>
      </c>
      <c r="N34" s="10">
        <v>0.34493499515810239</v>
      </c>
      <c r="O34" s="10">
        <v>5.1555554611057083E-2</v>
      </c>
      <c r="P34" s="10">
        <v>0.15200127434201668</v>
      </c>
      <c r="Q34" s="8">
        <f t="shared" si="10"/>
        <v>0</v>
      </c>
      <c r="R34" s="8">
        <f t="shared" si="11"/>
        <v>0</v>
      </c>
      <c r="S34" s="8">
        <f t="shared" si="12"/>
        <v>1</v>
      </c>
      <c r="T34" s="8">
        <f t="shared" si="13"/>
        <v>0</v>
      </c>
      <c r="U34" s="10">
        <f t="shared" si="5"/>
        <v>5.1555554611057083E-2</v>
      </c>
    </row>
    <row r="35" spans="1:21" x14ac:dyDescent="0.3">
      <c r="A35" s="13">
        <v>0.40792039276172493</v>
      </c>
      <c r="B35" s="13">
        <v>0.74351548058905836</v>
      </c>
      <c r="C35" s="13">
        <v>0.31908639892507784</v>
      </c>
      <c r="D35" s="13">
        <v>0.67442237427166618</v>
      </c>
      <c r="E35" s="8">
        <f t="shared" si="0"/>
        <v>2</v>
      </c>
      <c r="M35" s="10">
        <v>0.38186306235522144</v>
      </c>
      <c r="N35" s="10">
        <v>5.8304924695118894E-2</v>
      </c>
      <c r="O35" s="10">
        <v>0.27303609901390491</v>
      </c>
      <c r="P35" s="10">
        <v>0.15605233873484847</v>
      </c>
      <c r="Q35" s="8">
        <f t="shared" si="10"/>
        <v>0</v>
      </c>
      <c r="R35" s="8">
        <f t="shared" si="11"/>
        <v>1</v>
      </c>
      <c r="S35" s="8">
        <f t="shared" si="12"/>
        <v>0</v>
      </c>
      <c r="T35" s="8">
        <f t="shared" si="13"/>
        <v>0</v>
      </c>
      <c r="U35" s="10">
        <f t="shared" si="5"/>
        <v>5.8304924695118894E-2</v>
      </c>
    </row>
    <row r="36" spans="1:21" x14ac:dyDescent="0.3">
      <c r="A36" s="13">
        <v>0.46292322122666102</v>
      </c>
      <c r="B36" s="13">
        <v>0.63887427821119158</v>
      </c>
      <c r="C36" s="13">
        <v>0.45314816250529849</v>
      </c>
      <c r="D36" s="13">
        <v>0.58999898460437761</v>
      </c>
      <c r="E36" s="8">
        <f t="shared" si="0"/>
        <v>4</v>
      </c>
      <c r="M36" s="10">
        <v>0.30529264240103338</v>
      </c>
      <c r="N36" s="10">
        <v>0.25000771667021865</v>
      </c>
      <c r="O36" s="10">
        <v>0.11783735832776253</v>
      </c>
      <c r="P36" s="10">
        <v>5.5095742417222884E-2</v>
      </c>
      <c r="Q36" s="8">
        <f t="shared" si="10"/>
        <v>0</v>
      </c>
      <c r="R36" s="8">
        <f t="shared" si="11"/>
        <v>0</v>
      </c>
      <c r="S36" s="8">
        <f t="shared" si="12"/>
        <v>0</v>
      </c>
      <c r="T36" s="8">
        <f t="shared" si="13"/>
        <v>1</v>
      </c>
      <c r="U36" s="10">
        <f t="shared" si="5"/>
        <v>5.5095742417222884E-2</v>
      </c>
    </row>
    <row r="37" spans="1:21" x14ac:dyDescent="0.3">
      <c r="A37" s="13">
        <v>0.61532318872731462</v>
      </c>
      <c r="B37" s="13">
        <v>0.68452433743144159</v>
      </c>
      <c r="C37" s="13">
        <v>0.417605621001234</v>
      </c>
      <c r="D37" s="13">
        <v>0.42749149938753844</v>
      </c>
      <c r="E37" s="8">
        <f t="shared" si="0"/>
        <v>1</v>
      </c>
      <c r="M37" s="10">
        <v>9.1434720566499775E-2</v>
      </c>
      <c r="N37" s="10">
        <v>0.38054403702758438</v>
      </c>
      <c r="O37" s="10">
        <v>0.12782896862484527</v>
      </c>
      <c r="P37" s="10">
        <v>0.21847498996334502</v>
      </c>
      <c r="Q37" s="8">
        <f t="shared" si="10"/>
        <v>1</v>
      </c>
      <c r="R37" s="8">
        <f t="shared" si="11"/>
        <v>0</v>
      </c>
      <c r="S37" s="8">
        <f t="shared" si="12"/>
        <v>0</v>
      </c>
      <c r="T37" s="8">
        <f t="shared" si="13"/>
        <v>0</v>
      </c>
      <c r="U37" s="10">
        <f t="shared" si="5"/>
        <v>9.1434720566499775E-2</v>
      </c>
    </row>
    <row r="38" spans="1:21" x14ac:dyDescent="0.3">
      <c r="A38" s="13">
        <v>0.65335774218053977</v>
      </c>
      <c r="B38" s="13">
        <v>0.72464913903320127</v>
      </c>
      <c r="C38" s="13">
        <v>0.34782318424056241</v>
      </c>
      <c r="D38" s="13">
        <v>0.41911458109322386</v>
      </c>
      <c r="E38" s="8">
        <f t="shared" si="0"/>
        <v>1</v>
      </c>
      <c r="M38" s="10">
        <v>3.003248833650158E-2</v>
      </c>
      <c r="N38" s="10">
        <v>0.38639083691245796</v>
      </c>
      <c r="O38" s="10">
        <v>0.19596066176730359</v>
      </c>
      <c r="P38" s="10">
        <v>0.26400132450815766</v>
      </c>
      <c r="Q38" s="8">
        <f t="shared" si="10"/>
        <v>1</v>
      </c>
      <c r="R38" s="8">
        <f t="shared" si="11"/>
        <v>0</v>
      </c>
      <c r="S38" s="8">
        <f t="shared" si="12"/>
        <v>0</v>
      </c>
      <c r="T38" s="8">
        <f t="shared" si="13"/>
        <v>0</v>
      </c>
      <c r="U38" s="10">
        <f t="shared" si="5"/>
        <v>3.003248833650158E-2</v>
      </c>
    </row>
    <row r="39" spans="1:21" x14ac:dyDescent="0.3">
      <c r="A39" s="13">
        <v>0.38519379093251138</v>
      </c>
      <c r="B39" s="13">
        <v>0.78456005923559247</v>
      </c>
      <c r="C39" s="13">
        <v>0.38519379093251138</v>
      </c>
      <c r="D39" s="13">
        <v>0.58999700544691203</v>
      </c>
      <c r="E39" s="8">
        <f t="shared" si="0"/>
        <v>2</v>
      </c>
      <c r="M39" s="10">
        <v>0.35206273834194851</v>
      </c>
      <c r="N39" s="10">
        <v>0.128292074836373</v>
      </c>
      <c r="O39" s="10">
        <v>0.25063146444940848</v>
      </c>
      <c r="P39" s="10">
        <v>0.13866789553064057</v>
      </c>
      <c r="Q39" s="8">
        <f t="shared" si="10"/>
        <v>0</v>
      </c>
      <c r="R39" s="8">
        <f t="shared" si="11"/>
        <v>1</v>
      </c>
      <c r="S39" s="8">
        <f t="shared" si="12"/>
        <v>0</v>
      </c>
      <c r="T39" s="8">
        <f t="shared" si="13"/>
        <v>0</v>
      </c>
      <c r="U39" s="10">
        <f t="shared" si="5"/>
        <v>0.128292074836373</v>
      </c>
    </row>
    <row r="40" spans="1:21" x14ac:dyDescent="0.3">
      <c r="A40" s="13">
        <v>0.53113981401250365</v>
      </c>
      <c r="B40" s="13">
        <v>0.64325946174882886</v>
      </c>
      <c r="C40" s="13">
        <v>0.44959825202244885</v>
      </c>
      <c r="D40" s="13">
        <v>0.52094711876374733</v>
      </c>
      <c r="E40" s="8">
        <f t="shared" si="0"/>
        <v>3</v>
      </c>
      <c r="M40" s="10">
        <v>0.21682377779664175</v>
      </c>
      <c r="N40" s="10">
        <v>0.30520664426094757</v>
      </c>
      <c r="O40" s="10">
        <v>3.2853020678654171E-2</v>
      </c>
      <c r="P40" s="10">
        <v>0.10483173603041646</v>
      </c>
      <c r="Q40" s="8">
        <f t="shared" si="10"/>
        <v>0</v>
      </c>
      <c r="R40" s="8">
        <f t="shared" si="11"/>
        <v>0</v>
      </c>
      <c r="S40" s="8">
        <f t="shared" si="12"/>
        <v>1</v>
      </c>
      <c r="T40" s="8">
        <f t="shared" si="13"/>
        <v>0</v>
      </c>
      <c r="U40" s="10">
        <f t="shared" si="5"/>
        <v>3.2853020678654171E-2</v>
      </c>
    </row>
    <row r="41" spans="1:21" x14ac:dyDescent="0.3">
      <c r="A41" s="13">
        <v>0.3688662181748959</v>
      </c>
      <c r="B41" s="13">
        <v>0.72389337097304896</v>
      </c>
      <c r="C41" s="13">
        <v>0.32829168642653633</v>
      </c>
      <c r="D41" s="13">
        <v>0.72389337097304896</v>
      </c>
      <c r="E41" s="8">
        <f t="shared" si="0"/>
        <v>2</v>
      </c>
      <c r="M41" s="10">
        <v>0.44237903539756523</v>
      </c>
      <c r="N41" s="10">
        <v>8.5965359277993536E-2</v>
      </c>
      <c r="O41" s="10">
        <v>0.31443130242205714</v>
      </c>
      <c r="P41" s="10">
        <v>0.19397730674877825</v>
      </c>
      <c r="Q41" s="8">
        <f t="shared" si="10"/>
        <v>0</v>
      </c>
      <c r="R41" s="8">
        <f t="shared" si="11"/>
        <v>1</v>
      </c>
      <c r="S41" s="8">
        <f t="shared" si="12"/>
        <v>0</v>
      </c>
      <c r="T41" s="8">
        <f t="shared" si="13"/>
        <v>0</v>
      </c>
      <c r="U41" s="10">
        <f t="shared" si="5"/>
        <v>8.5965359277993536E-2</v>
      </c>
    </row>
    <row r="42" spans="1:21" x14ac:dyDescent="0.3">
      <c r="A42" s="13">
        <v>0.53120871095851852</v>
      </c>
      <c r="B42" s="13">
        <v>0.62170282316905179</v>
      </c>
      <c r="C42" s="13">
        <v>0.44071459874798674</v>
      </c>
      <c r="D42" s="13">
        <v>0.5513185136719716</v>
      </c>
      <c r="E42" s="8">
        <f t="shared" si="0"/>
        <v>3</v>
      </c>
      <c r="M42" s="10">
        <v>0.2381707649458554</v>
      </c>
      <c r="N42" s="10">
        <v>0.29742596023702367</v>
      </c>
      <c r="O42" s="10">
        <v>3.9561216405091554E-2</v>
      </c>
      <c r="P42" s="10">
        <v>9.5788416750976449E-2</v>
      </c>
      <c r="Q42" s="8">
        <f t="shared" si="10"/>
        <v>0</v>
      </c>
      <c r="R42" s="8">
        <f t="shared" si="11"/>
        <v>0</v>
      </c>
      <c r="S42" s="8">
        <f t="shared" si="12"/>
        <v>1</v>
      </c>
      <c r="T42" s="8">
        <f t="shared" si="13"/>
        <v>0</v>
      </c>
      <c r="U42" s="10">
        <f t="shared" si="5"/>
        <v>3.9561216405091554E-2</v>
      </c>
    </row>
    <row r="43" spans="1:21" x14ac:dyDescent="0.3">
      <c r="A43" s="13">
        <v>0.45333267086582418</v>
      </c>
      <c r="B43" s="13">
        <v>0.67440864625531083</v>
      </c>
      <c r="C43" s="13">
        <v>0.40308813100457791</v>
      </c>
      <c r="D43" s="13">
        <v>0.61411519842181306</v>
      </c>
      <c r="E43" s="8">
        <f t="shared" si="0"/>
        <v>4</v>
      </c>
      <c r="M43" s="10">
        <v>0.30959039335172939</v>
      </c>
      <c r="N43" s="10">
        <v>0.18567239795381504</v>
      </c>
      <c r="O43" s="10">
        <v>0.1523656559413126</v>
      </c>
      <c r="P43" s="10">
        <v>3.1389874368533049E-2</v>
      </c>
      <c r="Q43" s="8">
        <f t="shared" si="10"/>
        <v>0</v>
      </c>
      <c r="R43" s="8">
        <f t="shared" si="11"/>
        <v>0</v>
      </c>
      <c r="S43" s="8">
        <f t="shared" si="12"/>
        <v>0</v>
      </c>
      <c r="T43" s="8">
        <f t="shared" si="13"/>
        <v>1</v>
      </c>
      <c r="U43" s="10">
        <f t="shared" si="5"/>
        <v>3.1389874368533049E-2</v>
      </c>
    </row>
    <row r="44" spans="1:21" x14ac:dyDescent="0.3">
      <c r="A44" s="13">
        <v>0.73677401307846702</v>
      </c>
      <c r="B44" s="13">
        <v>0.78754308939279205</v>
      </c>
      <c r="C44" s="13">
        <v>0.29000614151240295</v>
      </c>
      <c r="D44" s="13">
        <v>0.33062140256386385</v>
      </c>
      <c r="E44" s="8">
        <f t="shared" si="0"/>
        <v>1</v>
      </c>
      <c r="M44" s="10">
        <v>0.14093863778194476</v>
      </c>
      <c r="N44" s="10">
        <v>0.49879842814588821</v>
      </c>
      <c r="O44" s="10">
        <v>0.34352119755020799</v>
      </c>
      <c r="P44" s="10">
        <v>0.40781982552267532</v>
      </c>
      <c r="Q44" s="8">
        <f t="shared" si="10"/>
        <v>1</v>
      </c>
      <c r="R44" s="8">
        <f t="shared" si="11"/>
        <v>0</v>
      </c>
      <c r="S44" s="8">
        <f t="shared" si="12"/>
        <v>0</v>
      </c>
      <c r="T44" s="8">
        <f t="shared" si="13"/>
        <v>0</v>
      </c>
      <c r="U44" s="10">
        <f t="shared" si="5"/>
        <v>0.14093863778194476</v>
      </c>
    </row>
    <row r="45" spans="1:21" x14ac:dyDescent="0.3">
      <c r="A45" s="13">
        <v>0.4797207520404127</v>
      </c>
      <c r="B45" s="13">
        <v>0.61330262926843004</v>
      </c>
      <c r="C45" s="13">
        <v>0.46944522302287317</v>
      </c>
      <c r="D45" s="13">
        <v>0.58247604221581128</v>
      </c>
      <c r="E45" s="8">
        <f t="shared" si="0"/>
        <v>4</v>
      </c>
      <c r="M45" s="10">
        <v>0.30231541452400651</v>
      </c>
      <c r="N45" s="10">
        <v>0.28408475880422818</v>
      </c>
      <c r="O45" s="10">
        <v>0.10311900117102746</v>
      </c>
      <c r="P45" s="10">
        <v>8.5668565714707365E-2</v>
      </c>
      <c r="Q45" s="8">
        <f t="shared" si="10"/>
        <v>0</v>
      </c>
      <c r="R45" s="8">
        <f t="shared" si="11"/>
        <v>0</v>
      </c>
      <c r="S45" s="8">
        <f t="shared" si="12"/>
        <v>0</v>
      </c>
      <c r="T45" s="8">
        <f t="shared" si="13"/>
        <v>1</v>
      </c>
      <c r="U45" s="10">
        <f t="shared" si="5"/>
        <v>8.5668565714707365E-2</v>
      </c>
    </row>
    <row r="46" spans="1:21" x14ac:dyDescent="0.3">
      <c r="A46" s="13">
        <v>0.22612315463824179</v>
      </c>
      <c r="B46" s="13">
        <v>0.87156160822890694</v>
      </c>
      <c r="C46" s="13">
        <v>0.22612315463824179</v>
      </c>
      <c r="D46" s="13">
        <v>0.82113672904213675</v>
      </c>
      <c r="E46" s="8">
        <f t="shared" si="0"/>
        <v>2</v>
      </c>
      <c r="M46" s="10">
        <v>0.64548145200295359</v>
      </c>
      <c r="N46" s="10">
        <v>0.23533523059166231</v>
      </c>
      <c r="O46" s="10">
        <v>0.5534315827413907</v>
      </c>
      <c r="P46" s="10">
        <v>0.43082695926602765</v>
      </c>
      <c r="Q46" s="8">
        <f t="shared" si="10"/>
        <v>0</v>
      </c>
      <c r="R46" s="8">
        <f t="shared" si="11"/>
        <v>1</v>
      </c>
      <c r="S46" s="8">
        <f t="shared" si="12"/>
        <v>0</v>
      </c>
      <c r="T46" s="8">
        <f t="shared" si="13"/>
        <v>0</v>
      </c>
      <c r="U46" s="10">
        <f t="shared" si="5"/>
        <v>0.23533523059166231</v>
      </c>
    </row>
    <row r="47" spans="1:21" x14ac:dyDescent="0.3">
      <c r="A47" s="13">
        <v>0.55084229000355311</v>
      </c>
      <c r="B47" s="13">
        <v>0.65795389802581927</v>
      </c>
      <c r="C47" s="13">
        <v>0.33661907395902485</v>
      </c>
      <c r="D47" s="13">
        <v>0.59952938455912863</v>
      </c>
      <c r="E47" s="8">
        <f t="shared" si="0"/>
        <v>4</v>
      </c>
      <c r="M47" s="10">
        <v>0.23682674167070766</v>
      </c>
      <c r="N47" s="10">
        <v>0.23278556469630543</v>
      </c>
      <c r="O47" s="10">
        <v>0.13461010999025086</v>
      </c>
      <c r="P47" s="10">
        <v>0.11531585046743378</v>
      </c>
      <c r="Q47" s="8">
        <f t="shared" si="10"/>
        <v>0</v>
      </c>
      <c r="R47" s="8">
        <f t="shared" si="11"/>
        <v>0</v>
      </c>
      <c r="S47" s="8">
        <f t="shared" si="12"/>
        <v>0</v>
      </c>
      <c r="T47" s="8">
        <f t="shared" si="13"/>
        <v>1</v>
      </c>
      <c r="U47" s="10">
        <f t="shared" si="5"/>
        <v>0.11531585046743378</v>
      </c>
    </row>
    <row r="48" spans="1:21" x14ac:dyDescent="0.3">
      <c r="A48" s="13">
        <v>0.58786455121062053</v>
      </c>
      <c r="B48" s="13">
        <v>0.71570627777416251</v>
      </c>
      <c r="C48" s="13">
        <v>0.4108529298149452</v>
      </c>
      <c r="D48" s="13">
        <v>0.43052088774779768</v>
      </c>
      <c r="E48" s="8">
        <f t="shared" si="0"/>
        <v>1</v>
      </c>
      <c r="M48" s="10">
        <v>0.10520523059936389</v>
      </c>
      <c r="N48" s="10">
        <v>0.35220211576845495</v>
      </c>
      <c r="O48" s="10">
        <v>0.13558409602971053</v>
      </c>
      <c r="P48" s="10">
        <v>0.20213599640598515</v>
      </c>
      <c r="Q48" s="8">
        <f t="shared" si="10"/>
        <v>1</v>
      </c>
      <c r="R48" s="8">
        <f t="shared" si="11"/>
        <v>0</v>
      </c>
      <c r="S48" s="8">
        <f t="shared" si="12"/>
        <v>0</v>
      </c>
      <c r="T48" s="8">
        <f t="shared" si="13"/>
        <v>0</v>
      </c>
      <c r="U48" s="10">
        <f t="shared" si="5"/>
        <v>0.10520523059936389</v>
      </c>
    </row>
    <row r="49" spans="1:21" x14ac:dyDescent="0.3">
      <c r="A49" s="13">
        <v>0.63115387426650482</v>
      </c>
      <c r="B49" s="13">
        <v>0.65113655060958064</v>
      </c>
      <c r="C49" s="13">
        <v>0.35139640546340761</v>
      </c>
      <c r="D49" s="13">
        <v>0.51125781620803423</v>
      </c>
      <c r="E49" s="8">
        <f t="shared" si="0"/>
        <v>3</v>
      </c>
      <c r="M49" s="10">
        <v>0.12891609770144419</v>
      </c>
      <c r="N49" s="10">
        <v>0.33653126958736268</v>
      </c>
      <c r="O49" s="10">
        <v>0.11968441647840444</v>
      </c>
      <c r="P49" s="10">
        <v>0.19277736540053259</v>
      </c>
      <c r="Q49" s="8">
        <f t="shared" si="10"/>
        <v>0</v>
      </c>
      <c r="R49" s="8">
        <f t="shared" si="11"/>
        <v>0</v>
      </c>
      <c r="S49" s="8">
        <f t="shared" si="12"/>
        <v>1</v>
      </c>
      <c r="T49" s="8">
        <f t="shared" si="13"/>
        <v>0</v>
      </c>
      <c r="U49" s="10">
        <f t="shared" si="5"/>
        <v>0.11968441647840444</v>
      </c>
    </row>
    <row r="50" spans="1:21" x14ac:dyDescent="0.3">
      <c r="A50" s="13">
        <v>0.49571039735456546</v>
      </c>
      <c r="B50" s="13">
        <v>0.65781345448383088</v>
      </c>
      <c r="C50" s="13">
        <v>0.40452742771935363</v>
      </c>
      <c r="D50" s="13">
        <v>0.58689336698977868</v>
      </c>
      <c r="E50" s="8">
        <f t="shared" si="0"/>
        <v>4</v>
      </c>
      <c r="M50" s="10">
        <v>0.2643913608933634</v>
      </c>
      <c r="N50" s="10">
        <v>0.22608880281661156</v>
      </c>
      <c r="O50" s="10">
        <v>0.10221737206831472</v>
      </c>
      <c r="P50" s="10">
        <v>3.5003898726786963E-2</v>
      </c>
      <c r="Q50" s="8">
        <f t="shared" si="10"/>
        <v>0</v>
      </c>
      <c r="R50" s="8">
        <f t="shared" si="11"/>
        <v>0</v>
      </c>
      <c r="S50" s="8">
        <f t="shared" si="12"/>
        <v>0</v>
      </c>
      <c r="T50" s="8">
        <f t="shared" si="13"/>
        <v>1</v>
      </c>
      <c r="U50" s="10">
        <f t="shared" si="5"/>
        <v>3.5003898726786963E-2</v>
      </c>
    </row>
    <row r="51" spans="1:21" x14ac:dyDescent="0.3">
      <c r="A51" s="13">
        <v>0.56424913706828284</v>
      </c>
      <c r="B51" s="13">
        <v>0.65592796575287171</v>
      </c>
      <c r="C51" s="13">
        <v>0.46238377186318641</v>
      </c>
      <c r="D51" s="13">
        <v>0.46238377186318641</v>
      </c>
      <c r="E51" s="8">
        <f t="shared" si="0"/>
        <v>3</v>
      </c>
      <c r="M51" s="10">
        <v>0.17182359770769939</v>
      </c>
      <c r="N51" s="10">
        <v>0.35621936171435836</v>
      </c>
      <c r="O51" s="10">
        <v>7.0461854211127425E-2</v>
      </c>
      <c r="P51" s="10">
        <v>0.16734725838574191</v>
      </c>
      <c r="Q51" s="8">
        <f t="shared" si="10"/>
        <v>0</v>
      </c>
      <c r="R51" s="8">
        <f t="shared" si="11"/>
        <v>0</v>
      </c>
      <c r="S51" s="8">
        <f t="shared" si="12"/>
        <v>1</v>
      </c>
      <c r="T51" s="8">
        <f t="shared" si="13"/>
        <v>0</v>
      </c>
      <c r="U51" s="10">
        <f t="shared" si="5"/>
        <v>7.0461854211127425E-2</v>
      </c>
    </row>
    <row r="52" spans="1:21" x14ac:dyDescent="0.3">
      <c r="A52" s="13">
        <v>0.51052644537807168</v>
      </c>
      <c r="B52" s="13">
        <v>0.62364919691683685</v>
      </c>
      <c r="C52" s="13">
        <v>0.47967478586749929</v>
      </c>
      <c r="D52" s="13">
        <v>0.5310942183851195</v>
      </c>
      <c r="E52" s="8">
        <f t="shared" si="0"/>
        <v>3</v>
      </c>
      <c r="M52" s="10">
        <v>0.25555367602948181</v>
      </c>
      <c r="N52" s="10">
        <v>0.31716230848805188</v>
      </c>
      <c r="O52" s="10">
        <v>6.121659771497364E-2</v>
      </c>
      <c r="P52" s="10">
        <v>0.11095842019512638</v>
      </c>
      <c r="Q52" s="8">
        <f t="shared" si="10"/>
        <v>0</v>
      </c>
      <c r="R52" s="8">
        <f t="shared" si="11"/>
        <v>0</v>
      </c>
      <c r="S52" s="8">
        <f t="shared" si="12"/>
        <v>1</v>
      </c>
      <c r="T52" s="8">
        <f t="shared" si="13"/>
        <v>0</v>
      </c>
      <c r="U52" s="10">
        <f t="shared" si="5"/>
        <v>6.121659771497364E-2</v>
      </c>
    </row>
    <row r="53" spans="1:21" x14ac:dyDescent="0.3">
      <c r="A53" s="13">
        <v>0.49010874124582182</v>
      </c>
      <c r="B53" s="13">
        <v>0.67461842281006179</v>
      </c>
      <c r="C53" s="13">
        <v>0.4798582033811426</v>
      </c>
      <c r="D53" s="13">
        <v>0.50035927911050249</v>
      </c>
      <c r="E53" s="8">
        <f t="shared" si="0"/>
        <v>3</v>
      </c>
      <c r="M53" s="10">
        <v>0.24375648505469089</v>
      </c>
      <c r="N53" s="10">
        <v>0.30281274862669688</v>
      </c>
      <c r="O53" s="10">
        <v>9.4341741221594583E-2</v>
      </c>
      <c r="P53" s="10">
        <v>0.11246750340725994</v>
      </c>
      <c r="Q53" s="8">
        <f t="shared" si="10"/>
        <v>0</v>
      </c>
      <c r="R53" s="8">
        <f t="shared" si="11"/>
        <v>0</v>
      </c>
      <c r="S53" s="8">
        <f t="shared" si="12"/>
        <v>1</v>
      </c>
      <c r="T53" s="8">
        <f t="shared" si="13"/>
        <v>0</v>
      </c>
      <c r="U53" s="10">
        <f t="shared" si="5"/>
        <v>9.4341741221594583E-2</v>
      </c>
    </row>
    <row r="54" spans="1:21" x14ac:dyDescent="0.3">
      <c r="A54" s="13">
        <v>0.46433667407182899</v>
      </c>
      <c r="B54" s="13">
        <v>0.74166326896560297</v>
      </c>
      <c r="C54" s="13">
        <v>0.4129798972396494</v>
      </c>
      <c r="D54" s="13">
        <v>0.52596480627044595</v>
      </c>
      <c r="E54" s="8">
        <f t="shared" si="0"/>
        <v>4</v>
      </c>
      <c r="M54" s="10">
        <v>0.25052182938354284</v>
      </c>
      <c r="N54" s="10">
        <v>0.21689785802965683</v>
      </c>
      <c r="O54" s="10">
        <v>0.15173931346373667</v>
      </c>
      <c r="P54" s="10">
        <v>9.0052587682616494E-2</v>
      </c>
      <c r="Q54" s="8">
        <f t="shared" si="10"/>
        <v>0</v>
      </c>
      <c r="R54" s="8">
        <f t="shared" si="11"/>
        <v>0</v>
      </c>
      <c r="S54" s="8">
        <f t="shared" si="12"/>
        <v>0</v>
      </c>
      <c r="T54" s="8">
        <f t="shared" si="13"/>
        <v>1</v>
      </c>
      <c r="U54" s="10">
        <f t="shared" si="5"/>
        <v>9.0052587682616494E-2</v>
      </c>
    </row>
    <row r="55" spans="1:21" x14ac:dyDescent="0.3">
      <c r="A55" s="13">
        <v>0.48837070424186857</v>
      </c>
      <c r="B55" s="13">
        <v>0.74029416421562222</v>
      </c>
      <c r="C55" s="13">
        <v>0.29690887466181426</v>
      </c>
      <c r="D55" s="13">
        <v>0.61937090342822076</v>
      </c>
      <c r="E55" s="8">
        <f t="shared" si="0"/>
        <v>2</v>
      </c>
      <c r="M55" s="10">
        <v>0.29120046656355003</v>
      </c>
      <c r="N55" s="10">
        <v>0.13249879681147436</v>
      </c>
      <c r="O55" s="10">
        <v>0.21993895042531503</v>
      </c>
      <c r="P55" s="10">
        <v>0.1378899762282543</v>
      </c>
      <c r="Q55" s="8">
        <f t="shared" si="10"/>
        <v>0</v>
      </c>
      <c r="R55" s="8">
        <f t="shared" si="11"/>
        <v>1</v>
      </c>
      <c r="S55" s="8">
        <f t="shared" si="12"/>
        <v>0</v>
      </c>
      <c r="T55" s="8">
        <f t="shared" si="13"/>
        <v>0</v>
      </c>
      <c r="U55" s="10">
        <f t="shared" si="5"/>
        <v>0.13249879681147436</v>
      </c>
    </row>
    <row r="56" spans="1:21" x14ac:dyDescent="0.3">
      <c r="A56" s="13">
        <v>0.75088839088323456</v>
      </c>
      <c r="B56" s="13">
        <v>0.77133146033526867</v>
      </c>
      <c r="C56" s="13">
        <v>0.31136239766451207</v>
      </c>
      <c r="D56" s="13">
        <v>0.31136239766451207</v>
      </c>
      <c r="E56" s="8">
        <f t="shared" si="0"/>
        <v>1</v>
      </c>
      <c r="M56" s="10">
        <v>0.14302092888181889</v>
      </c>
      <c r="N56" s="10">
        <v>0.52292433584585363</v>
      </c>
      <c r="O56" s="10">
        <v>0.34640888691950977</v>
      </c>
      <c r="P56" s="10">
        <v>0.41983580180829821</v>
      </c>
      <c r="Q56" s="8">
        <f t="shared" si="10"/>
        <v>1</v>
      </c>
      <c r="R56" s="8">
        <f t="shared" si="11"/>
        <v>0</v>
      </c>
      <c r="S56" s="8">
        <f t="shared" si="12"/>
        <v>0</v>
      </c>
      <c r="T56" s="8">
        <f t="shared" si="13"/>
        <v>0</v>
      </c>
      <c r="U56" s="10">
        <f t="shared" si="5"/>
        <v>0.14302092888181889</v>
      </c>
    </row>
    <row r="57" spans="1:21" x14ac:dyDescent="0.3">
      <c r="A57" s="13">
        <v>0.74161621152744017</v>
      </c>
      <c r="B57" s="13">
        <v>0.76268083202903358</v>
      </c>
      <c r="C57" s="13">
        <v>0.26766225024153739</v>
      </c>
      <c r="D57" s="13">
        <v>0.37298535274951611</v>
      </c>
      <c r="E57" s="8">
        <f t="shared" si="0"/>
        <v>1</v>
      </c>
      <c r="M57" s="10">
        <v>0.12733862523441583</v>
      </c>
      <c r="N57" s="10">
        <v>0.47517587066752742</v>
      </c>
      <c r="O57" s="10">
        <v>0.32430367345793504</v>
      </c>
      <c r="P57" s="10">
        <v>0.3873422489517192</v>
      </c>
      <c r="Q57" s="8">
        <f t="shared" si="10"/>
        <v>1</v>
      </c>
      <c r="R57" s="8">
        <f t="shared" si="11"/>
        <v>0</v>
      </c>
      <c r="S57" s="8">
        <f t="shared" si="12"/>
        <v>0</v>
      </c>
      <c r="T57" s="8">
        <f t="shared" si="13"/>
        <v>0</v>
      </c>
      <c r="U57" s="10">
        <f t="shared" si="5"/>
        <v>0.12733862523441583</v>
      </c>
    </row>
    <row r="58" spans="1:21" x14ac:dyDescent="0.3">
      <c r="A58" s="13">
        <v>0.60873330292255479</v>
      </c>
      <c r="B58" s="13">
        <v>0.60873330292255479</v>
      </c>
      <c r="C58" s="13">
        <v>0.41540759282742745</v>
      </c>
      <c r="D58" s="13">
        <v>0.51207044787499034</v>
      </c>
      <c r="E58" s="8">
        <f t="shared" si="0"/>
        <v>3</v>
      </c>
      <c r="M58" s="10">
        <v>0.17173626785313606</v>
      </c>
      <c r="N58" s="10">
        <v>0.35656008017665264</v>
      </c>
      <c r="O58" s="10">
        <v>6.0685874681723165E-2</v>
      </c>
      <c r="P58" s="10">
        <v>0.17416722224780096</v>
      </c>
      <c r="Q58" s="8">
        <f t="shared" si="10"/>
        <v>0</v>
      </c>
      <c r="R58" s="8">
        <f t="shared" si="11"/>
        <v>0</v>
      </c>
      <c r="S58" s="8">
        <f t="shared" si="12"/>
        <v>1</v>
      </c>
      <c r="T58" s="8">
        <f t="shared" si="13"/>
        <v>0</v>
      </c>
      <c r="U58" s="10">
        <f t="shared" si="5"/>
        <v>6.0685874681723165E-2</v>
      </c>
    </row>
    <row r="59" spans="1:21" x14ac:dyDescent="0.3">
      <c r="A59" s="13">
        <v>0.49868492311648305</v>
      </c>
      <c r="B59" s="13">
        <v>0.6274320266149932</v>
      </c>
      <c r="C59" s="13">
        <v>0.44504029665877187</v>
      </c>
      <c r="D59" s="13">
        <v>0.57378740015728058</v>
      </c>
      <c r="E59" s="8">
        <f t="shared" si="0"/>
        <v>4</v>
      </c>
      <c r="M59" s="10">
        <v>0.27187034954719552</v>
      </c>
      <c r="N59" s="10">
        <v>0.27179252096508616</v>
      </c>
      <c r="O59" s="10">
        <v>7.847212467348065E-2</v>
      </c>
      <c r="P59" s="10">
        <v>6.7831422675481201E-2</v>
      </c>
      <c r="Q59" s="8">
        <f t="shared" si="10"/>
        <v>0</v>
      </c>
      <c r="R59" s="8">
        <f t="shared" si="11"/>
        <v>0</v>
      </c>
      <c r="S59" s="8">
        <f t="shared" si="12"/>
        <v>0</v>
      </c>
      <c r="T59" s="8">
        <f t="shared" si="13"/>
        <v>1</v>
      </c>
      <c r="U59" s="10">
        <f t="shared" si="5"/>
        <v>6.7831422675481201E-2</v>
      </c>
    </row>
    <row r="60" spans="1:21" x14ac:dyDescent="0.3">
      <c r="A60" s="13">
        <v>0.66318976288359954</v>
      </c>
      <c r="B60" s="13">
        <v>0.66318976288359954</v>
      </c>
      <c r="C60" s="13">
        <v>0.40388027948604716</v>
      </c>
      <c r="D60" s="13">
        <v>0.41468484129427963</v>
      </c>
      <c r="E60" s="8">
        <f t="shared" si="0"/>
        <v>1</v>
      </c>
      <c r="M60" s="10">
        <v>6.8435930157054486E-2</v>
      </c>
      <c r="N60" s="10">
        <v>0.42173868905718143</v>
      </c>
      <c r="O60" s="10">
        <v>0.1597784554997396</v>
      </c>
      <c r="P60" s="10">
        <v>0.26198646269282833</v>
      </c>
      <c r="Q60" s="8">
        <f t="shared" si="10"/>
        <v>1</v>
      </c>
      <c r="R60" s="8">
        <f t="shared" si="11"/>
        <v>0</v>
      </c>
      <c r="S60" s="8">
        <f t="shared" si="12"/>
        <v>0</v>
      </c>
      <c r="T60" s="8">
        <f t="shared" si="13"/>
        <v>0</v>
      </c>
      <c r="U60" s="10">
        <f t="shared" si="5"/>
        <v>6.8435930157054486E-2</v>
      </c>
    </row>
    <row r="61" spans="1:21" x14ac:dyDescent="0.3">
      <c r="A61" s="13">
        <v>0.75620511958238579</v>
      </c>
      <c r="B61" s="13">
        <v>0.76734278833912117</v>
      </c>
      <c r="C61" s="13">
        <v>0.3106983693130102</v>
      </c>
      <c r="D61" s="13">
        <v>0.3106983693130102</v>
      </c>
      <c r="E61" s="8">
        <f t="shared" si="0"/>
        <v>1</v>
      </c>
      <c r="M61" s="10">
        <v>0.14496371974525035</v>
      </c>
      <c r="N61" s="10">
        <v>0.52728712097576202</v>
      </c>
      <c r="O61" s="10">
        <v>0.34840933390316969</v>
      </c>
      <c r="P61" s="10">
        <v>0.42316361708178518</v>
      </c>
      <c r="Q61" s="8">
        <f t="shared" si="10"/>
        <v>1</v>
      </c>
      <c r="R61" s="8">
        <f t="shared" si="11"/>
        <v>0</v>
      </c>
      <c r="S61" s="8">
        <f t="shared" si="12"/>
        <v>0</v>
      </c>
      <c r="T61" s="8">
        <f t="shared" si="13"/>
        <v>0</v>
      </c>
      <c r="U61" s="10">
        <f t="shared" si="5"/>
        <v>0.14496371974525035</v>
      </c>
    </row>
    <row r="62" spans="1:21" x14ac:dyDescent="0.3">
      <c r="A62" s="13">
        <v>0.45770176128854162</v>
      </c>
      <c r="B62" s="13">
        <v>0.64842816213451115</v>
      </c>
      <c r="C62" s="13">
        <v>0.40160576103972695</v>
      </c>
      <c r="D62" s="13">
        <v>0.63720896208474764</v>
      </c>
      <c r="E62" s="8">
        <f t="shared" si="0"/>
        <v>4</v>
      </c>
      <c r="M62" s="10">
        <v>0.32637993923452746</v>
      </c>
      <c r="N62" s="10">
        <v>0.1971967476170991</v>
      </c>
      <c r="O62" s="10">
        <v>0.1592399756770832</v>
      </c>
      <c r="P62" s="10">
        <v>5.860548102839535E-2</v>
      </c>
      <c r="Q62" s="8">
        <f t="shared" si="10"/>
        <v>0</v>
      </c>
      <c r="R62" s="8">
        <f t="shared" si="11"/>
        <v>0</v>
      </c>
      <c r="S62" s="8">
        <f t="shared" si="12"/>
        <v>0</v>
      </c>
      <c r="T62" s="8">
        <f t="shared" si="13"/>
        <v>1</v>
      </c>
      <c r="U62" s="10">
        <f t="shared" si="5"/>
        <v>5.860548102839535E-2</v>
      </c>
    </row>
    <row r="63" spans="1:21" x14ac:dyDescent="0.3">
      <c r="A63" s="13">
        <v>0.55567571120696302</v>
      </c>
      <c r="B63" s="13">
        <v>0.57789233928705541</v>
      </c>
      <c r="C63" s="13">
        <v>0.44459257080649961</v>
      </c>
      <c r="D63" s="13">
        <v>0.56678402524701066</v>
      </c>
      <c r="E63" s="8">
        <f t="shared" si="0"/>
        <v>3</v>
      </c>
      <c r="M63" s="10">
        <v>0.25582108473985177</v>
      </c>
      <c r="N63" s="10">
        <v>0.33218388965467999</v>
      </c>
      <c r="O63" s="10">
        <v>6.5392405610479695E-2</v>
      </c>
      <c r="P63" s="10">
        <v>0.13764894627532825</v>
      </c>
      <c r="Q63" s="8">
        <f t="shared" si="10"/>
        <v>0</v>
      </c>
      <c r="R63" s="8">
        <f t="shared" si="11"/>
        <v>0</v>
      </c>
      <c r="S63" s="8">
        <f t="shared" si="12"/>
        <v>1</v>
      </c>
      <c r="T63" s="8">
        <f t="shared" si="13"/>
        <v>0</v>
      </c>
      <c r="U63" s="10">
        <f t="shared" si="5"/>
        <v>6.5392405610479695E-2</v>
      </c>
    </row>
    <row r="64" spans="1:21" x14ac:dyDescent="0.3">
      <c r="A64" s="13">
        <v>0.45166977714096707</v>
      </c>
      <c r="B64" s="13">
        <v>0.75719994048104522</v>
      </c>
      <c r="C64" s="13">
        <v>0.4189344024973875</v>
      </c>
      <c r="D64" s="13">
        <v>0.51714052642812758</v>
      </c>
      <c r="E64" s="8">
        <f t="shared" si="0"/>
        <v>4</v>
      </c>
      <c r="M64" s="10">
        <v>0.26097187076746398</v>
      </c>
      <c r="N64" s="10">
        <v>0.21938964835257493</v>
      </c>
      <c r="O64" s="10">
        <v>0.17059483887722041</v>
      </c>
      <c r="P64" s="10">
        <v>0.10872385640305472</v>
      </c>
      <c r="Q64" s="8">
        <f t="shared" si="10"/>
        <v>0</v>
      </c>
      <c r="R64" s="8">
        <f t="shared" si="11"/>
        <v>0</v>
      </c>
      <c r="S64" s="8">
        <f t="shared" si="12"/>
        <v>0</v>
      </c>
      <c r="T64" s="8">
        <f t="shared" si="13"/>
        <v>1</v>
      </c>
      <c r="U64" s="10">
        <f t="shared" si="5"/>
        <v>0.10872385640305472</v>
      </c>
    </row>
    <row r="65" spans="1:21" x14ac:dyDescent="0.3">
      <c r="A65" s="13">
        <v>0.5142847059839597</v>
      </c>
      <c r="B65" s="13">
        <v>0.66794489555441139</v>
      </c>
      <c r="C65" s="13">
        <v>0.40452742771935363</v>
      </c>
      <c r="D65" s="13">
        <v>0.55818761728980393</v>
      </c>
      <c r="E65" s="8">
        <f t="shared" si="0"/>
        <v>4</v>
      </c>
      <c r="M65" s="10">
        <v>0.23033183950059982</v>
      </c>
      <c r="N65" s="10">
        <v>0.24363694684502712</v>
      </c>
      <c r="O65" s="10">
        <v>7.971975520754547E-2</v>
      </c>
      <c r="P65" s="10">
        <v>5.6874074868871721E-2</v>
      </c>
      <c r="Q65" s="8">
        <f t="shared" si="10"/>
        <v>0</v>
      </c>
      <c r="R65" s="8">
        <f t="shared" si="11"/>
        <v>0</v>
      </c>
      <c r="S65" s="8">
        <f t="shared" si="12"/>
        <v>0</v>
      </c>
      <c r="T65" s="8">
        <f t="shared" si="13"/>
        <v>1</v>
      </c>
      <c r="U65" s="10">
        <f t="shared" si="5"/>
        <v>5.6874074868871721E-2</v>
      </c>
    </row>
    <row r="66" spans="1:21" x14ac:dyDescent="0.3">
      <c r="A66" s="13">
        <v>0.61346850822726584</v>
      </c>
      <c r="B66" s="13">
        <v>0.61346850822726584</v>
      </c>
      <c r="C66" s="13">
        <v>0.44797062267644322</v>
      </c>
      <c r="D66" s="13">
        <v>0.47003700741655391</v>
      </c>
      <c r="E66" s="8">
        <f t="shared" si="0"/>
        <v>3</v>
      </c>
      <c r="M66" s="10">
        <v>0.16013244125278073</v>
      </c>
      <c r="N66" s="10">
        <v>0.39050387980296114</v>
      </c>
      <c r="O66" s="10">
        <v>7.7558901864184251E-2</v>
      </c>
      <c r="P66" s="10">
        <v>0.20107941178707583</v>
      </c>
      <c r="Q66" s="8">
        <f t="shared" si="10"/>
        <v>0</v>
      </c>
      <c r="R66" s="8">
        <f t="shared" si="11"/>
        <v>0</v>
      </c>
      <c r="S66" s="8">
        <f t="shared" si="12"/>
        <v>1</v>
      </c>
      <c r="T66" s="8">
        <f t="shared" si="13"/>
        <v>0</v>
      </c>
      <c r="U66" s="10">
        <f t="shared" si="5"/>
        <v>7.7558901864184251E-2</v>
      </c>
    </row>
    <row r="67" spans="1:21" x14ac:dyDescent="0.3">
      <c r="A67" s="13">
        <v>0.73621983960121207</v>
      </c>
      <c r="B67" s="13">
        <v>0.74748652568370966</v>
      </c>
      <c r="C67" s="13">
        <v>0.33061914063130415</v>
      </c>
      <c r="D67" s="13">
        <v>0.33061914063130415</v>
      </c>
      <c r="E67" s="8">
        <f t="shared" si="0"/>
        <v>1</v>
      </c>
      <c r="M67" s="10">
        <v>0.10709262526124586</v>
      </c>
      <c r="N67" s="10">
        <v>0.50139622924611282</v>
      </c>
      <c r="O67" s="10">
        <v>0.30946230593824714</v>
      </c>
      <c r="P67" s="10">
        <v>0.38777721800759191</v>
      </c>
      <c r="Q67" s="8">
        <f t="shared" si="10"/>
        <v>1</v>
      </c>
      <c r="R67" s="8">
        <f t="shared" si="11"/>
        <v>0</v>
      </c>
      <c r="S67" s="8">
        <f t="shared" si="12"/>
        <v>0</v>
      </c>
      <c r="T67" s="8">
        <f t="shared" si="13"/>
        <v>0</v>
      </c>
      <c r="U67" s="10">
        <f t="shared" si="5"/>
        <v>0.10709262526124586</v>
      </c>
    </row>
    <row r="68" spans="1:21" x14ac:dyDescent="0.3">
      <c r="A68" s="13">
        <v>0.43804637997216039</v>
      </c>
      <c r="B68" s="13">
        <v>0.69614523463371236</v>
      </c>
      <c r="C68" s="13">
        <v>0.42682469063905054</v>
      </c>
      <c r="D68" s="13">
        <v>0.58392834130260252</v>
      </c>
      <c r="E68" s="8">
        <f t="shared" si="0"/>
        <v>4</v>
      </c>
      <c r="M68" s="10">
        <v>0.30466001412553079</v>
      </c>
      <c r="N68" s="10">
        <v>0.19658915058735191</v>
      </c>
      <c r="O68" s="10">
        <v>0.1527239534115945</v>
      </c>
      <c r="P68" s="10">
        <v>3.8106111068474537E-2</v>
      </c>
      <c r="Q68" s="8">
        <f t="shared" si="10"/>
        <v>0</v>
      </c>
      <c r="R68" s="8">
        <f t="shared" si="11"/>
        <v>0</v>
      </c>
      <c r="S68" s="8">
        <f t="shared" si="12"/>
        <v>0</v>
      </c>
      <c r="T68" s="8">
        <f t="shared" si="13"/>
        <v>1</v>
      </c>
      <c r="U68" s="10">
        <f t="shared" si="5"/>
        <v>3.8106111068474537E-2</v>
      </c>
    </row>
    <row r="69" spans="1:21" x14ac:dyDescent="0.3">
      <c r="A69" s="13">
        <v>0.634336460003041</v>
      </c>
      <c r="B69" s="13">
        <v>0.71063669206560975</v>
      </c>
      <c r="C69" s="13">
        <v>0.32913553175276838</v>
      </c>
      <c r="D69" s="13">
        <v>0.47083596272610956</v>
      </c>
      <c r="E69" s="8">
        <f t="shared" ref="E69:E132" si="14">IF(Q69=1,1,IF(R69=1,2,IF(S69=1,3,4)))</f>
        <v>1</v>
      </c>
      <c r="M69" s="10">
        <v>8.1435818832264376E-2</v>
      </c>
      <c r="N69" s="10">
        <v>0.33954909479374679</v>
      </c>
      <c r="O69" s="10">
        <v>0.1685682387262161</v>
      </c>
      <c r="P69" s="10">
        <v>0.22321749637465785</v>
      </c>
      <c r="Q69" s="8">
        <f t="shared" si="10"/>
        <v>1</v>
      </c>
      <c r="R69" s="8">
        <f t="shared" si="11"/>
        <v>0</v>
      </c>
      <c r="S69" s="8">
        <f t="shared" si="12"/>
        <v>0</v>
      </c>
      <c r="T69" s="8">
        <f t="shared" si="13"/>
        <v>0</v>
      </c>
      <c r="U69" s="10">
        <f t="shared" ref="U69:U132" si="15">M69*Q69 + N69*R69 + O69*S69 + P69*T69</f>
        <v>8.1435818832264376E-2</v>
      </c>
    </row>
    <row r="70" spans="1:21" x14ac:dyDescent="0.3">
      <c r="A70" s="13">
        <v>0.67083487646374662</v>
      </c>
      <c r="B70" s="13">
        <v>0.75873607798332987</v>
      </c>
      <c r="C70" s="13">
        <v>0.3082424201954595</v>
      </c>
      <c r="D70" s="13">
        <v>0.40713127190499132</v>
      </c>
      <c r="E70" s="8">
        <f t="shared" si="14"/>
        <v>1</v>
      </c>
      <c r="M70" s="10">
        <v>6.8394839799552326E-2</v>
      </c>
      <c r="N70" s="10">
        <v>0.39956714695267365</v>
      </c>
      <c r="O70" s="10">
        <v>0.24814829349373635</v>
      </c>
      <c r="P70" s="10">
        <v>0.30311673575334258</v>
      </c>
      <c r="Q70" s="8">
        <f t="shared" si="10"/>
        <v>1</v>
      </c>
      <c r="R70" s="8">
        <f t="shared" si="11"/>
        <v>0</v>
      </c>
      <c r="S70" s="8">
        <f t="shared" si="12"/>
        <v>0</v>
      </c>
      <c r="T70" s="8">
        <f t="shared" si="13"/>
        <v>0</v>
      </c>
      <c r="U70" s="10">
        <f t="shared" si="15"/>
        <v>6.8394839799552326E-2</v>
      </c>
    </row>
    <row r="71" spans="1:21" x14ac:dyDescent="0.3">
      <c r="A71" s="13">
        <v>0.4562106017882564</v>
      </c>
      <c r="B71" s="13">
        <v>0.78774506401827482</v>
      </c>
      <c r="C71" s="13">
        <v>0.4219139332817034</v>
      </c>
      <c r="D71" s="13">
        <v>0.47907504745929264</v>
      </c>
      <c r="E71" s="8">
        <f t="shared" si="14"/>
        <v>4</v>
      </c>
      <c r="M71" s="10">
        <v>0.25142006635915565</v>
      </c>
      <c r="N71" s="10">
        <v>0.24986652816993876</v>
      </c>
      <c r="O71" s="10">
        <v>0.1970760817203191</v>
      </c>
      <c r="P71" s="10">
        <v>0.15636856654784634</v>
      </c>
      <c r="Q71" s="8">
        <f t="shared" si="10"/>
        <v>0</v>
      </c>
      <c r="R71" s="8">
        <f t="shared" si="11"/>
        <v>0</v>
      </c>
      <c r="S71" s="8">
        <f t="shared" si="12"/>
        <v>0</v>
      </c>
      <c r="T71" s="8">
        <f t="shared" si="13"/>
        <v>1</v>
      </c>
      <c r="U71" s="10">
        <f t="shared" si="15"/>
        <v>0.15636856654784634</v>
      </c>
    </row>
    <row r="72" spans="1:21" x14ac:dyDescent="0.3">
      <c r="A72" s="13">
        <v>0.64465549486400986</v>
      </c>
      <c r="B72" s="13">
        <v>0.96112273779725299</v>
      </c>
      <c r="C72" s="13">
        <v>0</v>
      </c>
      <c r="D72" s="13">
        <v>0.53916641388626307</v>
      </c>
      <c r="E72" s="8">
        <f t="shared" si="14"/>
        <v>2</v>
      </c>
      <c r="M72" s="10">
        <v>0.45688159516903221</v>
      </c>
      <c r="N72" s="10">
        <v>0.45358746345859186</v>
      </c>
      <c r="O72" s="10">
        <v>0.56172758490190811</v>
      </c>
      <c r="P72" s="10">
        <v>0.53436156393989942</v>
      </c>
      <c r="Q72" s="8">
        <f t="shared" si="10"/>
        <v>0</v>
      </c>
      <c r="R72" s="8">
        <f t="shared" si="11"/>
        <v>1</v>
      </c>
      <c r="S72" s="8">
        <f t="shared" si="12"/>
        <v>0</v>
      </c>
      <c r="T72" s="8">
        <f t="shared" si="13"/>
        <v>0</v>
      </c>
      <c r="U72" s="10">
        <f t="shared" si="15"/>
        <v>0.45358746345859186</v>
      </c>
    </row>
    <row r="73" spans="1:21" x14ac:dyDescent="0.3">
      <c r="A73" s="13">
        <v>0.48953611193759233</v>
      </c>
      <c r="B73" s="13">
        <v>0.81643645983262159</v>
      </c>
      <c r="C73" s="13">
        <v>0.34943596283972245</v>
      </c>
      <c r="D73" s="13">
        <v>0.48953611193759233</v>
      </c>
      <c r="E73" s="8">
        <f t="shared" si="14"/>
        <v>4</v>
      </c>
      <c r="M73" s="10">
        <v>0.22908446962756487</v>
      </c>
      <c r="N73" s="10">
        <v>0.22797611937715756</v>
      </c>
      <c r="O73" s="10">
        <v>0.22504251128226299</v>
      </c>
      <c r="P73" s="10">
        <v>0.1839571626486369</v>
      </c>
      <c r="Q73" s="8">
        <f t="shared" si="10"/>
        <v>0</v>
      </c>
      <c r="R73" s="8">
        <f t="shared" si="11"/>
        <v>0</v>
      </c>
      <c r="S73" s="8">
        <f t="shared" si="12"/>
        <v>0</v>
      </c>
      <c r="T73" s="8">
        <f t="shared" si="13"/>
        <v>1</v>
      </c>
      <c r="U73" s="10">
        <f t="shared" si="15"/>
        <v>0.1839571626486369</v>
      </c>
    </row>
    <row r="74" spans="1:21" x14ac:dyDescent="0.3">
      <c r="A74" s="13">
        <v>0.57483031517740246</v>
      </c>
      <c r="B74" s="13">
        <v>0.64608106017528555</v>
      </c>
      <c r="C74" s="13">
        <v>0.36107808018375165</v>
      </c>
      <c r="D74" s="13">
        <v>0.56295519101108904</v>
      </c>
      <c r="E74" s="8">
        <f t="shared" si="14"/>
        <v>3</v>
      </c>
      <c r="M74" s="10">
        <v>0.19719792031308533</v>
      </c>
      <c r="N74" s="10">
        <v>0.27580317892882761</v>
      </c>
      <c r="O74" s="10">
        <v>9.4215343863946033E-2</v>
      </c>
      <c r="P74" s="10">
        <v>0.12571969843061584</v>
      </c>
      <c r="Q74" s="8">
        <f t="shared" si="10"/>
        <v>0</v>
      </c>
      <c r="R74" s="8">
        <f t="shared" si="11"/>
        <v>0</v>
      </c>
      <c r="S74" s="8">
        <f t="shared" si="12"/>
        <v>1</v>
      </c>
      <c r="T74" s="8">
        <f t="shared" si="13"/>
        <v>0</v>
      </c>
      <c r="U74" s="10">
        <f t="shared" si="15"/>
        <v>9.4215343863946033E-2</v>
      </c>
    </row>
    <row r="75" spans="1:21" x14ac:dyDescent="0.3">
      <c r="A75" s="13">
        <v>0.62449143238664395</v>
      </c>
      <c r="B75" s="13">
        <v>0.67156091011985264</v>
      </c>
      <c r="C75" s="13">
        <v>0.40091141315391099</v>
      </c>
      <c r="D75" s="13">
        <v>0.44798089088711829</v>
      </c>
      <c r="E75" s="8">
        <f t="shared" si="14"/>
        <v>1</v>
      </c>
      <c r="M75" s="10">
        <v>8.8161959940209769E-2</v>
      </c>
      <c r="N75" s="10">
        <v>0.3718572882465091</v>
      </c>
      <c r="O75" s="10">
        <v>0.11723672415291014</v>
      </c>
      <c r="P75" s="10">
        <v>0.21085413161366934</v>
      </c>
      <c r="Q75" s="8">
        <f t="shared" si="10"/>
        <v>1</v>
      </c>
      <c r="R75" s="8">
        <f t="shared" si="11"/>
        <v>0</v>
      </c>
      <c r="S75" s="8">
        <f t="shared" si="12"/>
        <v>0</v>
      </c>
      <c r="T75" s="8">
        <f t="shared" si="13"/>
        <v>0</v>
      </c>
      <c r="U75" s="10">
        <f t="shared" si="15"/>
        <v>8.8161959940209769E-2</v>
      </c>
    </row>
    <row r="76" spans="1:21" x14ac:dyDescent="0.3">
      <c r="A76" s="13">
        <v>0.58884658517120669</v>
      </c>
      <c r="B76" s="13">
        <v>0.58884658517120669</v>
      </c>
      <c r="C76" s="13">
        <v>0.43686091718315656</v>
      </c>
      <c r="D76" s="13">
        <v>0.53039055902195731</v>
      </c>
      <c r="E76" s="8">
        <f t="shared" si="14"/>
        <v>3</v>
      </c>
      <c r="M76" s="10">
        <v>0.21016006835444986</v>
      </c>
      <c r="N76" s="10">
        <v>0.35476028874078064</v>
      </c>
      <c r="O76" s="10">
        <v>4.9101989273936879E-2</v>
      </c>
      <c r="P76" s="10">
        <v>0.16219568113983854</v>
      </c>
      <c r="Q76" s="8">
        <f t="shared" si="10"/>
        <v>0</v>
      </c>
      <c r="R76" s="8">
        <f t="shared" si="11"/>
        <v>0</v>
      </c>
      <c r="S76" s="8">
        <f t="shared" si="12"/>
        <v>1</v>
      </c>
      <c r="T76" s="8">
        <f t="shared" si="13"/>
        <v>0</v>
      </c>
      <c r="U76" s="10">
        <f t="shared" si="15"/>
        <v>4.9101989273936879E-2</v>
      </c>
    </row>
    <row r="77" spans="1:21" x14ac:dyDescent="0.3">
      <c r="A77" s="13">
        <v>0.48625972505157478</v>
      </c>
      <c r="B77" s="13">
        <v>0.69792463294228924</v>
      </c>
      <c r="C77" s="13">
        <v>0.26283565561137684</v>
      </c>
      <c r="D77" s="13">
        <v>0.69792463294228924</v>
      </c>
      <c r="E77" s="8">
        <f t="shared" si="14"/>
        <v>2</v>
      </c>
      <c r="M77" s="10">
        <v>0.3603831006484926</v>
      </c>
      <c r="N77" s="10">
        <v>0.14342220093985095</v>
      </c>
      <c r="O77" s="10">
        <v>0.27058221161406798</v>
      </c>
      <c r="P77" s="10">
        <v>0.18840826596768698</v>
      </c>
      <c r="Q77" s="8">
        <f t="shared" si="10"/>
        <v>0</v>
      </c>
      <c r="R77" s="8">
        <f t="shared" si="11"/>
        <v>1</v>
      </c>
      <c r="S77" s="8">
        <f t="shared" si="12"/>
        <v>0</v>
      </c>
      <c r="T77" s="8">
        <f t="shared" si="13"/>
        <v>0</v>
      </c>
      <c r="U77" s="10">
        <f t="shared" si="15"/>
        <v>0.14342220093985095</v>
      </c>
    </row>
    <row r="78" spans="1:21" x14ac:dyDescent="0.3">
      <c r="A78" s="13">
        <v>0.54495017849152205</v>
      </c>
      <c r="B78" s="13">
        <v>0.64951838074720158</v>
      </c>
      <c r="C78" s="13">
        <v>0.45200066537536082</v>
      </c>
      <c r="D78" s="13">
        <v>0.49847542193344141</v>
      </c>
      <c r="E78" s="8">
        <f t="shared" si="14"/>
        <v>3</v>
      </c>
      <c r="M78" s="10">
        <v>0.19547661930202584</v>
      </c>
      <c r="N78" s="10">
        <v>0.32268491226997464</v>
      </c>
      <c r="O78" s="10">
        <v>3.7431642876775452E-2</v>
      </c>
      <c r="P78" s="10">
        <v>0.12753109857681819</v>
      </c>
      <c r="Q78" s="8">
        <f t="shared" si="10"/>
        <v>0</v>
      </c>
      <c r="R78" s="8">
        <f t="shared" si="11"/>
        <v>0</v>
      </c>
      <c r="S78" s="8">
        <f t="shared" si="12"/>
        <v>1</v>
      </c>
      <c r="T78" s="8">
        <f t="shared" si="13"/>
        <v>0</v>
      </c>
      <c r="U78" s="10">
        <f t="shared" si="15"/>
        <v>3.7431642876775452E-2</v>
      </c>
    </row>
    <row r="79" spans="1:21" x14ac:dyDescent="0.3">
      <c r="A79" s="13">
        <v>0.41035200937673882</v>
      </c>
      <c r="B79" s="13">
        <v>0.71481600554080549</v>
      </c>
      <c r="C79" s="13">
        <v>0.36351139458226683</v>
      </c>
      <c r="D79" s="13">
        <v>0.65626523704771622</v>
      </c>
      <c r="E79" s="8">
        <f t="shared" si="14"/>
        <v>2</v>
      </c>
      <c r="M79" s="10">
        <v>0.36422501293982479</v>
      </c>
      <c r="N79" s="10">
        <v>0.10802084952984613</v>
      </c>
      <c r="O79" s="10">
        <v>0.23186406279273236</v>
      </c>
      <c r="P79" s="10">
        <v>0.10885811766279224</v>
      </c>
      <c r="Q79" s="8">
        <f t="shared" si="10"/>
        <v>0</v>
      </c>
      <c r="R79" s="8">
        <f t="shared" si="11"/>
        <v>1</v>
      </c>
      <c r="S79" s="8">
        <f t="shared" si="12"/>
        <v>0</v>
      </c>
      <c r="T79" s="8">
        <f t="shared" si="13"/>
        <v>0</v>
      </c>
      <c r="U79" s="10">
        <f t="shared" si="15"/>
        <v>0.10802084952984613</v>
      </c>
    </row>
    <row r="80" spans="1:21" x14ac:dyDescent="0.3">
      <c r="A80" s="13">
        <v>0.44510795654799662</v>
      </c>
      <c r="B80" s="13">
        <v>0.68431949490632071</v>
      </c>
      <c r="C80" s="13">
        <v>0.34258872582300237</v>
      </c>
      <c r="D80" s="13">
        <v>0.67292846927020744</v>
      </c>
      <c r="E80" s="8">
        <f t="shared" si="14"/>
        <v>4</v>
      </c>
      <c r="M80" s="10">
        <v>0.353520188489654</v>
      </c>
      <c r="N80" s="10">
        <v>0.13173288737586417</v>
      </c>
      <c r="O80" s="10">
        <v>0.22061683759476203</v>
      </c>
      <c r="P80" s="10">
        <v>0.11292285887214414</v>
      </c>
      <c r="Q80" s="8">
        <f t="shared" si="10"/>
        <v>0</v>
      </c>
      <c r="R80" s="8">
        <f t="shared" si="11"/>
        <v>0</v>
      </c>
      <c r="S80" s="8">
        <f t="shared" si="12"/>
        <v>0</v>
      </c>
      <c r="T80" s="8">
        <f t="shared" si="13"/>
        <v>1</v>
      </c>
      <c r="U80" s="10">
        <f t="shared" si="15"/>
        <v>0.11292285887214414</v>
      </c>
    </row>
    <row r="81" spans="1:21" x14ac:dyDescent="0.3">
      <c r="A81" s="13">
        <v>0.65054830644380313</v>
      </c>
      <c r="B81" s="13">
        <v>0.65054830644380313</v>
      </c>
      <c r="C81" s="13">
        <v>0.36058579278722069</v>
      </c>
      <c r="D81" s="13">
        <v>0.48326224087269898</v>
      </c>
      <c r="E81" s="8">
        <f t="shared" si="14"/>
        <v>1</v>
      </c>
      <c r="M81" s="10">
        <v>0.10118276340305604</v>
      </c>
      <c r="N81" s="10">
        <v>0.36725235997172367</v>
      </c>
      <c r="O81" s="10">
        <v>0.13168275086820372</v>
      </c>
      <c r="P81" s="10">
        <v>0.21897820038455321</v>
      </c>
      <c r="Q81" s="8">
        <f t="shared" si="10"/>
        <v>1</v>
      </c>
      <c r="R81" s="8">
        <f t="shared" si="11"/>
        <v>0</v>
      </c>
      <c r="S81" s="8">
        <f t="shared" si="12"/>
        <v>0</v>
      </c>
      <c r="T81" s="8">
        <f t="shared" si="13"/>
        <v>0</v>
      </c>
      <c r="U81" s="10">
        <f t="shared" si="15"/>
        <v>0.10118276340305604</v>
      </c>
    </row>
    <row r="82" spans="1:21" x14ac:dyDescent="0.3">
      <c r="A82" s="13">
        <v>0.65208098324568364</v>
      </c>
      <c r="B82" s="13">
        <v>0.65208098324568364</v>
      </c>
      <c r="C82" s="13">
        <v>0.38083457167385304</v>
      </c>
      <c r="D82" s="13">
        <v>0.45994810838230427</v>
      </c>
      <c r="E82" s="8">
        <f t="shared" si="14"/>
        <v>1</v>
      </c>
      <c r="M82" s="10">
        <v>8.6429519937516547E-2</v>
      </c>
      <c r="N82" s="10">
        <v>0.3848501504571567</v>
      </c>
      <c r="O82" s="10">
        <v>0.13110705080879614</v>
      </c>
      <c r="P82" s="10">
        <v>0.22835571845600353</v>
      </c>
      <c r="Q82" s="8">
        <f t="shared" si="10"/>
        <v>1</v>
      </c>
      <c r="R82" s="8">
        <f t="shared" si="11"/>
        <v>0</v>
      </c>
      <c r="S82" s="8">
        <f t="shared" si="12"/>
        <v>0</v>
      </c>
      <c r="T82" s="8">
        <f t="shared" si="13"/>
        <v>0</v>
      </c>
      <c r="U82" s="10">
        <f t="shared" si="15"/>
        <v>8.6429519937516547E-2</v>
      </c>
    </row>
    <row r="83" spans="1:21" x14ac:dyDescent="0.3">
      <c r="A83" s="13">
        <v>0.44040528613380325</v>
      </c>
      <c r="B83" s="13">
        <v>0.69971236102448897</v>
      </c>
      <c r="C83" s="13">
        <v>0.36148574160185437</v>
      </c>
      <c r="D83" s="13">
        <v>0.64334125778738349</v>
      </c>
      <c r="E83" s="8">
        <f t="shared" si="14"/>
        <v>4</v>
      </c>
      <c r="M83" s="10">
        <v>0.33385048045703336</v>
      </c>
      <c r="N83" s="10">
        <v>0.13151965833836954</v>
      </c>
      <c r="O83" s="10">
        <v>0.20090645983191263</v>
      </c>
      <c r="P83" s="10">
        <v>8.3677787330064715E-2</v>
      </c>
      <c r="Q83" s="8">
        <f t="shared" si="10"/>
        <v>0</v>
      </c>
      <c r="R83" s="8">
        <f t="shared" si="11"/>
        <v>0</v>
      </c>
      <c r="S83" s="8">
        <f t="shared" si="12"/>
        <v>0</v>
      </c>
      <c r="T83" s="8">
        <f t="shared" si="13"/>
        <v>1</v>
      </c>
      <c r="U83" s="10">
        <f t="shared" si="15"/>
        <v>8.3677787330064715E-2</v>
      </c>
    </row>
    <row r="84" spans="1:21" x14ac:dyDescent="0.3">
      <c r="A84" s="13">
        <v>0.55834112397268976</v>
      </c>
      <c r="B84" s="13">
        <v>0.56939360514059645</v>
      </c>
      <c r="C84" s="13">
        <v>0.44781631229364599</v>
      </c>
      <c r="D84" s="13">
        <v>0.56939360514059645</v>
      </c>
      <c r="E84" s="8">
        <f t="shared" si="14"/>
        <v>3</v>
      </c>
      <c r="M84" s="10">
        <v>0.26186374436213683</v>
      </c>
      <c r="N84" s="10">
        <v>0.33960409778958123</v>
      </c>
      <c r="O84" s="10">
        <v>7.3649006825847935E-2</v>
      </c>
      <c r="P84" s="10">
        <v>0.14588244143945328</v>
      </c>
      <c r="Q84" s="8">
        <f t="shared" si="10"/>
        <v>0</v>
      </c>
      <c r="R84" s="8">
        <f t="shared" si="11"/>
        <v>0</v>
      </c>
      <c r="S84" s="8">
        <f t="shared" si="12"/>
        <v>1</v>
      </c>
      <c r="T84" s="8">
        <f t="shared" si="13"/>
        <v>0</v>
      </c>
      <c r="U84" s="10">
        <f t="shared" si="15"/>
        <v>7.3649006825847935E-2</v>
      </c>
    </row>
    <row r="85" spans="1:21" x14ac:dyDescent="0.3">
      <c r="A85" s="13">
        <v>0.53343942674281375</v>
      </c>
      <c r="B85" s="13">
        <v>0.63412188292927285</v>
      </c>
      <c r="C85" s="13">
        <v>0.39919615182753548</v>
      </c>
      <c r="D85" s="13">
        <v>0.57818718504790656</v>
      </c>
      <c r="E85" s="8">
        <f t="shared" si="14"/>
        <v>3</v>
      </c>
      <c r="M85" s="10">
        <v>0.23946438121286537</v>
      </c>
      <c r="N85" s="10">
        <v>0.26172327421489311</v>
      </c>
      <c r="O85" s="10">
        <v>7.4858078369996334E-2</v>
      </c>
      <c r="P85" s="10">
        <v>8.0285951786775583E-2</v>
      </c>
      <c r="Q85" s="8">
        <f t="shared" si="10"/>
        <v>0</v>
      </c>
      <c r="R85" s="8">
        <f t="shared" si="11"/>
        <v>0</v>
      </c>
      <c r="S85" s="8">
        <f t="shared" si="12"/>
        <v>1</v>
      </c>
      <c r="T85" s="8">
        <f t="shared" si="13"/>
        <v>0</v>
      </c>
      <c r="U85" s="10">
        <f t="shared" si="15"/>
        <v>7.4858078369996334E-2</v>
      </c>
    </row>
    <row r="86" spans="1:21" x14ac:dyDescent="0.3">
      <c r="A86" s="13">
        <v>0.57848623444624847</v>
      </c>
      <c r="B86" s="13">
        <v>0.65735303702372894</v>
      </c>
      <c r="C86" s="13">
        <v>0.45455268753877492</v>
      </c>
      <c r="D86" s="13">
        <v>0.45455268753877492</v>
      </c>
      <c r="E86" s="8">
        <f t="shared" si="14"/>
        <v>3</v>
      </c>
      <c r="M86" s="10">
        <v>0.15496049291000541</v>
      </c>
      <c r="N86" s="10">
        <v>0.36446719262858884</v>
      </c>
      <c r="O86" s="10">
        <v>7.8602080544665012E-2</v>
      </c>
      <c r="P86" s="10">
        <v>0.17952259009026719</v>
      </c>
      <c r="Q86" s="8">
        <f t="shared" si="10"/>
        <v>0</v>
      </c>
      <c r="R86" s="8">
        <f t="shared" si="11"/>
        <v>0</v>
      </c>
      <c r="S86" s="8">
        <f t="shared" si="12"/>
        <v>1</v>
      </c>
      <c r="T86" s="8">
        <f t="shared" si="13"/>
        <v>0</v>
      </c>
      <c r="U86" s="10">
        <f t="shared" si="15"/>
        <v>7.8602080544665012E-2</v>
      </c>
    </row>
    <row r="87" spans="1:21" x14ac:dyDescent="0.3">
      <c r="A87" s="13">
        <v>0.54188334272490346</v>
      </c>
      <c r="B87" s="13">
        <v>0.58706079142908552</v>
      </c>
      <c r="C87" s="13">
        <v>0.42893972096445138</v>
      </c>
      <c r="D87" s="13">
        <v>0.58706079142908552</v>
      </c>
      <c r="E87" s="8">
        <f t="shared" si="14"/>
        <v>3</v>
      </c>
      <c r="M87" s="10">
        <v>0.26646761392968543</v>
      </c>
      <c r="N87" s="10">
        <v>0.30543051100130236</v>
      </c>
      <c r="O87" s="10">
        <v>7.8141078195022459E-2</v>
      </c>
      <c r="P87" s="10">
        <v>0.11743349317496224</v>
      </c>
      <c r="Q87" s="8">
        <f t="shared" si="10"/>
        <v>0</v>
      </c>
      <c r="R87" s="8">
        <f t="shared" si="11"/>
        <v>0</v>
      </c>
      <c r="S87" s="8">
        <f t="shared" si="12"/>
        <v>1</v>
      </c>
      <c r="T87" s="8">
        <f t="shared" si="13"/>
        <v>0</v>
      </c>
      <c r="U87" s="10">
        <f t="shared" si="15"/>
        <v>7.8141078195022459E-2</v>
      </c>
    </row>
    <row r="88" spans="1:21" x14ac:dyDescent="0.3">
      <c r="A88" s="13">
        <v>0.47411716966863199</v>
      </c>
      <c r="B88" s="13">
        <v>0.63223824013326746</v>
      </c>
      <c r="C88" s="13">
        <v>0.4628228074925872</v>
      </c>
      <c r="D88" s="13">
        <v>0.57576642925303934</v>
      </c>
      <c r="E88" s="8">
        <f t="shared" si="14"/>
        <v>4</v>
      </c>
      <c r="M88" s="10">
        <v>0.29411118486901583</v>
      </c>
      <c r="N88" s="10">
        <v>0.26913365694501595</v>
      </c>
      <c r="O88" s="10">
        <v>0.10170624228268943</v>
      </c>
      <c r="P88" s="10">
        <v>6.7945878034311027E-2</v>
      </c>
      <c r="Q88" s="8">
        <f t="shared" si="10"/>
        <v>0</v>
      </c>
      <c r="R88" s="8">
        <f t="shared" si="11"/>
        <v>0</v>
      </c>
      <c r="S88" s="8">
        <f t="shared" si="12"/>
        <v>0</v>
      </c>
      <c r="T88" s="8">
        <f t="shared" si="13"/>
        <v>1</v>
      </c>
      <c r="U88" s="10">
        <f t="shared" si="15"/>
        <v>6.7945878034311027E-2</v>
      </c>
    </row>
    <row r="89" spans="1:21" x14ac:dyDescent="0.3">
      <c r="A89" s="13">
        <v>0.35009013294922142</v>
      </c>
      <c r="B89" s="13">
        <v>0.75016517968090868</v>
      </c>
      <c r="C89" s="13">
        <v>0.35009013294922142</v>
      </c>
      <c r="D89" s="13">
        <v>0.69459920096817573</v>
      </c>
      <c r="E89" s="8">
        <f t="shared" si="14"/>
        <v>2</v>
      </c>
      <c r="M89" s="10">
        <v>0.4362939677407176</v>
      </c>
      <c r="N89" s="10">
        <v>7.5882473690890725E-2</v>
      </c>
      <c r="O89" s="10">
        <v>0.31102405599907917</v>
      </c>
      <c r="P89" s="10">
        <v>0.18583271521272804</v>
      </c>
      <c r="Q89" s="8">
        <f t="shared" ref="Q89:Q152" si="16">IF(M89 &lt; SMALL($M89:$P89, 2), 1, 0)</f>
        <v>0</v>
      </c>
      <c r="R89" s="8">
        <f t="shared" ref="R89:R152" si="17">IF(N89 &lt; SMALL($M89:$P89, 2), 1, 0)</f>
        <v>1</v>
      </c>
      <c r="S89" s="8">
        <f t="shared" ref="S89:S152" si="18">IF(O89 &lt; SMALL($M89:$P89, 2), 1, 0)</f>
        <v>0</v>
      </c>
      <c r="T89" s="8">
        <f t="shared" ref="T89:T152" si="19">IF(P89 &lt; SMALL($M89:$P89, 2), 1, 0)</f>
        <v>0</v>
      </c>
      <c r="U89" s="10">
        <f t="shared" si="15"/>
        <v>7.5882473690890725E-2</v>
      </c>
    </row>
    <row r="90" spans="1:21" x14ac:dyDescent="0.3">
      <c r="A90" s="13">
        <v>0.53897830834173688</v>
      </c>
      <c r="B90" s="13">
        <v>0.58285265561940414</v>
      </c>
      <c r="C90" s="13">
        <v>0.44026102696698494</v>
      </c>
      <c r="D90" s="13">
        <v>0.58285265561940414</v>
      </c>
      <c r="E90" s="8">
        <f t="shared" si="14"/>
        <v>3</v>
      </c>
      <c r="M90" s="10">
        <v>0.27035943860173189</v>
      </c>
      <c r="N90" s="10">
        <v>0.31313899816895069</v>
      </c>
      <c r="O90" s="10">
        <v>7.6543931821943939E-2</v>
      </c>
      <c r="P90" s="10">
        <v>0.12102661579059318</v>
      </c>
      <c r="Q90" s="8">
        <f t="shared" si="16"/>
        <v>0</v>
      </c>
      <c r="R90" s="8">
        <f t="shared" si="17"/>
        <v>0</v>
      </c>
      <c r="S90" s="8">
        <f t="shared" si="18"/>
        <v>1</v>
      </c>
      <c r="T90" s="8">
        <f t="shared" si="19"/>
        <v>0</v>
      </c>
      <c r="U90" s="10">
        <f t="shared" si="15"/>
        <v>7.6543931821943939E-2</v>
      </c>
    </row>
    <row r="91" spans="1:21" x14ac:dyDescent="0.3">
      <c r="A91" s="13">
        <v>0.31383994683662808</v>
      </c>
      <c r="B91" s="13">
        <v>0.82372395150062494</v>
      </c>
      <c r="C91" s="13">
        <v>0.20535398839747906</v>
      </c>
      <c r="D91" s="13">
        <v>0.80202675981279659</v>
      </c>
      <c r="E91" s="8">
        <f t="shared" si="14"/>
        <v>2</v>
      </c>
      <c r="M91" s="10">
        <v>0.56826579550864442</v>
      </c>
      <c r="N91" s="10">
        <v>0.16875836146659626</v>
      </c>
      <c r="O91" s="10">
        <v>0.48259121132637323</v>
      </c>
      <c r="P91" s="10">
        <v>0.36641028116429247</v>
      </c>
      <c r="Q91" s="8">
        <f t="shared" si="16"/>
        <v>0</v>
      </c>
      <c r="R91" s="8">
        <f t="shared" si="17"/>
        <v>1</v>
      </c>
      <c r="S91" s="8">
        <f t="shared" si="18"/>
        <v>0</v>
      </c>
      <c r="T91" s="8">
        <f t="shared" si="19"/>
        <v>0</v>
      </c>
      <c r="U91" s="10">
        <f t="shared" si="15"/>
        <v>0.16875836146659626</v>
      </c>
    </row>
    <row r="92" spans="1:21" x14ac:dyDescent="0.3">
      <c r="A92" s="13">
        <v>0.57987391299523605</v>
      </c>
      <c r="B92" s="13">
        <v>0.68896829139111759</v>
      </c>
      <c r="C92" s="13">
        <v>0.43805122108058819</v>
      </c>
      <c r="D92" s="13">
        <v>0.43805122108058819</v>
      </c>
      <c r="E92" s="8">
        <f t="shared" si="14"/>
        <v>3</v>
      </c>
      <c r="M92" s="10">
        <v>0.13067645729969277</v>
      </c>
      <c r="N92" s="10">
        <v>0.35887879392258226</v>
      </c>
      <c r="O92" s="10">
        <v>0.10769500047970919</v>
      </c>
      <c r="P92" s="10">
        <v>0.18950672021793927</v>
      </c>
      <c r="Q92" s="8">
        <f t="shared" si="16"/>
        <v>0</v>
      </c>
      <c r="R92" s="8">
        <f t="shared" si="17"/>
        <v>0</v>
      </c>
      <c r="S92" s="8">
        <f t="shared" si="18"/>
        <v>1</v>
      </c>
      <c r="T92" s="8">
        <f t="shared" si="19"/>
        <v>0</v>
      </c>
      <c r="U92" s="10">
        <f t="shared" si="15"/>
        <v>0.10769500047970919</v>
      </c>
    </row>
    <row r="93" spans="1:21" x14ac:dyDescent="0.3">
      <c r="A93" s="13">
        <v>0.54730799916410022</v>
      </c>
      <c r="B93" s="13">
        <v>0.62481086185462331</v>
      </c>
      <c r="C93" s="13">
        <v>0.40337411131026812</v>
      </c>
      <c r="D93" s="13">
        <v>0.56945167421853415</v>
      </c>
      <c r="E93" s="8">
        <f t="shared" si="14"/>
        <v>3</v>
      </c>
      <c r="M93" s="10">
        <v>0.22927959153862371</v>
      </c>
      <c r="N93" s="10">
        <v>0.280417952216931</v>
      </c>
      <c r="O93" s="10">
        <v>6.1736622085281488E-2</v>
      </c>
      <c r="P93" s="10">
        <v>9.7435764918080717E-2</v>
      </c>
      <c r="Q93" s="8">
        <f t="shared" si="16"/>
        <v>0</v>
      </c>
      <c r="R93" s="8">
        <f t="shared" si="17"/>
        <v>0</v>
      </c>
      <c r="S93" s="8">
        <f t="shared" si="18"/>
        <v>1</v>
      </c>
      <c r="T93" s="8">
        <f t="shared" si="19"/>
        <v>0</v>
      </c>
      <c r="U93" s="10">
        <f t="shared" si="15"/>
        <v>6.1736622085281488E-2</v>
      </c>
    </row>
    <row r="94" spans="1:21" x14ac:dyDescent="0.3">
      <c r="A94" s="13">
        <v>0.62527868597549263</v>
      </c>
      <c r="B94" s="13">
        <v>0.62527868597549263</v>
      </c>
      <c r="C94" s="13">
        <v>0.41380269067129233</v>
      </c>
      <c r="D94" s="13">
        <v>0.48058458392524972</v>
      </c>
      <c r="E94" s="8">
        <f t="shared" si="14"/>
        <v>3</v>
      </c>
      <c r="M94" s="10">
        <v>0.13634999179227697</v>
      </c>
      <c r="N94" s="10">
        <v>0.37478467924945347</v>
      </c>
      <c r="O94" s="10">
        <v>8.4121503774863451E-2</v>
      </c>
      <c r="P94" s="10">
        <v>0.19770148056070558</v>
      </c>
      <c r="Q94" s="8">
        <f t="shared" si="16"/>
        <v>0</v>
      </c>
      <c r="R94" s="8">
        <f t="shared" si="17"/>
        <v>0</v>
      </c>
      <c r="S94" s="8">
        <f t="shared" si="18"/>
        <v>1</v>
      </c>
      <c r="T94" s="8">
        <f t="shared" si="19"/>
        <v>0</v>
      </c>
      <c r="U94" s="10">
        <f t="shared" si="15"/>
        <v>8.4121503774863451E-2</v>
      </c>
    </row>
    <row r="95" spans="1:21" x14ac:dyDescent="0.3">
      <c r="A95" s="13">
        <v>0.51381765373602617</v>
      </c>
      <c r="B95" s="13">
        <v>0.61470093928987646</v>
      </c>
      <c r="C95" s="13">
        <v>0.50260839978559835</v>
      </c>
      <c r="D95" s="13">
        <v>0.51381765373602617</v>
      </c>
      <c r="E95" s="8">
        <f t="shared" si="14"/>
        <v>3</v>
      </c>
      <c r="M95" s="10">
        <v>0.26077072345075636</v>
      </c>
      <c r="N95" s="10">
        <v>0.34492189164063675</v>
      </c>
      <c r="O95" s="10">
        <v>7.6292129146108348E-2</v>
      </c>
      <c r="P95" s="10">
        <v>0.13954654341976916</v>
      </c>
      <c r="Q95" s="8">
        <f t="shared" si="16"/>
        <v>0</v>
      </c>
      <c r="R95" s="8">
        <f t="shared" si="17"/>
        <v>0</v>
      </c>
      <c r="S95" s="8">
        <f t="shared" si="18"/>
        <v>1</v>
      </c>
      <c r="T95" s="8">
        <f t="shared" si="19"/>
        <v>0</v>
      </c>
      <c r="U95" s="10">
        <f t="shared" si="15"/>
        <v>7.6292129146108348E-2</v>
      </c>
    </row>
    <row r="96" spans="1:21" x14ac:dyDescent="0.3">
      <c r="A96" s="13">
        <v>0.57587264582522779</v>
      </c>
      <c r="B96" s="13">
        <v>0.63249619466572449</v>
      </c>
      <c r="C96" s="13">
        <v>0.45130083837613821</v>
      </c>
      <c r="D96" s="13">
        <v>0.48527496768043538</v>
      </c>
      <c r="E96" s="8">
        <f t="shared" si="14"/>
        <v>3</v>
      </c>
      <c r="M96" s="10">
        <v>0.17640607545421005</v>
      </c>
      <c r="N96" s="10">
        <v>0.35354298188140904</v>
      </c>
      <c r="O96" s="10">
        <v>4.2790550302369494E-2</v>
      </c>
      <c r="P96" s="10">
        <v>0.16033633127585317</v>
      </c>
      <c r="Q96" s="8">
        <f t="shared" si="16"/>
        <v>0</v>
      </c>
      <c r="R96" s="8">
        <f t="shared" si="17"/>
        <v>0</v>
      </c>
      <c r="S96" s="8">
        <f t="shared" si="18"/>
        <v>1</v>
      </c>
      <c r="T96" s="8">
        <f t="shared" si="19"/>
        <v>0</v>
      </c>
      <c r="U96" s="10">
        <f t="shared" si="15"/>
        <v>4.2790550302369494E-2</v>
      </c>
    </row>
    <row r="97" spans="1:21" x14ac:dyDescent="0.3">
      <c r="A97" s="13">
        <v>0.37173319383679221</v>
      </c>
      <c r="B97" s="13">
        <v>0.75746429074734667</v>
      </c>
      <c r="C97" s="13">
        <v>0.25828287121604027</v>
      </c>
      <c r="D97" s="13">
        <v>0.75746429074734667</v>
      </c>
      <c r="E97" s="8">
        <f t="shared" si="14"/>
        <v>2</v>
      </c>
      <c r="M97" s="10">
        <v>0.47682102813922472</v>
      </c>
      <c r="N97" s="10">
        <v>9.1114010921987357E-2</v>
      </c>
      <c r="O97" s="10">
        <v>0.37546213331731482</v>
      </c>
      <c r="P97" s="10">
        <v>0.26156802838611737</v>
      </c>
      <c r="Q97" s="8">
        <f t="shared" si="16"/>
        <v>0</v>
      </c>
      <c r="R97" s="8">
        <f t="shared" si="17"/>
        <v>1</v>
      </c>
      <c r="S97" s="8">
        <f t="shared" si="18"/>
        <v>0</v>
      </c>
      <c r="T97" s="8">
        <f t="shared" si="19"/>
        <v>0</v>
      </c>
      <c r="U97" s="10">
        <f t="shared" si="15"/>
        <v>9.1114010921987357E-2</v>
      </c>
    </row>
    <row r="98" spans="1:21" x14ac:dyDescent="0.3">
      <c r="A98" s="13">
        <v>0.59193677157557278</v>
      </c>
      <c r="B98" s="13">
        <v>0.64763738151426375</v>
      </c>
      <c r="C98" s="13">
        <v>0.38027445380854824</v>
      </c>
      <c r="D98" s="13">
        <v>0.52509603964914386</v>
      </c>
      <c r="E98" s="8">
        <f t="shared" si="14"/>
        <v>3</v>
      </c>
      <c r="M98" s="10">
        <v>0.16006993698959698</v>
      </c>
      <c r="N98" s="10">
        <v>0.3095157634382078</v>
      </c>
      <c r="O98" s="10">
        <v>7.3759957507943383E-2</v>
      </c>
      <c r="P98" s="10">
        <v>0.14622003690978333</v>
      </c>
      <c r="Q98" s="8">
        <f t="shared" si="16"/>
        <v>0</v>
      </c>
      <c r="R98" s="8">
        <f t="shared" si="17"/>
        <v>0</v>
      </c>
      <c r="S98" s="8">
        <f t="shared" si="18"/>
        <v>1</v>
      </c>
      <c r="T98" s="8">
        <f t="shared" si="19"/>
        <v>0</v>
      </c>
      <c r="U98" s="10">
        <f t="shared" si="15"/>
        <v>7.3759957507943383E-2</v>
      </c>
    </row>
    <row r="99" spans="1:21" x14ac:dyDescent="0.3">
      <c r="A99" s="13">
        <v>0.4571402999813145</v>
      </c>
      <c r="B99" s="13">
        <v>0.69442788494801655</v>
      </c>
      <c r="C99" s="13">
        <v>0.4571402999813145</v>
      </c>
      <c r="D99" s="13">
        <v>0.53623616163688181</v>
      </c>
      <c r="E99" s="8">
        <f t="shared" si="14"/>
        <v>4</v>
      </c>
      <c r="M99" s="10">
        <v>0.27319436603826941</v>
      </c>
      <c r="N99" s="10">
        <v>0.24886012026562948</v>
      </c>
      <c r="O99" s="10">
        <v>0.12362108145932395</v>
      </c>
      <c r="P99" s="10">
        <v>7.1005430420303633E-2</v>
      </c>
      <c r="Q99" s="8">
        <f t="shared" si="16"/>
        <v>0</v>
      </c>
      <c r="R99" s="8">
        <f t="shared" si="17"/>
        <v>0</v>
      </c>
      <c r="S99" s="8">
        <f t="shared" si="18"/>
        <v>0</v>
      </c>
      <c r="T99" s="8">
        <f t="shared" si="19"/>
        <v>1</v>
      </c>
      <c r="U99" s="10">
        <f t="shared" si="15"/>
        <v>7.1005430420303633E-2</v>
      </c>
    </row>
    <row r="100" spans="1:21" x14ac:dyDescent="0.3">
      <c r="A100" s="13">
        <v>0.52494684158680793</v>
      </c>
      <c r="B100" s="13">
        <v>0.6604186821876955</v>
      </c>
      <c r="C100" s="13">
        <v>0.47978956138651258</v>
      </c>
      <c r="D100" s="13">
        <v>0.47978956138651258</v>
      </c>
      <c r="E100" s="8">
        <f t="shared" si="14"/>
        <v>3</v>
      </c>
      <c r="M100" s="10">
        <v>0.21335197200693171</v>
      </c>
      <c r="N100" s="10">
        <v>0.33427893210859505</v>
      </c>
      <c r="O100" s="10">
        <v>7.4366484770456737E-2</v>
      </c>
      <c r="P100" s="10">
        <v>0.14042345025193073</v>
      </c>
      <c r="Q100" s="8">
        <f t="shared" si="16"/>
        <v>0</v>
      </c>
      <c r="R100" s="8">
        <f t="shared" si="17"/>
        <v>0</v>
      </c>
      <c r="S100" s="8">
        <f t="shared" si="18"/>
        <v>1</v>
      </c>
      <c r="T100" s="8">
        <f t="shared" si="19"/>
        <v>0</v>
      </c>
      <c r="U100" s="10">
        <f t="shared" si="15"/>
        <v>7.4366484770456737E-2</v>
      </c>
    </row>
    <row r="101" spans="1:21" x14ac:dyDescent="0.3">
      <c r="A101" s="13">
        <v>0.41708348716579707</v>
      </c>
      <c r="B101" s="13">
        <v>0.69418273012180765</v>
      </c>
      <c r="C101" s="13">
        <v>0.38383157801107659</v>
      </c>
      <c r="D101" s="13">
        <v>0.649846851248846</v>
      </c>
      <c r="E101" s="8">
        <f t="shared" si="14"/>
        <v>4</v>
      </c>
      <c r="M101" s="10">
        <v>0.35625094459290224</v>
      </c>
      <c r="N101" s="10">
        <v>0.13839784984551307</v>
      </c>
      <c r="O101" s="10">
        <v>0.21005096149833191</v>
      </c>
      <c r="P101" s="10">
        <v>8.6777609900150723E-2</v>
      </c>
      <c r="Q101" s="8">
        <f t="shared" si="16"/>
        <v>0</v>
      </c>
      <c r="R101" s="8">
        <f t="shared" si="17"/>
        <v>0</v>
      </c>
      <c r="S101" s="8">
        <f t="shared" si="18"/>
        <v>0</v>
      </c>
      <c r="T101" s="8">
        <f t="shared" si="19"/>
        <v>1</v>
      </c>
      <c r="U101" s="10">
        <f t="shared" si="15"/>
        <v>8.6777609900150723E-2</v>
      </c>
    </row>
    <row r="102" spans="1:21" x14ac:dyDescent="0.3">
      <c r="A102" s="13">
        <v>0.29044454032976846</v>
      </c>
      <c r="B102" s="13">
        <v>0.849297068775415</v>
      </c>
      <c r="C102" s="13">
        <v>0.16625508956406954</v>
      </c>
      <c r="D102" s="13">
        <v>0.83894794787827431</v>
      </c>
      <c r="E102" s="8">
        <f t="shared" si="14"/>
        <v>2</v>
      </c>
      <c r="M102" s="10">
        <v>0.6251322231969102</v>
      </c>
      <c r="N102" s="10">
        <v>0.2312101411037541</v>
      </c>
      <c r="O102" s="10">
        <v>0.54559876477347002</v>
      </c>
      <c r="P102" s="10">
        <v>0.43025678078638957</v>
      </c>
      <c r="Q102" s="8">
        <f t="shared" si="16"/>
        <v>0</v>
      </c>
      <c r="R102" s="8">
        <f t="shared" si="17"/>
        <v>1</v>
      </c>
      <c r="S102" s="8">
        <f t="shared" si="18"/>
        <v>0</v>
      </c>
      <c r="T102" s="8">
        <f t="shared" si="19"/>
        <v>0</v>
      </c>
      <c r="U102" s="10">
        <f t="shared" si="15"/>
        <v>0.2312101411037541</v>
      </c>
    </row>
    <row r="103" spans="1:21" x14ac:dyDescent="0.3">
      <c r="A103" s="13">
        <v>0.41352713324550672</v>
      </c>
      <c r="B103" s="13">
        <v>0.70402197596794558</v>
      </c>
      <c r="C103" s="13">
        <v>0.41352713324550672</v>
      </c>
      <c r="D103" s="13">
        <v>0.61386840408856824</v>
      </c>
      <c r="E103" s="8">
        <f t="shared" si="14"/>
        <v>4</v>
      </c>
      <c r="M103" s="10">
        <v>0.3387262158452975</v>
      </c>
      <c r="N103" s="10">
        <v>0.16382487862531228</v>
      </c>
      <c r="O103" s="10">
        <v>0.19008658741798504</v>
      </c>
      <c r="P103" s="10">
        <v>6.5806929656806568E-2</v>
      </c>
      <c r="Q103" s="8">
        <f t="shared" si="16"/>
        <v>0</v>
      </c>
      <c r="R103" s="8">
        <f t="shared" si="17"/>
        <v>0</v>
      </c>
      <c r="S103" s="8">
        <f t="shared" si="18"/>
        <v>0</v>
      </c>
      <c r="T103" s="8">
        <f t="shared" si="19"/>
        <v>1</v>
      </c>
      <c r="U103" s="10">
        <f t="shared" si="15"/>
        <v>6.5806929656806568E-2</v>
      </c>
    </row>
    <row r="104" spans="1:21" x14ac:dyDescent="0.3">
      <c r="A104" s="13">
        <v>0.56137341502869531</v>
      </c>
      <c r="B104" s="13">
        <v>0.59153811909887499</v>
      </c>
      <c r="C104" s="13">
        <v>0.4306596973912602</v>
      </c>
      <c r="D104" s="13">
        <v>0.56137341502869531</v>
      </c>
      <c r="E104" s="8">
        <f t="shared" si="14"/>
        <v>3</v>
      </c>
      <c r="M104" s="10">
        <v>0.23815348752277454</v>
      </c>
      <c r="N104" s="10">
        <v>0.32259439876311397</v>
      </c>
      <c r="O104" s="10">
        <v>5.3202014776612593E-2</v>
      </c>
      <c r="P104" s="10">
        <v>0.13061015826546776</v>
      </c>
      <c r="Q104" s="8">
        <f t="shared" si="16"/>
        <v>0</v>
      </c>
      <c r="R104" s="8">
        <f t="shared" si="17"/>
        <v>0</v>
      </c>
      <c r="S104" s="8">
        <f t="shared" si="18"/>
        <v>1</v>
      </c>
      <c r="T104" s="8">
        <f t="shared" si="19"/>
        <v>0</v>
      </c>
      <c r="U104" s="10">
        <f t="shared" si="15"/>
        <v>5.3202014776612593E-2</v>
      </c>
    </row>
    <row r="105" spans="1:21" x14ac:dyDescent="0.3">
      <c r="A105" s="13">
        <v>0.55633797158295795</v>
      </c>
      <c r="B105" s="13">
        <v>0.67694883125942329</v>
      </c>
      <c r="C105" s="13">
        <v>0.43572711190649405</v>
      </c>
      <c r="D105" s="13">
        <v>0.47593073179864914</v>
      </c>
      <c r="E105" s="8">
        <f t="shared" si="14"/>
        <v>3</v>
      </c>
      <c r="M105" s="10">
        <v>0.16208761311158476</v>
      </c>
      <c r="N105" s="10">
        <v>0.32395807996051679</v>
      </c>
      <c r="O105" s="10">
        <v>6.9372921958182593E-2</v>
      </c>
      <c r="P105" s="10">
        <v>0.144845920439056</v>
      </c>
      <c r="Q105" s="8">
        <f t="shared" si="16"/>
        <v>0</v>
      </c>
      <c r="R105" s="8">
        <f t="shared" si="17"/>
        <v>0</v>
      </c>
      <c r="S105" s="8">
        <f t="shared" si="18"/>
        <v>1</v>
      </c>
      <c r="T105" s="8">
        <f t="shared" si="19"/>
        <v>0</v>
      </c>
      <c r="U105" s="10">
        <f t="shared" si="15"/>
        <v>6.9372921958182593E-2</v>
      </c>
    </row>
    <row r="106" spans="1:21" x14ac:dyDescent="0.3">
      <c r="A106" s="13">
        <v>0.51853096675939014</v>
      </c>
      <c r="B106" s="13">
        <v>0.63993801734790223</v>
      </c>
      <c r="C106" s="13">
        <v>0.40724117038658797</v>
      </c>
      <c r="D106" s="13">
        <v>0.57923449205364552</v>
      </c>
      <c r="E106" s="8">
        <f t="shared" si="14"/>
        <v>4</v>
      </c>
      <c r="M106" s="10">
        <v>0.24904446278618583</v>
      </c>
      <c r="N106" s="10">
        <v>0.25289718356367658</v>
      </c>
      <c r="O106" s="10">
        <v>7.8619923413372317E-2</v>
      </c>
      <c r="P106" s="10">
        <v>6.3723813081874484E-2</v>
      </c>
      <c r="Q106" s="8">
        <f t="shared" si="16"/>
        <v>0</v>
      </c>
      <c r="R106" s="8">
        <f t="shared" si="17"/>
        <v>0</v>
      </c>
      <c r="S106" s="8">
        <f t="shared" si="18"/>
        <v>0</v>
      </c>
      <c r="T106" s="8">
        <f t="shared" si="19"/>
        <v>1</v>
      </c>
      <c r="U106" s="10">
        <f t="shared" si="15"/>
        <v>6.3723813081874484E-2</v>
      </c>
    </row>
    <row r="107" spans="1:21" x14ac:dyDescent="0.3">
      <c r="A107" s="13">
        <v>0.38063267130795608</v>
      </c>
      <c r="B107" s="13">
        <v>0.76211219598532209</v>
      </c>
      <c r="C107" s="13">
        <v>0.3705937364480244</v>
      </c>
      <c r="D107" s="13">
        <v>0.63160604280622334</v>
      </c>
      <c r="E107" s="8">
        <f t="shared" si="14"/>
        <v>2</v>
      </c>
      <c r="M107" s="10">
        <v>0.3745099813725396</v>
      </c>
      <c r="N107" s="10">
        <v>9.4336901755085856E-2</v>
      </c>
      <c r="O107" s="10">
        <v>0.25887427094334314</v>
      </c>
      <c r="P107" s="10">
        <v>0.13629853149887092</v>
      </c>
      <c r="Q107" s="8">
        <f t="shared" si="16"/>
        <v>0</v>
      </c>
      <c r="R107" s="8">
        <f t="shared" si="17"/>
        <v>1</v>
      </c>
      <c r="S107" s="8">
        <f t="shared" si="18"/>
        <v>0</v>
      </c>
      <c r="T107" s="8">
        <f t="shared" si="19"/>
        <v>0</v>
      </c>
      <c r="U107" s="10">
        <f t="shared" si="15"/>
        <v>9.4336901755085856E-2</v>
      </c>
    </row>
    <row r="108" spans="1:21" x14ac:dyDescent="0.3">
      <c r="A108" s="13">
        <v>0.54123578142971851</v>
      </c>
      <c r="B108" s="13">
        <v>0.58123273977240886</v>
      </c>
      <c r="C108" s="13">
        <v>0.48124034391568427</v>
      </c>
      <c r="D108" s="13">
        <v>0.54123578142971851</v>
      </c>
      <c r="E108" s="8">
        <f t="shared" si="14"/>
        <v>3</v>
      </c>
      <c r="M108" s="10">
        <v>0.26153752262617019</v>
      </c>
      <c r="N108" s="10">
        <v>0.35061723042323401</v>
      </c>
      <c r="O108" s="10">
        <v>6.4522471212984156E-2</v>
      </c>
      <c r="P108" s="10">
        <v>0.14609067502120493</v>
      </c>
      <c r="Q108" s="8">
        <f t="shared" si="16"/>
        <v>0</v>
      </c>
      <c r="R108" s="8">
        <f t="shared" si="17"/>
        <v>0</v>
      </c>
      <c r="S108" s="8">
        <f t="shared" si="18"/>
        <v>1</v>
      </c>
      <c r="T108" s="8">
        <f t="shared" si="19"/>
        <v>0</v>
      </c>
      <c r="U108" s="10">
        <f t="shared" si="15"/>
        <v>6.4522471212984156E-2</v>
      </c>
    </row>
    <row r="109" spans="1:21" x14ac:dyDescent="0.3">
      <c r="A109" s="13">
        <v>0.5387513871105396</v>
      </c>
      <c r="B109" s="13">
        <v>0.61923860226762073</v>
      </c>
      <c r="C109" s="13">
        <v>0.45826417195345975</v>
      </c>
      <c r="D109" s="13">
        <v>0.52869048521590578</v>
      </c>
      <c r="E109" s="8">
        <f t="shared" si="14"/>
        <v>3</v>
      </c>
      <c r="M109" s="10">
        <v>0.22855194992963734</v>
      </c>
      <c r="N109" s="10">
        <v>0.32157444492313531</v>
      </c>
      <c r="O109" s="10">
        <v>2.6723631826515316E-2</v>
      </c>
      <c r="P109" s="10">
        <v>0.11797519153952782</v>
      </c>
      <c r="Q109" s="8">
        <f t="shared" si="16"/>
        <v>0</v>
      </c>
      <c r="R109" s="8">
        <f t="shared" si="17"/>
        <v>0</v>
      </c>
      <c r="S109" s="8">
        <f t="shared" si="18"/>
        <v>1</v>
      </c>
      <c r="T109" s="8">
        <f t="shared" si="19"/>
        <v>0</v>
      </c>
      <c r="U109" s="10">
        <f t="shared" si="15"/>
        <v>2.6723631826515316E-2</v>
      </c>
    </row>
    <row r="110" spans="1:21" x14ac:dyDescent="0.3">
      <c r="A110" s="13">
        <v>0.49871675969004886</v>
      </c>
      <c r="B110" s="13">
        <v>0.62878401977240261</v>
      </c>
      <c r="C110" s="13">
        <v>0.45869606428009391</v>
      </c>
      <c r="D110" s="13">
        <v>0.55874780280498049</v>
      </c>
      <c r="E110" s="8">
        <f t="shared" si="14"/>
        <v>3</v>
      </c>
      <c r="M110" s="10">
        <v>0.26728703220957545</v>
      </c>
      <c r="N110" s="10">
        <v>0.28492059213436582</v>
      </c>
      <c r="O110" s="10">
        <v>7.1499741442230563E-2</v>
      </c>
      <c r="P110" s="10">
        <v>7.8633494100588619E-2</v>
      </c>
      <c r="Q110" s="8">
        <f t="shared" si="16"/>
        <v>0</v>
      </c>
      <c r="R110" s="8">
        <f t="shared" si="17"/>
        <v>0</v>
      </c>
      <c r="S110" s="8">
        <f t="shared" si="18"/>
        <v>1</v>
      </c>
      <c r="T110" s="8">
        <f t="shared" si="19"/>
        <v>0</v>
      </c>
      <c r="U110" s="10">
        <f t="shared" si="15"/>
        <v>7.1499741442230563E-2</v>
      </c>
    </row>
    <row r="111" spans="1:21" x14ac:dyDescent="0.3">
      <c r="A111" s="13">
        <v>0.49638103647980453</v>
      </c>
      <c r="B111" s="13">
        <v>0.66576531839738162</v>
      </c>
      <c r="C111" s="13">
        <v>0.43659834874418857</v>
      </c>
      <c r="D111" s="13">
        <v>0.54619994292614971</v>
      </c>
      <c r="E111" s="8">
        <f t="shared" si="14"/>
        <v>4</v>
      </c>
      <c r="M111" s="10">
        <v>0.24469482727874908</v>
      </c>
      <c r="N111" s="10">
        <v>0.2580979632593598</v>
      </c>
      <c r="O111" s="10">
        <v>7.7291802483723956E-2</v>
      </c>
      <c r="P111" s="10">
        <v>5.7019864835192349E-2</v>
      </c>
      <c r="Q111" s="8">
        <f t="shared" si="16"/>
        <v>0</v>
      </c>
      <c r="R111" s="8">
        <f t="shared" si="17"/>
        <v>0</v>
      </c>
      <c r="S111" s="8">
        <f t="shared" si="18"/>
        <v>0</v>
      </c>
      <c r="T111" s="8">
        <f t="shared" si="19"/>
        <v>1</v>
      </c>
      <c r="U111" s="10">
        <f t="shared" si="15"/>
        <v>5.7019864835192349E-2</v>
      </c>
    </row>
    <row r="112" spans="1:21" x14ac:dyDescent="0.3">
      <c r="A112" s="13">
        <v>0.52636571787725439</v>
      </c>
      <c r="B112" s="13">
        <v>0.67442237427166618</v>
      </c>
      <c r="C112" s="13">
        <v>0.4177908365213524</v>
      </c>
      <c r="D112" s="13">
        <v>0.52636571787725439</v>
      </c>
      <c r="E112" s="8">
        <f t="shared" si="14"/>
        <v>3</v>
      </c>
      <c r="M112" s="10">
        <v>0.20385972170230501</v>
      </c>
      <c r="N112" s="10">
        <v>0.27034817872897632</v>
      </c>
      <c r="O112" s="10">
        <v>6.2877846078938301E-2</v>
      </c>
      <c r="P112" s="10">
        <v>8.545303492782827E-2</v>
      </c>
      <c r="Q112" s="8">
        <f t="shared" si="16"/>
        <v>0</v>
      </c>
      <c r="R112" s="8">
        <f t="shared" si="17"/>
        <v>0</v>
      </c>
      <c r="S112" s="8">
        <f t="shared" si="18"/>
        <v>1</v>
      </c>
      <c r="T112" s="8">
        <f t="shared" si="19"/>
        <v>0</v>
      </c>
      <c r="U112" s="10">
        <f t="shared" si="15"/>
        <v>6.2877846078938301E-2</v>
      </c>
    </row>
    <row r="113" spans="1:21" x14ac:dyDescent="0.3">
      <c r="A113" s="13">
        <v>0.61698964897009778</v>
      </c>
      <c r="B113" s="13">
        <v>0.61698964897009778</v>
      </c>
      <c r="C113" s="13">
        <v>0.40164701608152054</v>
      </c>
      <c r="D113" s="13">
        <v>0.50931833252580982</v>
      </c>
      <c r="E113" s="8">
        <f t="shared" si="14"/>
        <v>3</v>
      </c>
      <c r="M113" s="10">
        <v>0.15766416050509263</v>
      </c>
      <c r="N113" s="10">
        <v>0.35475252453640915</v>
      </c>
      <c r="O113" s="10">
        <v>7.32123056818067E-2</v>
      </c>
      <c r="P113" s="10">
        <v>0.17955268782764833</v>
      </c>
      <c r="Q113" s="8">
        <f t="shared" si="16"/>
        <v>0</v>
      </c>
      <c r="R113" s="8">
        <f t="shared" si="17"/>
        <v>0</v>
      </c>
      <c r="S113" s="8">
        <f t="shared" si="18"/>
        <v>1</v>
      </c>
      <c r="T113" s="8">
        <f t="shared" si="19"/>
        <v>0</v>
      </c>
      <c r="U113" s="10">
        <f t="shared" si="15"/>
        <v>7.32123056818067E-2</v>
      </c>
    </row>
    <row r="114" spans="1:21" x14ac:dyDescent="0.3">
      <c r="A114" s="13">
        <v>0.6146488032249926</v>
      </c>
      <c r="B114" s="13">
        <v>0.6146488032249926</v>
      </c>
      <c r="C114" s="13">
        <v>0.35980771806363465</v>
      </c>
      <c r="D114" s="13">
        <v>0.55583932203390884</v>
      </c>
      <c r="E114" s="8">
        <f t="shared" si="14"/>
        <v>3</v>
      </c>
      <c r="M114" s="10">
        <v>0.18812199476511429</v>
      </c>
      <c r="N114" s="10">
        <v>0.32338550006565814</v>
      </c>
      <c r="O114" s="10">
        <v>0.10584977463509639</v>
      </c>
      <c r="P114" s="10">
        <v>0.17142230284844354</v>
      </c>
      <c r="Q114" s="8">
        <f t="shared" si="16"/>
        <v>0</v>
      </c>
      <c r="R114" s="8">
        <f t="shared" si="17"/>
        <v>0</v>
      </c>
      <c r="S114" s="8">
        <f t="shared" si="18"/>
        <v>1</v>
      </c>
      <c r="T114" s="8">
        <f t="shared" si="19"/>
        <v>0</v>
      </c>
      <c r="U114" s="10">
        <f t="shared" si="15"/>
        <v>0.10584977463509639</v>
      </c>
    </row>
    <row r="115" spans="1:21" x14ac:dyDescent="0.3">
      <c r="A115" s="13">
        <v>0.45782352004877103</v>
      </c>
      <c r="B115" s="13">
        <v>0.62445038342350467</v>
      </c>
      <c r="C115" s="13">
        <v>0.44802193985025751</v>
      </c>
      <c r="D115" s="13">
        <v>0.6146488032249926</v>
      </c>
      <c r="E115" s="8">
        <f t="shared" si="14"/>
        <v>4</v>
      </c>
      <c r="M115" s="10">
        <v>0.3261980069322884</v>
      </c>
      <c r="N115" s="10">
        <v>0.24652427837015914</v>
      </c>
      <c r="O115" s="10">
        <v>0.13624698116604744</v>
      </c>
      <c r="P115" s="10">
        <v>6.8715729047858332E-2</v>
      </c>
      <c r="Q115" s="8">
        <f t="shared" si="16"/>
        <v>0</v>
      </c>
      <c r="R115" s="8">
        <f t="shared" si="17"/>
        <v>0</v>
      </c>
      <c r="S115" s="8">
        <f t="shared" si="18"/>
        <v>0</v>
      </c>
      <c r="T115" s="8">
        <f t="shared" si="19"/>
        <v>1</v>
      </c>
      <c r="U115" s="10">
        <f t="shared" si="15"/>
        <v>6.8715729047858332E-2</v>
      </c>
    </row>
    <row r="116" spans="1:21" x14ac:dyDescent="0.3">
      <c r="A116" s="13">
        <v>0.47545920309005046</v>
      </c>
      <c r="B116" s="13">
        <v>0.61159959023495314</v>
      </c>
      <c r="C116" s="13">
        <v>0.44628626298757201</v>
      </c>
      <c r="D116" s="13">
        <v>0.61159959023495314</v>
      </c>
      <c r="E116" s="8">
        <f t="shared" si="14"/>
        <v>4</v>
      </c>
      <c r="M116" s="10">
        <v>0.31603396684659846</v>
      </c>
      <c r="N116" s="10">
        <v>0.26087011298625906</v>
      </c>
      <c r="O116" s="10">
        <v>0.122364033404691</v>
      </c>
      <c r="P116" s="10">
        <v>7.6980241013352699E-2</v>
      </c>
      <c r="Q116" s="8">
        <f t="shared" si="16"/>
        <v>0</v>
      </c>
      <c r="R116" s="8">
        <f t="shared" si="17"/>
        <v>0</v>
      </c>
      <c r="S116" s="8">
        <f t="shared" si="18"/>
        <v>0</v>
      </c>
      <c r="T116" s="8">
        <f t="shared" si="19"/>
        <v>1</v>
      </c>
      <c r="U116" s="10">
        <f t="shared" si="15"/>
        <v>7.6980241013352699E-2</v>
      </c>
    </row>
    <row r="117" spans="1:21" x14ac:dyDescent="0.3">
      <c r="A117" s="13">
        <v>0.41617547251749659</v>
      </c>
      <c r="B117" s="13">
        <v>1</v>
      </c>
      <c r="C117" s="13">
        <v>0.35967632469660848</v>
      </c>
      <c r="D117" s="13">
        <v>0.36909284933342362</v>
      </c>
      <c r="E117" s="8">
        <f t="shared" si="14"/>
        <v>2</v>
      </c>
      <c r="M117" s="10">
        <v>0.38954423153269918</v>
      </c>
      <c r="N117" s="10">
        <v>0.38349798734027307</v>
      </c>
      <c r="O117" s="10">
        <v>0.43631289928457079</v>
      </c>
      <c r="P117" s="10">
        <v>0.39759715384853067</v>
      </c>
      <c r="Q117" s="8">
        <f t="shared" si="16"/>
        <v>0</v>
      </c>
      <c r="R117" s="8">
        <f t="shared" si="17"/>
        <v>1</v>
      </c>
      <c r="S117" s="8">
        <f t="shared" si="18"/>
        <v>0</v>
      </c>
      <c r="T117" s="8">
        <f t="shared" si="19"/>
        <v>0</v>
      </c>
      <c r="U117" s="10">
        <f t="shared" si="15"/>
        <v>0.38349798734027307</v>
      </c>
    </row>
    <row r="118" spans="1:21" x14ac:dyDescent="0.3">
      <c r="A118" s="13">
        <v>0.37841776681059214</v>
      </c>
      <c r="B118" s="13">
        <v>0.7961723413507702</v>
      </c>
      <c r="C118" s="13">
        <v>0.34128402685146481</v>
      </c>
      <c r="D118" s="13">
        <v>0.62907051153470006</v>
      </c>
      <c r="E118" s="8">
        <f t="shared" si="14"/>
        <v>2</v>
      </c>
      <c r="M118" s="10">
        <v>0.38096775006083222</v>
      </c>
      <c r="N118" s="10">
        <v>7.001555103130333E-2</v>
      </c>
      <c r="O118" s="10">
        <v>0.28765294443277972</v>
      </c>
      <c r="P118" s="10">
        <v>0.17059011882183911</v>
      </c>
      <c r="Q118" s="8">
        <f t="shared" si="16"/>
        <v>0</v>
      </c>
      <c r="R118" s="8">
        <f t="shared" si="17"/>
        <v>1</v>
      </c>
      <c r="S118" s="8">
        <f t="shared" si="18"/>
        <v>0</v>
      </c>
      <c r="T118" s="8">
        <f t="shared" si="19"/>
        <v>0</v>
      </c>
      <c r="U118" s="10">
        <f t="shared" si="15"/>
        <v>7.001555103130333E-2</v>
      </c>
    </row>
    <row r="119" spans="1:21" x14ac:dyDescent="0.3">
      <c r="A119" s="13">
        <v>0.54765805726116668</v>
      </c>
      <c r="B119" s="13">
        <v>0.62075818925658699</v>
      </c>
      <c r="C119" s="13">
        <v>0.4471453757674641</v>
      </c>
      <c r="D119" s="13">
        <v>0.52938302426231088</v>
      </c>
      <c r="E119" s="8">
        <f t="shared" si="14"/>
        <v>3</v>
      </c>
      <c r="M119" s="10">
        <v>0.21831212828723606</v>
      </c>
      <c r="N119" s="10">
        <v>0.31945619087375521</v>
      </c>
      <c r="O119" s="10">
        <v>1.4288688056273608E-2</v>
      </c>
      <c r="P119" s="10">
        <v>0.11889482834533527</v>
      </c>
      <c r="Q119" s="8">
        <f t="shared" si="16"/>
        <v>0</v>
      </c>
      <c r="R119" s="8">
        <f t="shared" si="17"/>
        <v>0</v>
      </c>
      <c r="S119" s="8">
        <f t="shared" si="18"/>
        <v>1</v>
      </c>
      <c r="T119" s="8">
        <f t="shared" si="19"/>
        <v>0</v>
      </c>
      <c r="U119" s="10">
        <f t="shared" si="15"/>
        <v>1.4288688056273608E-2</v>
      </c>
    </row>
    <row r="120" spans="1:21" x14ac:dyDescent="0.3">
      <c r="A120" s="13">
        <v>0.67507992213559487</v>
      </c>
      <c r="B120" s="13">
        <v>0.67507992213559487</v>
      </c>
      <c r="C120" s="13">
        <v>0.38813615043825511</v>
      </c>
      <c r="D120" s="13">
        <v>0.40664865183808385</v>
      </c>
      <c r="E120" s="8">
        <f t="shared" si="14"/>
        <v>1</v>
      </c>
      <c r="M120" s="10">
        <v>4.7449855896179179E-2</v>
      </c>
      <c r="N120" s="10">
        <v>0.42778805717158208</v>
      </c>
      <c r="O120" s="10">
        <v>0.18012820013741851</v>
      </c>
      <c r="P120" s="10">
        <v>0.27685828921810801</v>
      </c>
      <c r="Q120" s="8">
        <f t="shared" si="16"/>
        <v>1</v>
      </c>
      <c r="R120" s="8">
        <f t="shared" si="17"/>
        <v>0</v>
      </c>
      <c r="S120" s="8">
        <f t="shared" si="18"/>
        <v>0</v>
      </c>
      <c r="T120" s="8">
        <f t="shared" si="19"/>
        <v>0</v>
      </c>
      <c r="U120" s="10">
        <f t="shared" si="15"/>
        <v>4.7449855896179179E-2</v>
      </c>
    </row>
    <row r="121" spans="1:21" x14ac:dyDescent="0.3">
      <c r="A121" s="13">
        <v>0.62808147729850083</v>
      </c>
      <c r="B121" s="13">
        <v>0.71286176867845452</v>
      </c>
      <c r="C121" s="13">
        <v>0.38316063553418489</v>
      </c>
      <c r="D121" s="13">
        <v>0.42084076503638712</v>
      </c>
      <c r="E121" s="8">
        <f t="shared" si="14"/>
        <v>1</v>
      </c>
      <c r="M121" s="10">
        <v>5.5523595191664013E-2</v>
      </c>
      <c r="N121" s="10">
        <v>0.37676972658318258</v>
      </c>
      <c r="O121" s="10">
        <v>0.16207184771866159</v>
      </c>
      <c r="P121" s="10">
        <v>0.23661866870071221</v>
      </c>
      <c r="Q121" s="8">
        <f t="shared" si="16"/>
        <v>1</v>
      </c>
      <c r="R121" s="8">
        <f t="shared" si="17"/>
        <v>0</v>
      </c>
      <c r="S121" s="8">
        <f t="shared" si="18"/>
        <v>0</v>
      </c>
      <c r="T121" s="8">
        <f t="shared" si="19"/>
        <v>0</v>
      </c>
      <c r="U121" s="10">
        <f t="shared" si="15"/>
        <v>5.5523595191664013E-2</v>
      </c>
    </row>
    <row r="122" spans="1:21" x14ac:dyDescent="0.3">
      <c r="A122" s="13">
        <v>0.45125009285066414</v>
      </c>
      <c r="B122" s="13">
        <v>0.67787960961391081</v>
      </c>
      <c r="C122" s="13">
        <v>0.45125009285066414</v>
      </c>
      <c r="D122" s="13">
        <v>0.56456485123228817</v>
      </c>
      <c r="E122" s="8">
        <f t="shared" si="14"/>
        <v>4</v>
      </c>
      <c r="M122" s="10">
        <v>0.29171941748072849</v>
      </c>
      <c r="N122" s="10">
        <v>0.23497936585294291</v>
      </c>
      <c r="O122" s="10">
        <v>0.1262889325054824</v>
      </c>
      <c r="P122" s="10">
        <v>4.7567254417221247E-2</v>
      </c>
      <c r="Q122" s="8">
        <f t="shared" si="16"/>
        <v>0</v>
      </c>
      <c r="R122" s="8">
        <f t="shared" si="17"/>
        <v>0</v>
      </c>
      <c r="S122" s="8">
        <f t="shared" si="18"/>
        <v>0</v>
      </c>
      <c r="T122" s="8">
        <f t="shared" si="19"/>
        <v>1</v>
      </c>
      <c r="U122" s="10">
        <f t="shared" si="15"/>
        <v>4.7567254417221247E-2</v>
      </c>
    </row>
    <row r="123" spans="1:21" x14ac:dyDescent="0.3">
      <c r="A123" s="13">
        <v>0.56690839524932413</v>
      </c>
      <c r="B123" s="13">
        <v>0.61409644696077148</v>
      </c>
      <c r="C123" s="13">
        <v>0.44421946079955621</v>
      </c>
      <c r="D123" s="13">
        <v>0.519720343537874</v>
      </c>
      <c r="E123" s="8">
        <f t="shared" si="14"/>
        <v>3</v>
      </c>
      <c r="M123" s="10">
        <v>0.20389203107368359</v>
      </c>
      <c r="N123" s="10">
        <v>0.33651040152873468</v>
      </c>
      <c r="O123" s="10">
        <v>1.5110857788072347E-2</v>
      </c>
      <c r="P123" s="10">
        <v>0.13935271035221047</v>
      </c>
      <c r="Q123" s="8">
        <f t="shared" si="16"/>
        <v>0</v>
      </c>
      <c r="R123" s="8">
        <f t="shared" si="17"/>
        <v>0</v>
      </c>
      <c r="S123" s="8">
        <f t="shared" si="18"/>
        <v>1</v>
      </c>
      <c r="T123" s="8">
        <f t="shared" si="19"/>
        <v>0</v>
      </c>
      <c r="U123" s="10">
        <f t="shared" si="15"/>
        <v>1.5110857788072347E-2</v>
      </c>
    </row>
    <row r="124" spans="1:21" x14ac:dyDescent="0.3">
      <c r="A124" s="13">
        <v>0.5480596500005287</v>
      </c>
      <c r="B124" s="13">
        <v>0.60481239414602672</v>
      </c>
      <c r="C124" s="13">
        <v>0.38726020825494512</v>
      </c>
      <c r="D124" s="13">
        <v>0.60481239414602672</v>
      </c>
      <c r="E124" s="8">
        <f t="shared" si="14"/>
        <v>3</v>
      </c>
      <c r="M124" s="10">
        <v>0.26040710646550952</v>
      </c>
      <c r="N124" s="10">
        <v>0.27565837022549894</v>
      </c>
      <c r="O124" s="10">
        <v>0.10156933901590122</v>
      </c>
      <c r="P124" s="10">
        <v>0.11222188377352681</v>
      </c>
      <c r="Q124" s="8">
        <f t="shared" si="16"/>
        <v>0</v>
      </c>
      <c r="R124" s="8">
        <f t="shared" si="17"/>
        <v>0</v>
      </c>
      <c r="S124" s="8">
        <f t="shared" si="18"/>
        <v>1</v>
      </c>
      <c r="T124" s="8">
        <f t="shared" si="19"/>
        <v>0</v>
      </c>
      <c r="U124" s="10">
        <f t="shared" si="15"/>
        <v>0.10156933901590122</v>
      </c>
    </row>
    <row r="125" spans="1:21" x14ac:dyDescent="0.3">
      <c r="A125" s="13">
        <v>0.6124050679988271</v>
      </c>
      <c r="B125" s="13">
        <v>0.66001063447504138</v>
      </c>
      <c r="C125" s="13">
        <v>0.40294057550347906</v>
      </c>
      <c r="D125" s="13">
        <v>0.46958836857018116</v>
      </c>
      <c r="E125" s="8">
        <f t="shared" si="14"/>
        <v>3</v>
      </c>
      <c r="M125" s="10">
        <v>0.11245743349058977</v>
      </c>
      <c r="N125" s="10">
        <v>0.35530363358932238</v>
      </c>
      <c r="O125" s="10">
        <v>9.1903121454685308E-2</v>
      </c>
      <c r="P125" s="10">
        <v>0.18821513679493507</v>
      </c>
      <c r="Q125" s="8">
        <f t="shared" si="16"/>
        <v>0</v>
      </c>
      <c r="R125" s="8">
        <f t="shared" si="17"/>
        <v>0</v>
      </c>
      <c r="S125" s="8">
        <f t="shared" si="18"/>
        <v>1</v>
      </c>
      <c r="T125" s="8">
        <f t="shared" si="19"/>
        <v>0</v>
      </c>
      <c r="U125" s="10">
        <f t="shared" si="15"/>
        <v>9.1903121454685308E-2</v>
      </c>
    </row>
    <row r="126" spans="1:21" x14ac:dyDescent="0.3">
      <c r="A126" s="13">
        <v>0.45067499915211123</v>
      </c>
      <c r="B126" s="13">
        <v>0.67883809911149895</v>
      </c>
      <c r="C126" s="13">
        <v>0.45067499915211123</v>
      </c>
      <c r="D126" s="13">
        <v>0.56475654913180584</v>
      </c>
      <c r="E126" s="8">
        <f t="shared" si="14"/>
        <v>4</v>
      </c>
      <c r="M126" s="10">
        <v>0.2919725330613101</v>
      </c>
      <c r="N126" s="10">
        <v>0.23387841284081137</v>
      </c>
      <c r="O126" s="10">
        <v>0.12719450171063473</v>
      </c>
      <c r="P126" s="10">
        <v>4.7252059260632147E-2</v>
      </c>
      <c r="Q126" s="8">
        <f t="shared" si="16"/>
        <v>0</v>
      </c>
      <c r="R126" s="8">
        <f t="shared" si="17"/>
        <v>0</v>
      </c>
      <c r="S126" s="8">
        <f t="shared" si="18"/>
        <v>0</v>
      </c>
      <c r="T126" s="8">
        <f t="shared" si="19"/>
        <v>1</v>
      </c>
      <c r="U126" s="10">
        <f t="shared" si="15"/>
        <v>4.7252059260632147E-2</v>
      </c>
    </row>
    <row r="127" spans="1:21" x14ac:dyDescent="0.3">
      <c r="A127" s="13">
        <v>0.61017790699409025</v>
      </c>
      <c r="B127" s="13">
        <v>0.61971877736276237</v>
      </c>
      <c r="C127" s="13">
        <v>0.45752398109533732</v>
      </c>
      <c r="D127" s="13">
        <v>0.45752398109533732</v>
      </c>
      <c r="E127" s="8">
        <f t="shared" si="14"/>
        <v>3</v>
      </c>
      <c r="M127" s="10">
        <v>0.15891872041981278</v>
      </c>
      <c r="N127" s="10">
        <v>0.39657572619479914</v>
      </c>
      <c r="O127" s="10">
        <v>8.4964521479617139E-2</v>
      </c>
      <c r="P127" s="10">
        <v>0.20639566308870699</v>
      </c>
      <c r="Q127" s="8">
        <f t="shared" si="16"/>
        <v>0</v>
      </c>
      <c r="R127" s="8">
        <f t="shared" si="17"/>
        <v>0</v>
      </c>
      <c r="S127" s="8">
        <f t="shared" si="18"/>
        <v>1</v>
      </c>
      <c r="T127" s="8">
        <f t="shared" si="19"/>
        <v>0</v>
      </c>
      <c r="U127" s="10">
        <f t="shared" si="15"/>
        <v>8.4964521479617139E-2</v>
      </c>
    </row>
    <row r="128" spans="1:21" x14ac:dyDescent="0.3">
      <c r="A128" s="13">
        <v>0.61837168083955973</v>
      </c>
      <c r="B128" s="13">
        <v>0.61837168083955973</v>
      </c>
      <c r="C128" s="13">
        <v>0.45410064243420395</v>
      </c>
      <c r="D128" s="13">
        <v>0.45410064243420395</v>
      </c>
      <c r="E128" s="8">
        <f t="shared" si="14"/>
        <v>3</v>
      </c>
      <c r="M128" s="10">
        <v>0.15327690506464278</v>
      </c>
      <c r="N128" s="10">
        <v>0.40246863367675517</v>
      </c>
      <c r="O128" s="10">
        <v>9.2313529410174136E-2</v>
      </c>
      <c r="P128" s="10">
        <v>0.21394839015033915</v>
      </c>
      <c r="Q128" s="8">
        <f t="shared" si="16"/>
        <v>0</v>
      </c>
      <c r="R128" s="8">
        <f t="shared" si="17"/>
        <v>0</v>
      </c>
      <c r="S128" s="8">
        <f t="shared" si="18"/>
        <v>1</v>
      </c>
      <c r="T128" s="8">
        <f t="shared" si="19"/>
        <v>0</v>
      </c>
      <c r="U128" s="10">
        <f t="shared" si="15"/>
        <v>9.2313529410174136E-2</v>
      </c>
    </row>
    <row r="129" spans="1:21" x14ac:dyDescent="0.3">
      <c r="A129" s="13">
        <v>0.67485522066989689</v>
      </c>
      <c r="B129" s="13">
        <v>0.67485522066989689</v>
      </c>
      <c r="C129" s="13">
        <v>0.39761710260386818</v>
      </c>
      <c r="D129" s="13">
        <v>0.39761710260386818</v>
      </c>
      <c r="E129" s="8">
        <f t="shared" si="14"/>
        <v>1</v>
      </c>
      <c r="M129" s="10">
        <v>5.4898769026930479E-2</v>
      </c>
      <c r="N129" s="10">
        <v>0.43567923988713847</v>
      </c>
      <c r="O129" s="10">
        <v>0.18334042633187395</v>
      </c>
      <c r="P129" s="10">
        <v>0.2820117354312921</v>
      </c>
      <c r="Q129" s="8">
        <f t="shared" si="16"/>
        <v>1</v>
      </c>
      <c r="R129" s="8">
        <f t="shared" si="17"/>
        <v>0</v>
      </c>
      <c r="S129" s="8">
        <f t="shared" si="18"/>
        <v>0</v>
      </c>
      <c r="T129" s="8">
        <f t="shared" si="19"/>
        <v>0</v>
      </c>
      <c r="U129" s="10">
        <f t="shared" si="15"/>
        <v>5.4898769026930479E-2</v>
      </c>
    </row>
    <row r="130" spans="1:21" x14ac:dyDescent="0.3">
      <c r="A130" s="13">
        <v>0.52385218665540989</v>
      </c>
      <c r="B130" s="13">
        <v>0.67245988643307075</v>
      </c>
      <c r="C130" s="13">
        <v>0.47431628672952192</v>
      </c>
      <c r="D130" s="13">
        <v>0.47431628672952192</v>
      </c>
      <c r="E130" s="8">
        <f t="shared" si="14"/>
        <v>3</v>
      </c>
      <c r="M130" s="10">
        <v>0.20659808527323659</v>
      </c>
      <c r="N130" s="10">
        <v>0.32971440344316633</v>
      </c>
      <c r="O130" s="10">
        <v>8.1816823212365275E-2</v>
      </c>
      <c r="P130" s="10">
        <v>0.14095299943156328</v>
      </c>
      <c r="Q130" s="8">
        <f t="shared" si="16"/>
        <v>0</v>
      </c>
      <c r="R130" s="8">
        <f t="shared" si="17"/>
        <v>0</v>
      </c>
      <c r="S130" s="8">
        <f t="shared" si="18"/>
        <v>1</v>
      </c>
      <c r="T130" s="8">
        <f t="shared" si="19"/>
        <v>0</v>
      </c>
      <c r="U130" s="10">
        <f t="shared" si="15"/>
        <v>8.1816823212365275E-2</v>
      </c>
    </row>
    <row r="131" spans="1:21" x14ac:dyDescent="0.3">
      <c r="A131" s="13">
        <v>0.46949343664876209</v>
      </c>
      <c r="B131" s="13">
        <v>0.64747403661708192</v>
      </c>
      <c r="C131" s="13">
        <v>0.46949343664876209</v>
      </c>
      <c r="D131" s="13">
        <v>0.55848373663292128</v>
      </c>
      <c r="E131" s="8">
        <f t="shared" si="14"/>
        <v>4</v>
      </c>
      <c r="M131" s="10">
        <v>0.28651686747817517</v>
      </c>
      <c r="N131" s="10">
        <v>0.27068155269359367</v>
      </c>
      <c r="O131" s="10">
        <v>0.10171299406396114</v>
      </c>
      <c r="P131" s="10">
        <v>6.9922299694777257E-2</v>
      </c>
      <c r="Q131" s="8">
        <f t="shared" si="16"/>
        <v>0</v>
      </c>
      <c r="R131" s="8">
        <f t="shared" si="17"/>
        <v>0</v>
      </c>
      <c r="S131" s="8">
        <f t="shared" si="18"/>
        <v>0</v>
      </c>
      <c r="T131" s="8">
        <f t="shared" si="19"/>
        <v>1</v>
      </c>
      <c r="U131" s="10">
        <f t="shared" si="15"/>
        <v>6.9922299694777257E-2</v>
      </c>
    </row>
    <row r="132" spans="1:21" x14ac:dyDescent="0.3">
      <c r="A132" s="13">
        <v>0.58543475485121144</v>
      </c>
      <c r="B132" s="13">
        <v>0.58543475485121144</v>
      </c>
      <c r="C132" s="13">
        <v>0.39848010063675893</v>
      </c>
      <c r="D132" s="13">
        <v>0.57559503620834551</v>
      </c>
      <c r="E132" s="8">
        <f t="shared" si="14"/>
        <v>3</v>
      </c>
      <c r="M132" s="10">
        <v>0.23293856295161075</v>
      </c>
      <c r="N132" s="10">
        <v>0.32378888003981005</v>
      </c>
      <c r="O132" s="10">
        <v>8.4282488180969284E-2</v>
      </c>
      <c r="P132" s="10">
        <v>0.15029504969942289</v>
      </c>
      <c r="Q132" s="8">
        <f t="shared" si="16"/>
        <v>0</v>
      </c>
      <c r="R132" s="8">
        <f t="shared" si="17"/>
        <v>0</v>
      </c>
      <c r="S132" s="8">
        <f t="shared" si="18"/>
        <v>1</v>
      </c>
      <c r="T132" s="8">
        <f t="shared" si="19"/>
        <v>0</v>
      </c>
      <c r="U132" s="10">
        <f t="shared" si="15"/>
        <v>8.4282488180969284E-2</v>
      </c>
    </row>
    <row r="133" spans="1:21" x14ac:dyDescent="0.3">
      <c r="A133" s="13">
        <v>0.55588501704649107</v>
      </c>
      <c r="B133" s="13">
        <v>0.62465601098011903</v>
      </c>
      <c r="C133" s="13">
        <v>0.44781631229364599</v>
      </c>
      <c r="D133" s="13">
        <v>0.516587306227274</v>
      </c>
      <c r="E133" s="8">
        <f t="shared" ref="E133:E196" si="20">IF(Q133=1,1,IF(R133=1,2,IF(S133=1,3,4)))</f>
        <v>3</v>
      </c>
      <c r="M133" s="10">
        <v>0.20511586697440226</v>
      </c>
      <c r="N133" s="10">
        <v>0.32832783394034881</v>
      </c>
      <c r="O133" s="10">
        <v>8.4526546804315154E-3</v>
      </c>
      <c r="P133" s="10">
        <v>0.12967344415350862</v>
      </c>
      <c r="Q133" s="8">
        <f t="shared" si="16"/>
        <v>0</v>
      </c>
      <c r="R133" s="8">
        <f t="shared" si="17"/>
        <v>0</v>
      </c>
      <c r="S133" s="8">
        <f t="shared" si="18"/>
        <v>1</v>
      </c>
      <c r="T133" s="8">
        <f t="shared" si="19"/>
        <v>0</v>
      </c>
      <c r="U133" s="10">
        <f t="shared" ref="U133:U196" si="21">M133*Q133 + N133*R133 + O133*S133 + P133*T133</f>
        <v>8.4526546804315154E-3</v>
      </c>
    </row>
    <row r="134" spans="1:21" x14ac:dyDescent="0.3">
      <c r="A134" s="13">
        <v>0.51168463065419711</v>
      </c>
      <c r="B134" s="13">
        <v>0.67863504133645536</v>
      </c>
      <c r="C134" s="13">
        <v>0.47240218108190085</v>
      </c>
      <c r="D134" s="13">
        <v>0.48222279347497526</v>
      </c>
      <c r="E134" s="8">
        <f t="shared" si="20"/>
        <v>3</v>
      </c>
      <c r="M134" s="10">
        <v>0.21625223753455072</v>
      </c>
      <c r="N134" s="10">
        <v>0.31640103580362006</v>
      </c>
      <c r="O134" s="10">
        <v>8.6410929673319134E-2</v>
      </c>
      <c r="P134" s="10">
        <v>0.12909288822632642</v>
      </c>
      <c r="Q134" s="8">
        <f t="shared" si="16"/>
        <v>0</v>
      </c>
      <c r="R134" s="8">
        <f t="shared" si="17"/>
        <v>0</v>
      </c>
      <c r="S134" s="8">
        <f t="shared" si="18"/>
        <v>1</v>
      </c>
      <c r="T134" s="8">
        <f t="shared" si="19"/>
        <v>0</v>
      </c>
      <c r="U134" s="10">
        <f t="shared" si="21"/>
        <v>8.6410929673319134E-2</v>
      </c>
    </row>
    <row r="135" spans="1:21" x14ac:dyDescent="0.3">
      <c r="A135" s="13">
        <v>0.43837208689939949</v>
      </c>
      <c r="B135" s="13">
        <v>0.66345945879560786</v>
      </c>
      <c r="C135" s="13">
        <v>0.43837208689939949</v>
      </c>
      <c r="D135" s="13">
        <v>0.60474101395312041</v>
      </c>
      <c r="E135" s="8">
        <f t="shared" si="20"/>
        <v>4</v>
      </c>
      <c r="M135" s="10">
        <v>0.32294216192181163</v>
      </c>
      <c r="N135" s="10">
        <v>0.21309783024878592</v>
      </c>
      <c r="O135" s="10">
        <v>0.14998723368591602</v>
      </c>
      <c r="P135" s="10">
        <v>4.3898082112222618E-2</v>
      </c>
      <c r="Q135" s="8">
        <f t="shared" si="16"/>
        <v>0</v>
      </c>
      <c r="R135" s="8">
        <f t="shared" si="17"/>
        <v>0</v>
      </c>
      <c r="S135" s="8">
        <f t="shared" si="18"/>
        <v>0</v>
      </c>
      <c r="T135" s="8">
        <f t="shared" si="19"/>
        <v>1</v>
      </c>
      <c r="U135" s="10">
        <f t="shared" si="21"/>
        <v>4.3898082112222618E-2</v>
      </c>
    </row>
    <row r="136" spans="1:21" x14ac:dyDescent="0.3">
      <c r="A136" s="13">
        <v>0.51681367552922741</v>
      </c>
      <c r="B136" s="13">
        <v>0.61392610606749654</v>
      </c>
      <c r="C136" s="13">
        <v>0.50710243247540021</v>
      </c>
      <c r="D136" s="13">
        <v>0.50710243247540021</v>
      </c>
      <c r="E136" s="8">
        <f t="shared" si="20"/>
        <v>3</v>
      </c>
      <c r="M136" s="10">
        <v>0.25907402013059722</v>
      </c>
      <c r="N136" s="10">
        <v>0.35244768681991273</v>
      </c>
      <c r="O136" s="10">
        <v>7.9429402211901243E-2</v>
      </c>
      <c r="P136" s="10">
        <v>0.1473847278927711</v>
      </c>
      <c r="Q136" s="8">
        <f t="shared" si="16"/>
        <v>0</v>
      </c>
      <c r="R136" s="8">
        <f t="shared" si="17"/>
        <v>0</v>
      </c>
      <c r="S136" s="8">
        <f t="shared" si="18"/>
        <v>1</v>
      </c>
      <c r="T136" s="8">
        <f t="shared" si="19"/>
        <v>0</v>
      </c>
      <c r="U136" s="10">
        <f t="shared" si="21"/>
        <v>7.9429402211901243E-2</v>
      </c>
    </row>
    <row r="137" spans="1:21" x14ac:dyDescent="0.3">
      <c r="A137" s="13">
        <v>0.35159915023571092</v>
      </c>
      <c r="B137" s="13">
        <v>0.74485200568755472</v>
      </c>
      <c r="C137" s="13">
        <v>0.35159915023571092</v>
      </c>
      <c r="D137" s="13">
        <v>0.6968943403885508</v>
      </c>
      <c r="E137" s="8">
        <f t="shared" si="20"/>
        <v>2</v>
      </c>
      <c r="M137" s="10">
        <v>0.43623230535411134</v>
      </c>
      <c r="N137" s="10">
        <v>7.9653854302123281E-2</v>
      </c>
      <c r="O137" s="10">
        <v>0.30876963883391784</v>
      </c>
      <c r="P137" s="10">
        <v>0.18366698468444811</v>
      </c>
      <c r="Q137" s="8">
        <f t="shared" si="16"/>
        <v>0</v>
      </c>
      <c r="R137" s="8">
        <f t="shared" si="17"/>
        <v>1</v>
      </c>
      <c r="S137" s="8">
        <f t="shared" si="18"/>
        <v>0</v>
      </c>
      <c r="T137" s="8">
        <f t="shared" si="19"/>
        <v>0</v>
      </c>
      <c r="U137" s="10">
        <f t="shared" si="21"/>
        <v>7.9653854302123281E-2</v>
      </c>
    </row>
    <row r="138" spans="1:21" x14ac:dyDescent="0.3">
      <c r="A138" s="13">
        <v>0.61189233788868636</v>
      </c>
      <c r="B138" s="13">
        <v>0.64972042601458724</v>
      </c>
      <c r="C138" s="13">
        <v>0.44166594132212683</v>
      </c>
      <c r="D138" s="13">
        <v>0.44166594132212683</v>
      </c>
      <c r="E138" s="8">
        <f t="shared" si="20"/>
        <v>3</v>
      </c>
      <c r="M138" s="10">
        <v>0.12703927041975757</v>
      </c>
      <c r="N138" s="10">
        <v>0.388870306984967</v>
      </c>
      <c r="O138" s="10">
        <v>0.10000727255896689</v>
      </c>
      <c r="P138" s="10">
        <v>0.20933551710054485</v>
      </c>
      <c r="Q138" s="8">
        <f t="shared" si="16"/>
        <v>0</v>
      </c>
      <c r="R138" s="8">
        <f t="shared" si="17"/>
        <v>0</v>
      </c>
      <c r="S138" s="8">
        <f t="shared" si="18"/>
        <v>1</v>
      </c>
      <c r="T138" s="8">
        <f t="shared" si="19"/>
        <v>0</v>
      </c>
      <c r="U138" s="10">
        <f t="shared" si="21"/>
        <v>0.10000727255896689</v>
      </c>
    </row>
    <row r="139" spans="1:21" x14ac:dyDescent="0.3">
      <c r="A139" s="13">
        <v>0.73493511782676013</v>
      </c>
      <c r="B139" s="13">
        <v>0.73493511782676013</v>
      </c>
      <c r="C139" s="13">
        <v>0.3375372054470035</v>
      </c>
      <c r="D139" s="13">
        <v>0.3375372054470035</v>
      </c>
      <c r="E139" s="8">
        <f t="shared" si="20"/>
        <v>1</v>
      </c>
      <c r="M139" s="10">
        <v>9.6137617916819587E-2</v>
      </c>
      <c r="N139" s="10">
        <v>0.49742997590886506</v>
      </c>
      <c r="O139" s="10">
        <v>0.2971796401988428</v>
      </c>
      <c r="P139" s="10">
        <v>0.37874677679541452</v>
      </c>
      <c r="Q139" s="8">
        <f t="shared" si="16"/>
        <v>1</v>
      </c>
      <c r="R139" s="8">
        <f t="shared" si="17"/>
        <v>0</v>
      </c>
      <c r="S139" s="8">
        <f t="shared" si="18"/>
        <v>0</v>
      </c>
      <c r="T139" s="8">
        <f t="shared" si="19"/>
        <v>0</v>
      </c>
      <c r="U139" s="10">
        <f t="shared" si="21"/>
        <v>9.6137617916819587E-2</v>
      </c>
    </row>
    <row r="140" spans="1:21" x14ac:dyDescent="0.3">
      <c r="A140" s="13">
        <v>0.41766048999132066</v>
      </c>
      <c r="B140" s="13">
        <v>0.68869059660974519</v>
      </c>
      <c r="C140" s="13">
        <v>0.3595826100016582</v>
      </c>
      <c r="D140" s="13">
        <v>0.67901094994480327</v>
      </c>
      <c r="E140" s="8">
        <f t="shared" si="20"/>
        <v>4</v>
      </c>
      <c r="M140" s="10">
        <v>0.3757717135898655</v>
      </c>
      <c r="N140" s="10">
        <v>0.1248203604968032</v>
      </c>
      <c r="O140" s="10">
        <v>0.23436809972501754</v>
      </c>
      <c r="P140" s="10">
        <v>0.11737311286590998</v>
      </c>
      <c r="Q140" s="8">
        <f t="shared" si="16"/>
        <v>0</v>
      </c>
      <c r="R140" s="8">
        <f t="shared" si="17"/>
        <v>0</v>
      </c>
      <c r="S140" s="8">
        <f t="shared" si="18"/>
        <v>0</v>
      </c>
      <c r="T140" s="8">
        <f t="shared" si="19"/>
        <v>1</v>
      </c>
      <c r="U140" s="10">
        <f t="shared" si="21"/>
        <v>0.11737311286590998</v>
      </c>
    </row>
    <row r="141" spans="1:21" x14ac:dyDescent="0.3">
      <c r="A141" s="13">
        <v>0.64971139696930269</v>
      </c>
      <c r="B141" s="13">
        <v>0.65936886380610615</v>
      </c>
      <c r="C141" s="13">
        <v>0.38895979237565464</v>
      </c>
      <c r="D141" s="13">
        <v>0.44690459339646516</v>
      </c>
      <c r="E141" s="8">
        <f t="shared" si="20"/>
        <v>1</v>
      </c>
      <c r="M141" s="10">
        <v>7.7388700345247141E-2</v>
      </c>
      <c r="N141" s="10">
        <v>0.39023905218005622</v>
      </c>
      <c r="O141" s="10">
        <v>0.13437570742411675</v>
      </c>
      <c r="P141" s="10">
        <v>0.23243454879207928</v>
      </c>
      <c r="Q141" s="8">
        <f t="shared" si="16"/>
        <v>1</v>
      </c>
      <c r="R141" s="8">
        <f t="shared" si="17"/>
        <v>0</v>
      </c>
      <c r="S141" s="8">
        <f t="shared" si="18"/>
        <v>0</v>
      </c>
      <c r="T141" s="8">
        <f t="shared" si="19"/>
        <v>0</v>
      </c>
      <c r="U141" s="10">
        <f t="shared" si="21"/>
        <v>7.7388700345247141E-2</v>
      </c>
    </row>
    <row r="142" spans="1:21" x14ac:dyDescent="0.3">
      <c r="A142" s="13">
        <v>0.56559538405812693</v>
      </c>
      <c r="B142" s="13">
        <v>0.58516819900562367</v>
      </c>
      <c r="C142" s="13">
        <v>0.47751771679439159</v>
      </c>
      <c r="D142" s="13">
        <v>0.51666334668938507</v>
      </c>
      <c r="E142" s="8">
        <f t="shared" si="20"/>
        <v>3</v>
      </c>
      <c r="M142" s="10">
        <v>0.23350615418441673</v>
      </c>
      <c r="N142" s="10">
        <v>0.36847124193129877</v>
      </c>
      <c r="O142" s="10">
        <v>5.4846973476866484E-2</v>
      </c>
      <c r="P142" s="10">
        <v>0.16494985148500269</v>
      </c>
      <c r="Q142" s="8">
        <f t="shared" si="16"/>
        <v>0</v>
      </c>
      <c r="R142" s="8">
        <f t="shared" si="17"/>
        <v>0</v>
      </c>
      <c r="S142" s="8">
        <f t="shared" si="18"/>
        <v>1</v>
      </c>
      <c r="T142" s="8">
        <f t="shared" si="19"/>
        <v>0</v>
      </c>
      <c r="U142" s="10">
        <f t="shared" si="21"/>
        <v>5.4846973476866484E-2</v>
      </c>
    </row>
    <row r="143" spans="1:21" x14ac:dyDescent="0.3">
      <c r="A143" s="13">
        <v>0.55858861618505318</v>
      </c>
      <c r="B143" s="13">
        <v>0.60826073740321374</v>
      </c>
      <c r="C143" s="13">
        <v>0.4791132222359975</v>
      </c>
      <c r="D143" s="13">
        <v>0.49898207072326139</v>
      </c>
      <c r="E143" s="8">
        <f t="shared" si="20"/>
        <v>3</v>
      </c>
      <c r="M143" s="10">
        <v>0.21819150312195534</v>
      </c>
      <c r="N143" s="10">
        <v>0.36202368435452714</v>
      </c>
      <c r="O143" s="10">
        <v>4.7298440188426764E-2</v>
      </c>
      <c r="P143" s="10">
        <v>0.15887606425804615</v>
      </c>
      <c r="Q143" s="8">
        <f t="shared" si="16"/>
        <v>0</v>
      </c>
      <c r="R143" s="8">
        <f t="shared" si="17"/>
        <v>0</v>
      </c>
      <c r="S143" s="8">
        <f t="shared" si="18"/>
        <v>1</v>
      </c>
      <c r="T143" s="8">
        <f t="shared" si="19"/>
        <v>0</v>
      </c>
      <c r="U143" s="10">
        <f t="shared" si="21"/>
        <v>4.7298440188426764E-2</v>
      </c>
    </row>
    <row r="144" spans="1:21" x14ac:dyDescent="0.3">
      <c r="A144" s="13">
        <v>0.55619518050994132</v>
      </c>
      <c r="B144" s="13">
        <v>0.61607223712911718</v>
      </c>
      <c r="C144" s="13">
        <v>0.48633861445423432</v>
      </c>
      <c r="D144" s="13">
        <v>0.48633861445423432</v>
      </c>
      <c r="E144" s="8">
        <f t="shared" si="20"/>
        <v>3</v>
      </c>
      <c r="M144" s="10">
        <v>0.21504976857678151</v>
      </c>
      <c r="N144" s="10">
        <v>0.36732827497613285</v>
      </c>
      <c r="O144" s="10">
        <v>5.8033874082743846E-2</v>
      </c>
      <c r="P144" s="10">
        <v>0.1649923870565331</v>
      </c>
      <c r="Q144" s="8">
        <f t="shared" si="16"/>
        <v>0</v>
      </c>
      <c r="R144" s="8">
        <f t="shared" si="17"/>
        <v>0</v>
      </c>
      <c r="S144" s="8">
        <f t="shared" si="18"/>
        <v>1</v>
      </c>
      <c r="T144" s="8">
        <f t="shared" si="19"/>
        <v>0</v>
      </c>
      <c r="U144" s="10">
        <f t="shared" si="21"/>
        <v>5.8033874082743846E-2</v>
      </c>
    </row>
    <row r="145" spans="1:21" x14ac:dyDescent="0.3">
      <c r="A145" s="13">
        <v>0.51123806267270133</v>
      </c>
      <c r="B145" s="13">
        <v>0.61123045852942604</v>
      </c>
      <c r="C145" s="13">
        <v>0.51123806267270133</v>
      </c>
      <c r="D145" s="13">
        <v>0.51123806267270133</v>
      </c>
      <c r="E145" s="8">
        <f t="shared" si="20"/>
        <v>3</v>
      </c>
      <c r="M145" s="10">
        <v>0.26749706731639789</v>
      </c>
      <c r="N145" s="10">
        <v>0.35220453773178123</v>
      </c>
      <c r="O145" s="10">
        <v>8.5536300816253186E-2</v>
      </c>
      <c r="P145" s="10">
        <v>0.1472709575665373</v>
      </c>
      <c r="Q145" s="8">
        <f t="shared" si="16"/>
        <v>0</v>
      </c>
      <c r="R145" s="8">
        <f t="shared" si="17"/>
        <v>0</v>
      </c>
      <c r="S145" s="8">
        <f t="shared" si="18"/>
        <v>1</v>
      </c>
      <c r="T145" s="8">
        <f t="shared" si="19"/>
        <v>0</v>
      </c>
      <c r="U145" s="10">
        <f t="shared" si="21"/>
        <v>8.5536300816253186E-2</v>
      </c>
    </row>
    <row r="146" spans="1:21" x14ac:dyDescent="0.3">
      <c r="A146" s="13">
        <v>0.50126647803649482</v>
      </c>
      <c r="B146" s="13">
        <v>0.63115387426650482</v>
      </c>
      <c r="C146" s="13">
        <v>0.50126647803649482</v>
      </c>
      <c r="D146" s="13">
        <v>0.51125781620803423</v>
      </c>
      <c r="E146" s="8">
        <f t="shared" si="20"/>
        <v>3</v>
      </c>
      <c r="M146" s="10">
        <v>0.26146907198265879</v>
      </c>
      <c r="N146" s="10">
        <v>0.33263858386621126</v>
      </c>
      <c r="O146" s="10">
        <v>8.2941016463120104E-2</v>
      </c>
      <c r="P146" s="10">
        <v>0.12981523831513581</v>
      </c>
      <c r="Q146" s="8">
        <f t="shared" si="16"/>
        <v>0</v>
      </c>
      <c r="R146" s="8">
        <f t="shared" si="17"/>
        <v>0</v>
      </c>
      <c r="S146" s="8">
        <f t="shared" si="18"/>
        <v>1</v>
      </c>
      <c r="T146" s="8">
        <f t="shared" si="19"/>
        <v>0</v>
      </c>
      <c r="U146" s="10">
        <f t="shared" si="21"/>
        <v>8.2941016463120104E-2</v>
      </c>
    </row>
    <row r="147" spans="1:21" x14ac:dyDescent="0.3">
      <c r="A147" s="13">
        <v>0.41232359346672498</v>
      </c>
      <c r="B147" s="13">
        <v>0.70971375707510109</v>
      </c>
      <c r="C147" s="13">
        <v>0.41232359346672498</v>
      </c>
      <c r="D147" s="13">
        <v>0.6105837025389762</v>
      </c>
      <c r="E147" s="8">
        <f t="shared" si="20"/>
        <v>4</v>
      </c>
      <c r="M147" s="10">
        <v>0.33738505180742578</v>
      </c>
      <c r="N147" s="10">
        <v>0.16122539447222739</v>
      </c>
      <c r="O147" s="10">
        <v>0.19205280664158333</v>
      </c>
      <c r="P147" s="10">
        <v>6.818538123484176E-2</v>
      </c>
      <c r="Q147" s="8">
        <f t="shared" si="16"/>
        <v>0</v>
      </c>
      <c r="R147" s="8">
        <f t="shared" si="17"/>
        <v>0</v>
      </c>
      <c r="S147" s="8">
        <f t="shared" si="18"/>
        <v>0</v>
      </c>
      <c r="T147" s="8">
        <f t="shared" si="19"/>
        <v>1</v>
      </c>
      <c r="U147" s="10">
        <f t="shared" si="21"/>
        <v>6.818538123484176E-2</v>
      </c>
    </row>
    <row r="148" spans="1:21" x14ac:dyDescent="0.3">
      <c r="A148" s="13">
        <v>0.53131055257724646</v>
      </c>
      <c r="B148" s="13">
        <v>0.64952517000848442</v>
      </c>
      <c r="C148" s="13">
        <v>0.42294715326527921</v>
      </c>
      <c r="D148" s="13">
        <v>0.54116177069651572</v>
      </c>
      <c r="E148" s="8">
        <f t="shared" si="20"/>
        <v>3</v>
      </c>
      <c r="M148" s="10">
        <v>0.21678083436531798</v>
      </c>
      <c r="N148" s="10">
        <v>0.27895627254397254</v>
      </c>
      <c r="O148" s="10">
        <v>4.4492087894625602E-2</v>
      </c>
      <c r="P148" s="10">
        <v>8.4264505727682598E-2</v>
      </c>
      <c r="Q148" s="8">
        <f t="shared" si="16"/>
        <v>0</v>
      </c>
      <c r="R148" s="8">
        <f t="shared" si="17"/>
        <v>0</v>
      </c>
      <c r="S148" s="8">
        <f t="shared" si="18"/>
        <v>1</v>
      </c>
      <c r="T148" s="8">
        <f t="shared" si="19"/>
        <v>0</v>
      </c>
      <c r="U148" s="10">
        <f t="shared" si="21"/>
        <v>4.4492087894625602E-2</v>
      </c>
    </row>
    <row r="149" spans="1:21" x14ac:dyDescent="0.3">
      <c r="A149" s="13">
        <v>0.61117119792342611</v>
      </c>
      <c r="B149" s="13">
        <v>0.61117119792342611</v>
      </c>
      <c r="C149" s="13">
        <v>0.43132711083572089</v>
      </c>
      <c r="D149" s="13">
        <v>0.49127513986495552</v>
      </c>
      <c r="E149" s="8">
        <f t="shared" si="20"/>
        <v>3</v>
      </c>
      <c r="M149" s="10">
        <v>0.16373995497469768</v>
      </c>
      <c r="N149" s="10">
        <v>0.37272033812760413</v>
      </c>
      <c r="O149" s="10">
        <v>6.4266720809246183E-2</v>
      </c>
      <c r="P149" s="10">
        <v>0.18606567166786211</v>
      </c>
      <c r="Q149" s="8">
        <f t="shared" si="16"/>
        <v>0</v>
      </c>
      <c r="R149" s="8">
        <f t="shared" si="17"/>
        <v>0</v>
      </c>
      <c r="S149" s="8">
        <f t="shared" si="18"/>
        <v>1</v>
      </c>
      <c r="T149" s="8">
        <f t="shared" si="19"/>
        <v>0</v>
      </c>
      <c r="U149" s="10">
        <f t="shared" si="21"/>
        <v>6.4266720809246183E-2</v>
      </c>
    </row>
    <row r="150" spans="1:21" x14ac:dyDescent="0.3">
      <c r="A150" s="13">
        <v>0.45157737717315299</v>
      </c>
      <c r="B150" s="13">
        <v>0.64081466009207688</v>
      </c>
      <c r="C150" s="13">
        <v>0.44161752017742056</v>
      </c>
      <c r="D150" s="13">
        <v>0.61093508910487826</v>
      </c>
      <c r="E150" s="8">
        <f t="shared" si="20"/>
        <v>4</v>
      </c>
      <c r="M150" s="10">
        <v>0.32237982920875236</v>
      </c>
      <c r="N150" s="10">
        <v>0.23092072231771774</v>
      </c>
      <c r="O150" s="10">
        <v>0.13916637258660236</v>
      </c>
      <c r="P150" s="10">
        <v>5.3445276863889543E-2</v>
      </c>
      <c r="Q150" s="8">
        <f t="shared" si="16"/>
        <v>0</v>
      </c>
      <c r="R150" s="8">
        <f t="shared" si="17"/>
        <v>0</v>
      </c>
      <c r="S150" s="8">
        <f t="shared" si="18"/>
        <v>0</v>
      </c>
      <c r="T150" s="8">
        <f t="shared" si="19"/>
        <v>1</v>
      </c>
      <c r="U150" s="10">
        <f t="shared" si="21"/>
        <v>5.3445276863889543E-2</v>
      </c>
    </row>
    <row r="151" spans="1:21" x14ac:dyDescent="0.3">
      <c r="A151" s="13">
        <v>0.40649094611463926</v>
      </c>
      <c r="B151" s="13">
        <v>0.71983788171552709</v>
      </c>
      <c r="C151" s="13">
        <v>0.40649094611463926</v>
      </c>
      <c r="D151" s="13">
        <v>0.61212487260272164</v>
      </c>
      <c r="E151" s="8">
        <f t="shared" si="20"/>
        <v>4</v>
      </c>
      <c r="M151" s="10">
        <v>0.34208710598753955</v>
      </c>
      <c r="N151" s="10">
        <v>0.15037814102607777</v>
      </c>
      <c r="O151" s="10">
        <v>0.20266096445238882</v>
      </c>
      <c r="P151" s="10">
        <v>7.8849821159207509E-2</v>
      </c>
      <c r="Q151" s="8">
        <f t="shared" si="16"/>
        <v>0</v>
      </c>
      <c r="R151" s="8">
        <f t="shared" si="17"/>
        <v>0</v>
      </c>
      <c r="S151" s="8">
        <f t="shared" si="18"/>
        <v>0</v>
      </c>
      <c r="T151" s="8">
        <f t="shared" si="19"/>
        <v>1</v>
      </c>
      <c r="U151" s="10">
        <f t="shared" si="21"/>
        <v>7.8849821159207509E-2</v>
      </c>
    </row>
    <row r="152" spans="1:21" x14ac:dyDescent="0.3">
      <c r="A152" s="13">
        <v>0.60954910204710266</v>
      </c>
      <c r="B152" s="13">
        <v>0.67797451309664147</v>
      </c>
      <c r="C152" s="13">
        <v>0.35539757529167071</v>
      </c>
      <c r="D152" s="13">
        <v>0.50202345611211241</v>
      </c>
      <c r="E152" s="8">
        <f t="shared" si="20"/>
        <v>3</v>
      </c>
      <c r="M152" s="10">
        <v>0.12077668285789438</v>
      </c>
      <c r="N152" s="10">
        <v>0.31613304017209409</v>
      </c>
      <c r="O152" s="10">
        <v>0.11527450143942404</v>
      </c>
      <c r="P152" s="10">
        <v>0.17589572406588314</v>
      </c>
      <c r="Q152" s="8">
        <f t="shared" si="16"/>
        <v>0</v>
      </c>
      <c r="R152" s="8">
        <f t="shared" si="17"/>
        <v>0</v>
      </c>
      <c r="S152" s="8">
        <f t="shared" si="18"/>
        <v>1</v>
      </c>
      <c r="T152" s="8">
        <f t="shared" si="19"/>
        <v>0</v>
      </c>
      <c r="U152" s="10">
        <f t="shared" si="21"/>
        <v>0.11527450143942404</v>
      </c>
    </row>
    <row r="153" spans="1:21" x14ac:dyDescent="0.3">
      <c r="A153" s="13">
        <v>0.44937819383258382</v>
      </c>
      <c r="B153" s="13">
        <v>0.67769056634673674</v>
      </c>
      <c r="C153" s="13">
        <v>0.43945156894066417</v>
      </c>
      <c r="D153" s="13">
        <v>0.57842431742753975</v>
      </c>
      <c r="E153" s="8">
        <f t="shared" si="20"/>
        <v>4</v>
      </c>
      <c r="M153" s="10">
        <v>0.29742398612250182</v>
      </c>
      <c r="N153" s="10">
        <v>0.22003734760990035</v>
      </c>
      <c r="O153" s="10">
        <v>0.13271095044764791</v>
      </c>
      <c r="P153" s="10">
        <v>3.3301084135359961E-2</v>
      </c>
      <c r="Q153" s="8">
        <f t="shared" ref="Q153:Q216" si="22">IF(M153 &lt; SMALL($M153:$P153, 2), 1, 0)</f>
        <v>0</v>
      </c>
      <c r="R153" s="8">
        <f t="shared" ref="R153:R216" si="23">IF(N153 &lt; SMALL($M153:$P153, 2), 1, 0)</f>
        <v>0</v>
      </c>
      <c r="S153" s="8">
        <f t="shared" ref="S153:S216" si="24">IF(O153 &lt; SMALL($M153:$P153, 2), 1, 0)</f>
        <v>0</v>
      </c>
      <c r="T153" s="8">
        <f t="shared" ref="T153:T216" si="25">IF(P153 &lt; SMALL($M153:$P153, 2), 1, 0)</f>
        <v>1</v>
      </c>
      <c r="U153" s="10">
        <f t="shared" si="21"/>
        <v>3.3301084135359961E-2</v>
      </c>
    </row>
    <row r="154" spans="1:21" x14ac:dyDescent="0.3">
      <c r="A154" s="13">
        <v>0.55605440373105486</v>
      </c>
      <c r="B154" s="13">
        <v>0.62541825106066307</v>
      </c>
      <c r="C154" s="13">
        <v>0.38759934593058015</v>
      </c>
      <c r="D154" s="13">
        <v>0.57587264582522779</v>
      </c>
      <c r="E154" s="8">
        <f t="shared" si="20"/>
        <v>3</v>
      </c>
      <c r="M154" s="10">
        <v>0.22636712489008412</v>
      </c>
      <c r="N154" s="10">
        <v>0.27720619906027405</v>
      </c>
      <c r="O154" s="10">
        <v>7.6239012389613836E-2</v>
      </c>
      <c r="P154" s="10">
        <v>0.10614342160896834</v>
      </c>
      <c r="Q154" s="8">
        <f t="shared" si="22"/>
        <v>0</v>
      </c>
      <c r="R154" s="8">
        <f t="shared" si="23"/>
        <v>0</v>
      </c>
      <c r="S154" s="8">
        <f t="shared" si="24"/>
        <v>1</v>
      </c>
      <c r="T154" s="8">
        <f t="shared" si="25"/>
        <v>0</v>
      </c>
      <c r="U154" s="10">
        <f t="shared" si="21"/>
        <v>7.6239012389613836E-2</v>
      </c>
    </row>
    <row r="155" spans="1:21" x14ac:dyDescent="0.3">
      <c r="A155" s="13">
        <v>0.5091294722942763</v>
      </c>
      <c r="B155" s="13">
        <v>0.62741320760746622</v>
      </c>
      <c r="C155" s="13">
        <v>0.38098875903832147</v>
      </c>
      <c r="D155" s="13">
        <v>0.62741320760746622</v>
      </c>
      <c r="E155" s="8">
        <f t="shared" si="20"/>
        <v>4</v>
      </c>
      <c r="M155" s="10">
        <v>0.28994379497168693</v>
      </c>
      <c r="N155" s="10">
        <v>0.22952124190640885</v>
      </c>
      <c r="O155" s="10">
        <v>0.13084777490054969</v>
      </c>
      <c r="P155" s="10">
        <v>8.2071720549295818E-2</v>
      </c>
      <c r="Q155" s="8">
        <f t="shared" si="22"/>
        <v>0</v>
      </c>
      <c r="R155" s="8">
        <f t="shared" si="23"/>
        <v>0</v>
      </c>
      <c r="S155" s="8">
        <f t="shared" si="24"/>
        <v>0</v>
      </c>
      <c r="T155" s="8">
        <f t="shared" si="25"/>
        <v>1</v>
      </c>
      <c r="U155" s="10">
        <f t="shared" si="21"/>
        <v>8.2071720549295818E-2</v>
      </c>
    </row>
    <row r="156" spans="1:21" x14ac:dyDescent="0.3">
      <c r="A156" s="13">
        <v>0.53623616163688181</v>
      </c>
      <c r="B156" s="13">
        <v>0.60474101395312041</v>
      </c>
      <c r="C156" s="13">
        <v>0.43837208689939949</v>
      </c>
      <c r="D156" s="13">
        <v>0.56559538405812693</v>
      </c>
      <c r="E156" s="8">
        <f t="shared" si="20"/>
        <v>3</v>
      </c>
      <c r="M156" s="10">
        <v>0.25018907185753375</v>
      </c>
      <c r="N156" s="10">
        <v>0.30296029968808852</v>
      </c>
      <c r="O156" s="10">
        <v>5.281907109083752E-2</v>
      </c>
      <c r="P156" s="10">
        <v>0.10497803098477911</v>
      </c>
      <c r="Q156" s="8">
        <f t="shared" si="22"/>
        <v>0</v>
      </c>
      <c r="R156" s="8">
        <f t="shared" si="23"/>
        <v>0</v>
      </c>
      <c r="S156" s="8">
        <f t="shared" si="24"/>
        <v>1</v>
      </c>
      <c r="T156" s="8">
        <f t="shared" si="25"/>
        <v>0</v>
      </c>
      <c r="U156" s="10">
        <f t="shared" si="21"/>
        <v>5.281907109083752E-2</v>
      </c>
    </row>
    <row r="157" spans="1:21" x14ac:dyDescent="0.3">
      <c r="A157" s="13">
        <v>0.57295650565261091</v>
      </c>
      <c r="B157" s="13">
        <v>0.62191696434024868</v>
      </c>
      <c r="C157" s="13">
        <v>0.47503558827733383</v>
      </c>
      <c r="D157" s="13">
        <v>0.47503558827733383</v>
      </c>
      <c r="E157" s="8">
        <f t="shared" si="20"/>
        <v>3</v>
      </c>
      <c r="M157" s="10">
        <v>0.19233263570496859</v>
      </c>
      <c r="N157" s="10">
        <v>0.373358316579879</v>
      </c>
      <c r="O157" s="10">
        <v>5.9821155751120875E-2</v>
      </c>
      <c r="P157" s="10">
        <v>0.17523704591128089</v>
      </c>
      <c r="Q157" s="8">
        <f t="shared" si="22"/>
        <v>0</v>
      </c>
      <c r="R157" s="8">
        <f t="shared" si="23"/>
        <v>0</v>
      </c>
      <c r="S157" s="8">
        <f t="shared" si="24"/>
        <v>1</v>
      </c>
      <c r="T157" s="8">
        <f t="shared" si="25"/>
        <v>0</v>
      </c>
      <c r="U157" s="10">
        <f t="shared" si="21"/>
        <v>5.9821155751120875E-2</v>
      </c>
    </row>
    <row r="158" spans="1:21" x14ac:dyDescent="0.3">
      <c r="A158" s="13">
        <v>0.62043069894726444</v>
      </c>
      <c r="B158" s="13">
        <v>0.66005165768156249</v>
      </c>
      <c r="C158" s="13">
        <v>0.43223114495935022</v>
      </c>
      <c r="D158" s="13">
        <v>0.43223114495935022</v>
      </c>
      <c r="E158" s="8">
        <f t="shared" si="20"/>
        <v>1</v>
      </c>
      <c r="M158" s="10">
        <v>0.10902070963465353</v>
      </c>
      <c r="N158" s="10">
        <v>0.39290140652165378</v>
      </c>
      <c r="O158" s="10">
        <v>0.11534020741824463</v>
      </c>
      <c r="P158" s="10">
        <v>0.21981246810633806</v>
      </c>
      <c r="Q158" s="8">
        <f t="shared" si="22"/>
        <v>1</v>
      </c>
      <c r="R158" s="8">
        <f t="shared" si="23"/>
        <v>0</v>
      </c>
      <c r="S158" s="8">
        <f t="shared" si="24"/>
        <v>0</v>
      </c>
      <c r="T158" s="8">
        <f t="shared" si="25"/>
        <v>0</v>
      </c>
      <c r="U158" s="10">
        <f t="shared" si="21"/>
        <v>0.10902070963465353</v>
      </c>
    </row>
    <row r="159" spans="1:21" x14ac:dyDescent="0.3">
      <c r="A159" s="13">
        <v>0.62177084279621508</v>
      </c>
      <c r="B159" s="13">
        <v>0.63183374646202017</v>
      </c>
      <c r="C159" s="13">
        <v>0.38026115481692002</v>
      </c>
      <c r="D159" s="13">
        <v>0.51107890247237198</v>
      </c>
      <c r="E159" s="8">
        <f t="shared" si="20"/>
        <v>3</v>
      </c>
      <c r="M159" s="10">
        <v>0.14379318223327095</v>
      </c>
      <c r="N159" s="10">
        <v>0.34426654689489239</v>
      </c>
      <c r="O159" s="10">
        <v>8.9686108847422438E-2</v>
      </c>
      <c r="P159" s="10">
        <v>0.18117179051788398</v>
      </c>
      <c r="Q159" s="8">
        <f t="shared" si="22"/>
        <v>0</v>
      </c>
      <c r="R159" s="8">
        <f t="shared" si="23"/>
        <v>0</v>
      </c>
      <c r="S159" s="8">
        <f t="shared" si="24"/>
        <v>1</v>
      </c>
      <c r="T159" s="8">
        <f t="shared" si="25"/>
        <v>0</v>
      </c>
      <c r="U159" s="10">
        <f t="shared" si="21"/>
        <v>8.9686108847422438E-2</v>
      </c>
    </row>
    <row r="160" spans="1:21" x14ac:dyDescent="0.3">
      <c r="A160" s="13">
        <v>0.52120163315164614</v>
      </c>
      <c r="B160" s="13">
        <v>0.64147786103352855</v>
      </c>
      <c r="C160" s="13">
        <v>0.46106351921070637</v>
      </c>
      <c r="D160" s="13">
        <v>0.52120163315164614</v>
      </c>
      <c r="E160" s="8">
        <f t="shared" si="20"/>
        <v>3</v>
      </c>
      <c r="M160" s="10">
        <v>0.2291768307763585</v>
      </c>
      <c r="N160" s="10">
        <v>0.30724775359568079</v>
      </c>
      <c r="O160" s="10">
        <v>4.4246505985374329E-2</v>
      </c>
      <c r="P160" s="10">
        <v>0.10428706094969009</v>
      </c>
      <c r="Q160" s="8">
        <f t="shared" si="22"/>
        <v>0</v>
      </c>
      <c r="R160" s="8">
        <f t="shared" si="23"/>
        <v>0</v>
      </c>
      <c r="S160" s="8">
        <f t="shared" si="24"/>
        <v>1</v>
      </c>
      <c r="T160" s="8">
        <f t="shared" si="25"/>
        <v>0</v>
      </c>
      <c r="U160" s="10">
        <f t="shared" si="21"/>
        <v>4.4246505985374329E-2</v>
      </c>
    </row>
    <row r="161" spans="1:21" x14ac:dyDescent="0.3">
      <c r="A161" s="13">
        <v>0.81835466674217772</v>
      </c>
      <c r="B161" s="13">
        <v>0.81835466674217772</v>
      </c>
      <c r="C161" s="13">
        <v>0.2541176565315873</v>
      </c>
      <c r="D161" s="13">
        <v>0.2541176565315873</v>
      </c>
      <c r="E161" s="8">
        <f t="shared" si="20"/>
        <v>1</v>
      </c>
      <c r="M161" s="10">
        <v>0.2564630554538207</v>
      </c>
      <c r="N161" s="10">
        <v>0.61263652099504406</v>
      </c>
      <c r="O161" s="10">
        <v>0.46059838768439187</v>
      </c>
      <c r="P161" s="10">
        <v>0.52922690807771355</v>
      </c>
      <c r="Q161" s="8">
        <f t="shared" si="22"/>
        <v>1</v>
      </c>
      <c r="R161" s="8">
        <f t="shared" si="23"/>
        <v>0</v>
      </c>
      <c r="S161" s="8">
        <f t="shared" si="24"/>
        <v>0</v>
      </c>
      <c r="T161" s="8">
        <f t="shared" si="25"/>
        <v>0</v>
      </c>
      <c r="U161" s="10">
        <f t="shared" si="21"/>
        <v>0.2564630554538207</v>
      </c>
    </row>
    <row r="162" spans="1:21" x14ac:dyDescent="0.3">
      <c r="A162" s="13">
        <v>0.52047707756199668</v>
      </c>
      <c r="B162" s="13">
        <v>0.6885739743607695</v>
      </c>
      <c r="C162" s="13">
        <v>0.35238018076322247</v>
      </c>
      <c r="D162" s="13">
        <v>0.58351341386153721</v>
      </c>
      <c r="E162" s="8">
        <f t="shared" si="20"/>
        <v>4</v>
      </c>
      <c r="M162" s="10">
        <v>0.23639043921344238</v>
      </c>
      <c r="N162" s="10">
        <v>0.20535325197005441</v>
      </c>
      <c r="O162" s="10">
        <v>0.13073433782321847</v>
      </c>
      <c r="P162" s="10">
        <v>8.172584754905643E-2</v>
      </c>
      <c r="Q162" s="8">
        <f t="shared" si="22"/>
        <v>0</v>
      </c>
      <c r="R162" s="8">
        <f t="shared" si="23"/>
        <v>0</v>
      </c>
      <c r="S162" s="8">
        <f t="shared" si="24"/>
        <v>0</v>
      </c>
      <c r="T162" s="8">
        <f t="shared" si="25"/>
        <v>1</v>
      </c>
      <c r="U162" s="10">
        <f t="shared" si="21"/>
        <v>8.172584754905643E-2</v>
      </c>
    </row>
    <row r="163" spans="1:21" x14ac:dyDescent="0.3">
      <c r="A163" s="13">
        <v>0.73018758153476715</v>
      </c>
      <c r="B163" s="13">
        <v>0.73018758153476715</v>
      </c>
      <c r="C163" s="13">
        <v>0.30508857901885267</v>
      </c>
      <c r="D163" s="13">
        <v>0.3794809044591374</v>
      </c>
      <c r="E163" s="8">
        <f t="shared" si="20"/>
        <v>1</v>
      </c>
      <c r="M163" s="10">
        <v>8.2685779680154212E-2</v>
      </c>
      <c r="N163" s="10">
        <v>0.46462914686873935</v>
      </c>
      <c r="O163" s="10">
        <v>0.28235296790413483</v>
      </c>
      <c r="P163" s="10">
        <v>0.35652188407945645</v>
      </c>
      <c r="Q163" s="8">
        <f t="shared" si="22"/>
        <v>1</v>
      </c>
      <c r="R163" s="8">
        <f t="shared" si="23"/>
        <v>0</v>
      </c>
      <c r="S163" s="8">
        <f t="shared" si="24"/>
        <v>0</v>
      </c>
      <c r="T163" s="8">
        <f t="shared" si="25"/>
        <v>0</v>
      </c>
      <c r="U163" s="10">
        <f t="shared" si="21"/>
        <v>8.2685779680154212E-2</v>
      </c>
    </row>
    <row r="164" spans="1:21" x14ac:dyDescent="0.3">
      <c r="A164" s="13">
        <v>0.53894772896608567</v>
      </c>
      <c r="B164" s="13">
        <v>0.72333430735202575</v>
      </c>
      <c r="C164" s="13">
        <v>0.37625368921378899</v>
      </c>
      <c r="D164" s="13">
        <v>0.50640892101562685</v>
      </c>
      <c r="E164" s="8">
        <f t="shared" si="20"/>
        <v>3</v>
      </c>
      <c r="M164" s="10">
        <v>0.17049480120917471</v>
      </c>
      <c r="N164" s="10">
        <v>0.25716482315674394</v>
      </c>
      <c r="O164" s="10">
        <v>0.12015103531719011</v>
      </c>
      <c r="P164" s="10">
        <v>0.12384162253286754</v>
      </c>
      <c r="Q164" s="8">
        <f t="shared" si="22"/>
        <v>0</v>
      </c>
      <c r="R164" s="8">
        <f t="shared" si="23"/>
        <v>0</v>
      </c>
      <c r="S164" s="8">
        <f t="shared" si="24"/>
        <v>1</v>
      </c>
      <c r="T164" s="8">
        <f t="shared" si="25"/>
        <v>0</v>
      </c>
      <c r="U164" s="10">
        <f t="shared" si="21"/>
        <v>0.12015103531719011</v>
      </c>
    </row>
    <row r="165" spans="1:21" x14ac:dyDescent="0.3">
      <c r="A165" s="13">
        <v>0.45253656903842654</v>
      </c>
      <c r="B165" s="13">
        <v>0.70093535997577761</v>
      </c>
      <c r="C165" s="13">
        <v>0.45253656903842654</v>
      </c>
      <c r="D165" s="13">
        <v>0.53893614849489668</v>
      </c>
      <c r="E165" s="8">
        <f t="shared" si="20"/>
        <v>4</v>
      </c>
      <c r="M165" s="10">
        <v>0.27622082839784173</v>
      </c>
      <c r="N165" s="10">
        <v>0.24045868819265115</v>
      </c>
      <c r="O165" s="10">
        <v>0.13088039031903051</v>
      </c>
      <c r="P165" s="10">
        <v>6.9120199399667265E-2</v>
      </c>
      <c r="Q165" s="8">
        <f t="shared" si="22"/>
        <v>0</v>
      </c>
      <c r="R165" s="8">
        <f t="shared" si="23"/>
        <v>0</v>
      </c>
      <c r="S165" s="8">
        <f t="shared" si="24"/>
        <v>0</v>
      </c>
      <c r="T165" s="8">
        <f t="shared" si="25"/>
        <v>1</v>
      </c>
      <c r="U165" s="10">
        <f t="shared" si="21"/>
        <v>6.9120199399667265E-2</v>
      </c>
    </row>
    <row r="166" spans="1:21" x14ac:dyDescent="0.3">
      <c r="A166" s="13">
        <v>0.54718338107937814</v>
      </c>
      <c r="B166" s="13">
        <v>0.65665557550433618</v>
      </c>
      <c r="C166" s="13">
        <v>0.43771118665441877</v>
      </c>
      <c r="D166" s="13">
        <v>0.50339450330939417</v>
      </c>
      <c r="E166" s="8">
        <f t="shared" si="20"/>
        <v>3</v>
      </c>
      <c r="M166" s="10">
        <v>0.1877137454201124</v>
      </c>
      <c r="N166" s="10">
        <v>0.31122297698682538</v>
      </c>
      <c r="O166" s="10">
        <v>3.798361065597692E-2</v>
      </c>
      <c r="P166" s="10">
        <v>0.12049719696253744</v>
      </c>
      <c r="Q166" s="8">
        <f t="shared" si="22"/>
        <v>0</v>
      </c>
      <c r="R166" s="8">
        <f t="shared" si="23"/>
        <v>0</v>
      </c>
      <c r="S166" s="8">
        <f t="shared" si="24"/>
        <v>1</v>
      </c>
      <c r="T166" s="8">
        <f t="shared" si="25"/>
        <v>0</v>
      </c>
      <c r="U166" s="10">
        <f t="shared" si="21"/>
        <v>3.798361065597692E-2</v>
      </c>
    </row>
    <row r="167" spans="1:21" x14ac:dyDescent="0.3">
      <c r="A167" s="13">
        <v>0.50328037070008946</v>
      </c>
      <c r="B167" s="13">
        <v>0.70101511632084357</v>
      </c>
      <c r="C167" s="13">
        <v>0.45933931611769874</v>
      </c>
      <c r="D167" s="13">
        <v>0.4813098434088941</v>
      </c>
      <c r="E167" s="8">
        <f t="shared" si="20"/>
        <v>3</v>
      </c>
      <c r="M167" s="10">
        <v>0.21365468996916934</v>
      </c>
      <c r="N167" s="10">
        <v>0.29907322322444696</v>
      </c>
      <c r="O167" s="10">
        <v>0.10309348377720275</v>
      </c>
      <c r="P167" s="10">
        <v>0.12412213003839954</v>
      </c>
      <c r="Q167" s="8">
        <f t="shared" si="22"/>
        <v>0</v>
      </c>
      <c r="R167" s="8">
        <f t="shared" si="23"/>
        <v>0</v>
      </c>
      <c r="S167" s="8">
        <f t="shared" si="24"/>
        <v>1</v>
      </c>
      <c r="T167" s="8">
        <f t="shared" si="25"/>
        <v>0</v>
      </c>
      <c r="U167" s="10">
        <f t="shared" si="21"/>
        <v>0.10309348377720275</v>
      </c>
    </row>
    <row r="168" spans="1:21" x14ac:dyDescent="0.3">
      <c r="A168" s="13">
        <v>0.54721188946334287</v>
      </c>
      <c r="B168" s="13">
        <v>0.61306625642210621</v>
      </c>
      <c r="C168" s="13">
        <v>0.49233325033103909</v>
      </c>
      <c r="D168" s="13">
        <v>0.49233325033103909</v>
      </c>
      <c r="E168" s="8">
        <f t="shared" si="20"/>
        <v>3</v>
      </c>
      <c r="M168" s="10">
        <v>0.22720760377141713</v>
      </c>
      <c r="N168" s="10">
        <v>0.36463724134002307</v>
      </c>
      <c r="O168" s="10">
        <v>6.0983180052726037E-2</v>
      </c>
      <c r="P168" s="10">
        <v>0.16065540529919822</v>
      </c>
      <c r="Q168" s="8">
        <f t="shared" si="22"/>
        <v>0</v>
      </c>
      <c r="R168" s="8">
        <f t="shared" si="23"/>
        <v>0</v>
      </c>
      <c r="S168" s="8">
        <f t="shared" si="24"/>
        <v>1</v>
      </c>
      <c r="T168" s="8">
        <f t="shared" si="25"/>
        <v>0</v>
      </c>
      <c r="U168" s="10">
        <f t="shared" si="21"/>
        <v>6.0983180052726037E-2</v>
      </c>
    </row>
    <row r="169" spans="1:21" x14ac:dyDescent="0.3">
      <c r="A169" s="13">
        <v>0.48612768691000136</v>
      </c>
      <c r="B169" s="13">
        <v>0.60861506957570888</v>
      </c>
      <c r="C169" s="13">
        <v>0.48612768691000136</v>
      </c>
      <c r="D169" s="13">
        <v>0.56407420315181578</v>
      </c>
      <c r="E169" s="8">
        <f t="shared" si="20"/>
        <v>3</v>
      </c>
      <c r="M169" s="10">
        <v>0.29621039330820803</v>
      </c>
      <c r="N169" s="10">
        <v>0.30616445346409726</v>
      </c>
      <c r="O169" s="10">
        <v>9.5581968754103297E-2</v>
      </c>
      <c r="P169" s="10">
        <v>0.10416510382724993</v>
      </c>
      <c r="Q169" s="8">
        <f t="shared" si="22"/>
        <v>0</v>
      </c>
      <c r="R169" s="8">
        <f t="shared" si="23"/>
        <v>0</v>
      </c>
      <c r="S169" s="8">
        <f t="shared" si="24"/>
        <v>1</v>
      </c>
      <c r="T169" s="8">
        <f t="shared" si="25"/>
        <v>0</v>
      </c>
      <c r="U169" s="10">
        <f t="shared" si="21"/>
        <v>9.5581968754103297E-2</v>
      </c>
    </row>
    <row r="170" spans="1:21" x14ac:dyDescent="0.3">
      <c r="A170" s="13">
        <v>0.56959774067667712</v>
      </c>
      <c r="B170" s="13">
        <v>0.70304405683586368</v>
      </c>
      <c r="C170" s="13">
        <v>0.39166931913109776</v>
      </c>
      <c r="D170" s="13">
        <v>0.4806335299038888</v>
      </c>
      <c r="E170" s="8">
        <f t="shared" si="20"/>
        <v>3</v>
      </c>
      <c r="M170" s="10">
        <v>0.13380600394120573</v>
      </c>
      <c r="N170" s="10">
        <v>0.30364850506576618</v>
      </c>
      <c r="O170" s="10">
        <v>0.1018293542745471</v>
      </c>
      <c r="P170" s="10">
        <v>0.15212548984892449</v>
      </c>
      <c r="Q170" s="8">
        <f t="shared" si="22"/>
        <v>0</v>
      </c>
      <c r="R170" s="8">
        <f t="shared" si="23"/>
        <v>0</v>
      </c>
      <c r="S170" s="8">
        <f t="shared" si="24"/>
        <v>1</v>
      </c>
      <c r="T170" s="8">
        <f t="shared" si="25"/>
        <v>0</v>
      </c>
      <c r="U170" s="10">
        <f t="shared" si="21"/>
        <v>0.1018293542745471</v>
      </c>
    </row>
    <row r="171" spans="1:21" x14ac:dyDescent="0.3">
      <c r="A171" s="13">
        <v>0.29960590417242444</v>
      </c>
      <c r="B171" s="13">
        <v>0.81277995650498314</v>
      </c>
      <c r="C171" s="13">
        <v>0.29960590417242444</v>
      </c>
      <c r="D171" s="13">
        <v>0.73295288169769524</v>
      </c>
      <c r="E171" s="8">
        <f t="shared" si="20"/>
        <v>2</v>
      </c>
      <c r="M171" s="10">
        <v>0.51125454598459008</v>
      </c>
      <c r="N171" s="10">
        <v>0.1001431765766123</v>
      </c>
      <c r="O171" s="10">
        <v>0.40775259849916906</v>
      </c>
      <c r="P171" s="10">
        <v>0.28397519079118633</v>
      </c>
      <c r="Q171" s="8">
        <f t="shared" si="22"/>
        <v>0</v>
      </c>
      <c r="R171" s="8">
        <f t="shared" si="23"/>
        <v>1</v>
      </c>
      <c r="S171" s="8">
        <f t="shared" si="24"/>
        <v>0</v>
      </c>
      <c r="T171" s="8">
        <f t="shared" si="25"/>
        <v>0</v>
      </c>
      <c r="U171" s="10">
        <f t="shared" si="21"/>
        <v>0.1001431765766123</v>
      </c>
    </row>
    <row r="172" spans="1:21" x14ac:dyDescent="0.3">
      <c r="A172" s="13">
        <v>0.29974479425473333</v>
      </c>
      <c r="B172" s="13">
        <v>0.77272752901902897</v>
      </c>
      <c r="C172" s="13">
        <v>0.29974479425473333</v>
      </c>
      <c r="D172" s="13">
        <v>0.77272752901902897</v>
      </c>
      <c r="E172" s="8">
        <f t="shared" si="20"/>
        <v>2</v>
      </c>
      <c r="M172" s="10">
        <v>0.531331252043861</v>
      </c>
      <c r="N172" s="10">
        <v>0.12426454780484641</v>
      </c>
      <c r="O172" s="10">
        <v>0.41365405719569759</v>
      </c>
      <c r="P172" s="10">
        <v>0.29044941158569415</v>
      </c>
      <c r="Q172" s="8">
        <f t="shared" si="22"/>
        <v>0</v>
      </c>
      <c r="R172" s="8">
        <f t="shared" si="23"/>
        <v>1</v>
      </c>
      <c r="S172" s="8">
        <f t="shared" si="24"/>
        <v>0</v>
      </c>
      <c r="T172" s="8">
        <f t="shared" si="25"/>
        <v>0</v>
      </c>
      <c r="U172" s="10">
        <f t="shared" si="21"/>
        <v>0.12426454780484641</v>
      </c>
    </row>
    <row r="173" spans="1:21" x14ac:dyDescent="0.3">
      <c r="A173" s="13">
        <v>0.67397078534148747</v>
      </c>
      <c r="B173" s="13">
        <v>0.67397078534148747</v>
      </c>
      <c r="C173" s="13">
        <v>0.36544522824317111</v>
      </c>
      <c r="D173" s="13">
        <v>0.43155784762138133</v>
      </c>
      <c r="E173" s="8">
        <f t="shared" si="20"/>
        <v>1</v>
      </c>
      <c r="M173" s="10">
        <v>4.5799711159166701E-2</v>
      </c>
      <c r="N173" s="10">
        <v>0.40724218993985378</v>
      </c>
      <c r="O173" s="10">
        <v>0.17288585147883562</v>
      </c>
      <c r="P173" s="10">
        <v>0.2634989013423405</v>
      </c>
      <c r="Q173" s="8">
        <f t="shared" si="22"/>
        <v>1</v>
      </c>
      <c r="R173" s="8">
        <f t="shared" si="23"/>
        <v>0</v>
      </c>
      <c r="S173" s="8">
        <f t="shared" si="24"/>
        <v>0</v>
      </c>
      <c r="T173" s="8">
        <f t="shared" si="25"/>
        <v>0</v>
      </c>
      <c r="U173" s="10">
        <f t="shared" si="21"/>
        <v>4.5799711159166701E-2</v>
      </c>
    </row>
    <row r="174" spans="1:21" x14ac:dyDescent="0.3">
      <c r="A174" s="13">
        <v>0.50284521500990309</v>
      </c>
      <c r="B174" s="13">
        <v>0.74771215694108217</v>
      </c>
      <c r="C174" s="13">
        <v>0.41380269067129233</v>
      </c>
      <c r="D174" s="13">
        <v>0.48058458392524972</v>
      </c>
      <c r="E174" s="8">
        <f t="shared" si="20"/>
        <v>4</v>
      </c>
      <c r="M174" s="10">
        <v>0.19924354659175461</v>
      </c>
      <c r="N174" s="10">
        <v>0.2658396338909223</v>
      </c>
      <c r="O174" s="10">
        <v>0.14292694470437206</v>
      </c>
      <c r="P174" s="10">
        <v>0.13368824711539695</v>
      </c>
      <c r="Q174" s="8">
        <f t="shared" si="22"/>
        <v>0</v>
      </c>
      <c r="R174" s="8">
        <f t="shared" si="23"/>
        <v>0</v>
      </c>
      <c r="S174" s="8">
        <f t="shared" si="24"/>
        <v>0</v>
      </c>
      <c r="T174" s="8">
        <f t="shared" si="25"/>
        <v>1</v>
      </c>
      <c r="U174" s="10">
        <f t="shared" si="21"/>
        <v>0.13368824711539695</v>
      </c>
    </row>
    <row r="175" spans="1:21" x14ac:dyDescent="0.3">
      <c r="A175" s="13">
        <v>0.41050642342248395</v>
      </c>
      <c r="B175" s="13">
        <v>0.66196589985127974</v>
      </c>
      <c r="C175" s="13">
        <v>0.41050642342248395</v>
      </c>
      <c r="D175" s="13">
        <v>0.66196589985127974</v>
      </c>
      <c r="E175" s="8">
        <f t="shared" si="20"/>
        <v>4</v>
      </c>
      <c r="M175" s="10">
        <v>0.37505696374454789</v>
      </c>
      <c r="N175" s="10">
        <v>0.17533448886310116</v>
      </c>
      <c r="O175" s="10">
        <v>0.20856112225893741</v>
      </c>
      <c r="P175" s="10">
        <v>9.4467087467648647E-2</v>
      </c>
      <c r="Q175" s="8">
        <f t="shared" si="22"/>
        <v>0</v>
      </c>
      <c r="R175" s="8">
        <f t="shared" si="23"/>
        <v>0</v>
      </c>
      <c r="S175" s="8">
        <f t="shared" si="24"/>
        <v>0</v>
      </c>
      <c r="T175" s="8">
        <f t="shared" si="25"/>
        <v>1</v>
      </c>
      <c r="U175" s="10">
        <f t="shared" si="21"/>
        <v>9.4467087467648647E-2</v>
      </c>
    </row>
    <row r="176" spans="1:21" x14ac:dyDescent="0.3">
      <c r="A176" s="13">
        <v>0.59585228809076596</v>
      </c>
      <c r="B176" s="13">
        <v>0.63920947096631608</v>
      </c>
      <c r="C176" s="13">
        <v>0.42242355658855862</v>
      </c>
      <c r="D176" s="13">
        <v>0.48745933090188659</v>
      </c>
      <c r="E176" s="8">
        <f t="shared" si="20"/>
        <v>3</v>
      </c>
      <c r="M176" s="10">
        <v>0.14933831463683503</v>
      </c>
      <c r="N176" s="10">
        <v>0.34934314953795914</v>
      </c>
      <c r="O176" s="10">
        <v>5.6728864017441781E-2</v>
      </c>
      <c r="P176" s="10">
        <v>0.16758169394653841</v>
      </c>
      <c r="Q176" s="8">
        <f t="shared" si="22"/>
        <v>0</v>
      </c>
      <c r="R176" s="8">
        <f t="shared" si="23"/>
        <v>0</v>
      </c>
      <c r="S176" s="8">
        <f t="shared" si="24"/>
        <v>1</v>
      </c>
      <c r="T176" s="8">
        <f t="shared" si="25"/>
        <v>0</v>
      </c>
      <c r="U176" s="10">
        <f t="shared" si="21"/>
        <v>5.6728864017441781E-2</v>
      </c>
    </row>
    <row r="177" spans="1:21" x14ac:dyDescent="0.3">
      <c r="A177" s="13">
        <v>0.63275553916422989</v>
      </c>
      <c r="B177" s="13">
        <v>0.65481711117048247</v>
      </c>
      <c r="C177" s="13">
        <v>0.42317060510484361</v>
      </c>
      <c r="D177" s="13">
        <v>0.43420139110796996</v>
      </c>
      <c r="E177" s="8">
        <f t="shared" si="20"/>
        <v>1</v>
      </c>
      <c r="M177" s="10">
        <v>0.10043425002756773</v>
      </c>
      <c r="N177" s="10">
        <v>0.39799952781302678</v>
      </c>
      <c r="O177" s="10">
        <v>0.12071387553654148</v>
      </c>
      <c r="P177" s="10">
        <v>0.22708480695903011</v>
      </c>
      <c r="Q177" s="8">
        <f t="shared" si="22"/>
        <v>1</v>
      </c>
      <c r="R177" s="8">
        <f t="shared" si="23"/>
        <v>0</v>
      </c>
      <c r="S177" s="8">
        <f t="shared" si="24"/>
        <v>0</v>
      </c>
      <c r="T177" s="8">
        <f t="shared" si="25"/>
        <v>0</v>
      </c>
      <c r="U177" s="10">
        <f t="shared" si="21"/>
        <v>0.10043425002756773</v>
      </c>
    </row>
    <row r="178" spans="1:21" x14ac:dyDescent="0.3">
      <c r="A178" s="13">
        <v>0.26698023623572747</v>
      </c>
      <c r="B178" s="13">
        <v>0.80549208703803477</v>
      </c>
      <c r="C178" s="13">
        <v>0.26698023623572747</v>
      </c>
      <c r="D178" s="13">
        <v>0.80549208703803477</v>
      </c>
      <c r="E178" s="8">
        <f t="shared" si="20"/>
        <v>2</v>
      </c>
      <c r="M178" s="10">
        <v>0.5856820397797462</v>
      </c>
      <c r="N178" s="10">
        <v>0.17241201116300067</v>
      </c>
      <c r="O178" s="10">
        <v>0.47714676932005612</v>
      </c>
      <c r="P178" s="10">
        <v>0.35424035209638499</v>
      </c>
      <c r="Q178" s="8">
        <f t="shared" si="22"/>
        <v>0</v>
      </c>
      <c r="R178" s="8">
        <f t="shared" si="23"/>
        <v>1</v>
      </c>
      <c r="S178" s="8">
        <f t="shared" si="24"/>
        <v>0</v>
      </c>
      <c r="T178" s="8">
        <f t="shared" si="25"/>
        <v>0</v>
      </c>
      <c r="U178" s="10">
        <f t="shared" si="21"/>
        <v>0.17241201116300067</v>
      </c>
    </row>
    <row r="179" spans="1:21" x14ac:dyDescent="0.3">
      <c r="A179" s="13">
        <v>0.64580321931524098</v>
      </c>
      <c r="B179" s="13">
        <v>0.68963004238658465</v>
      </c>
      <c r="C179" s="13">
        <v>0.37188557511934167</v>
      </c>
      <c r="D179" s="13">
        <v>0.43762580972635717</v>
      </c>
      <c r="E179" s="8">
        <f t="shared" si="20"/>
        <v>1</v>
      </c>
      <c r="M179" s="10">
        <v>5.0187685310385505E-2</v>
      </c>
      <c r="N179" s="10">
        <v>0.38049160404142907</v>
      </c>
      <c r="O179" s="10">
        <v>0.15455919304771076</v>
      </c>
      <c r="P179" s="10">
        <v>0.23731815721526567</v>
      </c>
      <c r="Q179" s="8">
        <f t="shared" si="22"/>
        <v>1</v>
      </c>
      <c r="R179" s="8">
        <f t="shared" si="23"/>
        <v>0</v>
      </c>
      <c r="S179" s="8">
        <f t="shared" si="24"/>
        <v>0</v>
      </c>
      <c r="T179" s="8">
        <f t="shared" si="25"/>
        <v>0</v>
      </c>
      <c r="U179" s="10">
        <f t="shared" si="21"/>
        <v>5.0187685310385505E-2</v>
      </c>
    </row>
    <row r="180" spans="1:21" x14ac:dyDescent="0.3">
      <c r="A180" s="13">
        <v>0.54733716115934172</v>
      </c>
      <c r="B180" s="13">
        <v>0.65834715638394936</v>
      </c>
      <c r="C180" s="13">
        <v>0.28091317262028542</v>
      </c>
      <c r="D180" s="13">
        <v>0.65834715638394936</v>
      </c>
      <c r="E180" s="8">
        <f t="shared" si="20"/>
        <v>4</v>
      </c>
      <c r="M180" s="10">
        <v>0.29757302619477538</v>
      </c>
      <c r="N180" s="10">
        <v>0.21271842207334665</v>
      </c>
      <c r="O180" s="10">
        <v>0.21348516149252034</v>
      </c>
      <c r="P180" s="10">
        <v>0.17075465024513456</v>
      </c>
      <c r="Q180" s="8">
        <f t="shared" si="22"/>
        <v>0</v>
      </c>
      <c r="R180" s="8">
        <f t="shared" si="23"/>
        <v>0</v>
      </c>
      <c r="S180" s="8">
        <f t="shared" si="24"/>
        <v>0</v>
      </c>
      <c r="T180" s="8">
        <f t="shared" si="25"/>
        <v>1</v>
      </c>
      <c r="U180" s="10">
        <f t="shared" si="21"/>
        <v>0.17075465024513456</v>
      </c>
    </row>
    <row r="181" spans="1:21" x14ac:dyDescent="0.3">
      <c r="A181" s="13">
        <v>0.47887500208239114</v>
      </c>
      <c r="B181" s="13">
        <v>0.59906028876799</v>
      </c>
      <c r="C181" s="13">
        <v>0.46794906692915478</v>
      </c>
      <c r="D181" s="13">
        <v>0.59906028876799</v>
      </c>
      <c r="E181" s="8">
        <f t="shared" si="20"/>
        <v>4</v>
      </c>
      <c r="M181" s="10">
        <v>0.31703242203430626</v>
      </c>
      <c r="N181" s="10">
        <v>0.28677731323527184</v>
      </c>
      <c r="O181" s="10">
        <v>0.11624682711390613</v>
      </c>
      <c r="P181" s="10">
        <v>9.6158204065155184E-2</v>
      </c>
      <c r="Q181" s="8">
        <f t="shared" si="22"/>
        <v>0</v>
      </c>
      <c r="R181" s="8">
        <f t="shared" si="23"/>
        <v>0</v>
      </c>
      <c r="S181" s="8">
        <f t="shared" si="24"/>
        <v>0</v>
      </c>
      <c r="T181" s="8">
        <f t="shared" si="25"/>
        <v>1</v>
      </c>
      <c r="U181" s="10">
        <f t="shared" si="21"/>
        <v>9.6158204065155184E-2</v>
      </c>
    </row>
    <row r="182" spans="1:21" x14ac:dyDescent="0.3">
      <c r="A182" s="13">
        <v>0.57446867532697965</v>
      </c>
      <c r="B182" s="13">
        <v>0.62908655202712149</v>
      </c>
      <c r="C182" s="13">
        <v>0.42153862056658403</v>
      </c>
      <c r="D182" s="13">
        <v>0.51985079862683925</v>
      </c>
      <c r="E182" s="8">
        <f t="shared" si="20"/>
        <v>3</v>
      </c>
      <c r="M182" s="10">
        <v>0.18414512883400738</v>
      </c>
      <c r="N182" s="10">
        <v>0.32368171719837358</v>
      </c>
      <c r="O182" s="10">
        <v>2.6549666227756879E-2</v>
      </c>
      <c r="P182" s="10">
        <v>0.13573461672572232</v>
      </c>
      <c r="Q182" s="8">
        <f t="shared" si="22"/>
        <v>0</v>
      </c>
      <c r="R182" s="8">
        <f t="shared" si="23"/>
        <v>0</v>
      </c>
      <c r="S182" s="8">
        <f t="shared" si="24"/>
        <v>1</v>
      </c>
      <c r="T182" s="8">
        <f t="shared" si="25"/>
        <v>0</v>
      </c>
      <c r="U182" s="10">
        <f t="shared" si="21"/>
        <v>2.6549666227756879E-2</v>
      </c>
    </row>
    <row r="183" spans="1:21" x14ac:dyDescent="0.3">
      <c r="A183" s="13">
        <v>0.57760160914860237</v>
      </c>
      <c r="B183" s="13">
        <v>0.59966318115485506</v>
      </c>
      <c r="C183" s="13">
        <v>0.43420139110796996</v>
      </c>
      <c r="D183" s="13">
        <v>0.53347846513609987</v>
      </c>
      <c r="E183" s="8">
        <f t="shared" si="20"/>
        <v>3</v>
      </c>
      <c r="M183" s="10">
        <v>0.20990866068447125</v>
      </c>
      <c r="N183" s="10">
        <v>0.3397615917466934</v>
      </c>
      <c r="O183" s="10">
        <v>3.5381062628658512E-2</v>
      </c>
      <c r="P183" s="10">
        <v>0.14648833713849604</v>
      </c>
      <c r="Q183" s="8">
        <f t="shared" si="22"/>
        <v>0</v>
      </c>
      <c r="R183" s="8">
        <f t="shared" si="23"/>
        <v>0</v>
      </c>
      <c r="S183" s="8">
        <f t="shared" si="24"/>
        <v>1</v>
      </c>
      <c r="T183" s="8">
        <f t="shared" si="25"/>
        <v>0</v>
      </c>
      <c r="U183" s="10">
        <f t="shared" si="21"/>
        <v>3.5381062628658512E-2</v>
      </c>
    </row>
    <row r="184" spans="1:21" x14ac:dyDescent="0.3">
      <c r="A184" s="13">
        <v>0.49513961194213807</v>
      </c>
      <c r="B184" s="13">
        <v>0.615689491046719</v>
      </c>
      <c r="C184" s="13">
        <v>0.47322145210494165</v>
      </c>
      <c r="D184" s="13">
        <v>0.56089409145372726</v>
      </c>
      <c r="E184" s="8">
        <f t="shared" si="20"/>
        <v>3</v>
      </c>
      <c r="M184" s="10">
        <v>0.28082543166252155</v>
      </c>
      <c r="N184" s="10">
        <v>0.29862685879262957</v>
      </c>
      <c r="O184" s="10">
        <v>8.0627884110824485E-2</v>
      </c>
      <c r="P184" s="10">
        <v>9.3833896024469232E-2</v>
      </c>
      <c r="Q184" s="8">
        <f t="shared" si="22"/>
        <v>0</v>
      </c>
      <c r="R184" s="8">
        <f t="shared" si="23"/>
        <v>0</v>
      </c>
      <c r="S184" s="8">
        <f t="shared" si="24"/>
        <v>1</v>
      </c>
      <c r="T184" s="8">
        <f t="shared" si="25"/>
        <v>0</v>
      </c>
      <c r="U184" s="10">
        <f t="shared" si="21"/>
        <v>8.0627884110824485E-2</v>
      </c>
    </row>
    <row r="185" spans="1:21" x14ac:dyDescent="0.3">
      <c r="A185" s="13">
        <v>0.47907258627030802</v>
      </c>
      <c r="B185" s="13">
        <v>0.62062048717801643</v>
      </c>
      <c r="C185" s="13">
        <v>0.47907258627030802</v>
      </c>
      <c r="D185" s="13">
        <v>0.56617898682889767</v>
      </c>
      <c r="E185" s="8">
        <f t="shared" si="20"/>
        <v>4</v>
      </c>
      <c r="M185" s="10">
        <v>0.29502064175985526</v>
      </c>
      <c r="N185" s="10">
        <v>0.29152277796754317</v>
      </c>
      <c r="O185" s="10">
        <v>9.7650759280046476E-2</v>
      </c>
      <c r="P185" s="10">
        <v>8.9860177923710371E-2</v>
      </c>
      <c r="Q185" s="8">
        <f t="shared" si="22"/>
        <v>0</v>
      </c>
      <c r="R185" s="8">
        <f t="shared" si="23"/>
        <v>0</v>
      </c>
      <c r="S185" s="8">
        <f t="shared" si="24"/>
        <v>0</v>
      </c>
      <c r="T185" s="8">
        <f t="shared" si="25"/>
        <v>1</v>
      </c>
      <c r="U185" s="10">
        <f t="shared" si="21"/>
        <v>8.9860177923710371E-2</v>
      </c>
    </row>
    <row r="186" spans="1:21" x14ac:dyDescent="0.3">
      <c r="A186" s="13">
        <v>0.44919081583662313</v>
      </c>
      <c r="B186" s="13">
        <v>0.66259230876628861</v>
      </c>
      <c r="C186" s="13">
        <v>0.44919081583662313</v>
      </c>
      <c r="D186" s="13">
        <v>0.5839707061079924</v>
      </c>
      <c r="E186" s="8">
        <f t="shared" si="20"/>
        <v>4</v>
      </c>
      <c r="M186" s="10">
        <v>0.30565228377487635</v>
      </c>
      <c r="N186" s="10">
        <v>0.231927723796158</v>
      </c>
      <c r="O186" s="10">
        <v>0.13043461777019694</v>
      </c>
      <c r="P186" s="10">
        <v>4.2871858323470631E-2</v>
      </c>
      <c r="Q186" s="8">
        <f t="shared" si="22"/>
        <v>0</v>
      </c>
      <c r="R186" s="8">
        <f t="shared" si="23"/>
        <v>0</v>
      </c>
      <c r="S186" s="8">
        <f t="shared" si="24"/>
        <v>0</v>
      </c>
      <c r="T186" s="8">
        <f t="shared" si="25"/>
        <v>1</v>
      </c>
      <c r="U186" s="10">
        <f t="shared" si="21"/>
        <v>4.2871858323470631E-2</v>
      </c>
    </row>
    <row r="187" spans="1:21" x14ac:dyDescent="0.3">
      <c r="A187" s="13">
        <v>0.4999748556741474</v>
      </c>
      <c r="B187" s="13">
        <v>0.73427867881796938</v>
      </c>
      <c r="C187" s="13">
        <v>0.41071625638126175</v>
      </c>
      <c r="D187" s="13">
        <v>0.4999748556741474</v>
      </c>
      <c r="E187" s="8">
        <f t="shared" si="20"/>
        <v>4</v>
      </c>
      <c r="M187" s="10">
        <v>0.20692967629827513</v>
      </c>
      <c r="N187" s="10">
        <v>0.25131696674371984</v>
      </c>
      <c r="O187" s="10">
        <v>0.12882318652847496</v>
      </c>
      <c r="P187" s="10">
        <v>0.11026899191725006</v>
      </c>
      <c r="Q187" s="8">
        <f t="shared" si="22"/>
        <v>0</v>
      </c>
      <c r="R187" s="8">
        <f t="shared" si="23"/>
        <v>0</v>
      </c>
      <c r="S187" s="8">
        <f t="shared" si="24"/>
        <v>0</v>
      </c>
      <c r="T187" s="8">
        <f t="shared" si="25"/>
        <v>1</v>
      </c>
      <c r="U187" s="10">
        <f t="shared" si="21"/>
        <v>0.11026899191725006</v>
      </c>
    </row>
    <row r="188" spans="1:21" x14ac:dyDescent="0.3">
      <c r="A188" s="13">
        <v>0.54720237018508877</v>
      </c>
      <c r="B188" s="13">
        <v>0.61299962147433062</v>
      </c>
      <c r="C188" s="13">
        <v>0.43754028470301765</v>
      </c>
      <c r="D188" s="13">
        <v>0.54720237018508877</v>
      </c>
      <c r="E188" s="8">
        <f t="shared" si="20"/>
        <v>3</v>
      </c>
      <c r="M188" s="10">
        <v>0.22873140302833575</v>
      </c>
      <c r="N188" s="10">
        <v>0.31089973051008546</v>
      </c>
      <c r="O188" s="10">
        <v>3.0180341114950326E-2</v>
      </c>
      <c r="P188" s="10">
        <v>0.11249632969000575</v>
      </c>
      <c r="Q188" s="8">
        <f t="shared" si="22"/>
        <v>0</v>
      </c>
      <c r="R188" s="8">
        <f t="shared" si="23"/>
        <v>0</v>
      </c>
      <c r="S188" s="8">
        <f t="shared" si="24"/>
        <v>1</v>
      </c>
      <c r="T188" s="8">
        <f t="shared" si="25"/>
        <v>0</v>
      </c>
      <c r="U188" s="10">
        <f t="shared" si="21"/>
        <v>3.0180341114950326E-2</v>
      </c>
    </row>
    <row r="189" spans="1:21" x14ac:dyDescent="0.3">
      <c r="A189" s="13">
        <v>0.4548716928075211</v>
      </c>
      <c r="B189" s="13">
        <v>0.68269220552973198</v>
      </c>
      <c r="C189" s="13">
        <v>0.44402309696360548</v>
      </c>
      <c r="D189" s="13">
        <v>0.56335765124667014</v>
      </c>
      <c r="E189" s="8">
        <f t="shared" si="20"/>
        <v>4</v>
      </c>
      <c r="M189" s="10">
        <v>0.2854965135049552</v>
      </c>
      <c r="N189" s="10">
        <v>0.22969156662506243</v>
      </c>
      <c r="O189" s="10">
        <v>0.12462320023267878</v>
      </c>
      <c r="P189" s="10">
        <v>4.1897488735191696E-2</v>
      </c>
      <c r="Q189" s="8">
        <f t="shared" si="22"/>
        <v>0</v>
      </c>
      <c r="R189" s="8">
        <f t="shared" si="23"/>
        <v>0</v>
      </c>
      <c r="S189" s="8">
        <f t="shared" si="24"/>
        <v>0</v>
      </c>
      <c r="T189" s="8">
        <f t="shared" si="25"/>
        <v>1</v>
      </c>
      <c r="U189" s="10">
        <f t="shared" si="21"/>
        <v>4.1897488735191696E-2</v>
      </c>
    </row>
    <row r="190" spans="1:21" x14ac:dyDescent="0.3">
      <c r="A190" s="13">
        <v>0.488159969788658</v>
      </c>
      <c r="B190" s="13">
        <v>0.72319912993552793</v>
      </c>
      <c r="C190" s="13">
        <v>0.3813239879037178</v>
      </c>
      <c r="D190" s="13">
        <v>0.55226155891962359</v>
      </c>
      <c r="E190" s="8">
        <f t="shared" si="20"/>
        <v>4</v>
      </c>
      <c r="M190" s="10">
        <v>0.23870890778323711</v>
      </c>
      <c r="N190" s="10">
        <v>0.19927397082336468</v>
      </c>
      <c r="O190" s="10">
        <v>0.13751689087061009</v>
      </c>
      <c r="P190" s="10">
        <v>7.0048603276884183E-2</v>
      </c>
      <c r="Q190" s="8">
        <f t="shared" si="22"/>
        <v>0</v>
      </c>
      <c r="R190" s="8">
        <f t="shared" si="23"/>
        <v>0</v>
      </c>
      <c r="S190" s="8">
        <f t="shared" si="24"/>
        <v>0</v>
      </c>
      <c r="T190" s="8">
        <f t="shared" si="25"/>
        <v>1</v>
      </c>
      <c r="U190" s="10">
        <f t="shared" si="21"/>
        <v>7.0048603276884183E-2</v>
      </c>
    </row>
    <row r="191" spans="1:21" x14ac:dyDescent="0.3">
      <c r="A191" s="13">
        <v>0.64489379666085811</v>
      </c>
      <c r="B191" s="13">
        <v>0.64489379666085811</v>
      </c>
      <c r="C191" s="13">
        <v>0.37987517465115922</v>
      </c>
      <c r="D191" s="13">
        <v>0.47528187857465054</v>
      </c>
      <c r="E191" s="8">
        <f t="shared" si="20"/>
        <v>1</v>
      </c>
      <c r="M191" s="10">
        <v>0.10293225741982905</v>
      </c>
      <c r="N191" s="10">
        <v>0.37361972138147065</v>
      </c>
      <c r="O191" s="10">
        <v>0.11831804579993332</v>
      </c>
      <c r="P191" s="10">
        <v>0.21521222336521606</v>
      </c>
      <c r="Q191" s="8">
        <f t="shared" si="22"/>
        <v>1</v>
      </c>
      <c r="R191" s="8">
        <f t="shared" si="23"/>
        <v>0</v>
      </c>
      <c r="S191" s="8">
        <f t="shared" si="24"/>
        <v>0</v>
      </c>
      <c r="T191" s="8">
        <f t="shared" si="25"/>
        <v>0</v>
      </c>
      <c r="U191" s="10">
        <f t="shared" si="21"/>
        <v>0.10293225741982905</v>
      </c>
    </row>
    <row r="192" spans="1:21" x14ac:dyDescent="0.3">
      <c r="A192" s="13">
        <v>0.54156445428588496</v>
      </c>
      <c r="B192" s="13">
        <v>0.62681713666992334</v>
      </c>
      <c r="C192" s="13">
        <v>0.40302884541182116</v>
      </c>
      <c r="D192" s="13">
        <v>0.57353421017989792</v>
      </c>
      <c r="E192" s="8">
        <f t="shared" si="20"/>
        <v>3</v>
      </c>
      <c r="M192" s="10">
        <v>0.23461632005930602</v>
      </c>
      <c r="N192" s="10">
        <v>0.27411909914852756</v>
      </c>
      <c r="O192" s="10">
        <v>6.6285339602042692E-2</v>
      </c>
      <c r="P192" s="10">
        <v>9.0981334335755767E-2</v>
      </c>
      <c r="Q192" s="8">
        <f t="shared" si="22"/>
        <v>0</v>
      </c>
      <c r="R192" s="8">
        <f t="shared" si="23"/>
        <v>0</v>
      </c>
      <c r="S192" s="8">
        <f t="shared" si="24"/>
        <v>1</v>
      </c>
      <c r="T192" s="8">
        <f t="shared" si="25"/>
        <v>0</v>
      </c>
      <c r="U192" s="10">
        <f t="shared" si="21"/>
        <v>6.6285339602042692E-2</v>
      </c>
    </row>
    <row r="193" spans="1:21" x14ac:dyDescent="0.3">
      <c r="A193" s="13">
        <v>0.63528960708999793</v>
      </c>
      <c r="B193" s="13">
        <v>0.65670656826904972</v>
      </c>
      <c r="C193" s="13">
        <v>0.37828607294137462</v>
      </c>
      <c r="D193" s="13">
        <v>0.47466239824710782</v>
      </c>
      <c r="E193" s="8">
        <f t="shared" si="20"/>
        <v>1</v>
      </c>
      <c r="M193" s="10">
        <v>9.8403587246834859E-2</v>
      </c>
      <c r="N193" s="10">
        <v>0.36241838561046735</v>
      </c>
      <c r="O193" s="10">
        <v>0.11519262499345904</v>
      </c>
      <c r="P193" s="10">
        <v>0.20649745241356388</v>
      </c>
      <c r="Q193" s="8">
        <f t="shared" si="22"/>
        <v>1</v>
      </c>
      <c r="R193" s="8">
        <f t="shared" si="23"/>
        <v>0</v>
      </c>
      <c r="S193" s="8">
        <f t="shared" si="24"/>
        <v>0</v>
      </c>
      <c r="T193" s="8">
        <f t="shared" si="25"/>
        <v>0</v>
      </c>
      <c r="U193" s="10">
        <f t="shared" si="21"/>
        <v>9.8403587246834859E-2</v>
      </c>
    </row>
    <row r="194" spans="1:21" x14ac:dyDescent="0.3">
      <c r="A194" s="13">
        <v>0.5201700390751498</v>
      </c>
      <c r="B194" s="13">
        <v>0.62727752282002736</v>
      </c>
      <c r="C194" s="13">
        <v>0.45590554882822432</v>
      </c>
      <c r="D194" s="13">
        <v>0.54159153582412589</v>
      </c>
      <c r="E194" s="8">
        <f t="shared" si="20"/>
        <v>3</v>
      </c>
      <c r="M194" s="10">
        <v>0.2430816506261603</v>
      </c>
      <c r="N194" s="10">
        <v>0.3012065267226498</v>
      </c>
      <c r="O194" s="10">
        <v>4.4581050174714296E-2</v>
      </c>
      <c r="P194" s="10">
        <v>9.5838951018171789E-2</v>
      </c>
      <c r="Q194" s="8">
        <f t="shared" si="22"/>
        <v>0</v>
      </c>
      <c r="R194" s="8">
        <f t="shared" si="23"/>
        <v>0</v>
      </c>
      <c r="S194" s="8">
        <f t="shared" si="24"/>
        <v>1</v>
      </c>
      <c r="T194" s="8">
        <f t="shared" si="25"/>
        <v>0</v>
      </c>
      <c r="U194" s="10">
        <f t="shared" si="21"/>
        <v>4.4581050174714296E-2</v>
      </c>
    </row>
    <row r="195" spans="1:21" x14ac:dyDescent="0.3">
      <c r="A195" s="13">
        <v>0.59554721622831597</v>
      </c>
      <c r="B195" s="13">
        <v>0.60633104433584895</v>
      </c>
      <c r="C195" s="13">
        <v>0.41222213840024979</v>
      </c>
      <c r="D195" s="13">
        <v>0.53084424758311533</v>
      </c>
      <c r="E195" s="8">
        <f t="shared" si="20"/>
        <v>3</v>
      </c>
      <c r="M195" s="10">
        <v>0.18943082812412815</v>
      </c>
      <c r="N195" s="10">
        <v>0.33977861257736514</v>
      </c>
      <c r="O195" s="10">
        <v>5.2419801309666697E-2</v>
      </c>
      <c r="P195" s="10">
        <v>0.15687286199631556</v>
      </c>
      <c r="Q195" s="8">
        <f t="shared" si="22"/>
        <v>0</v>
      </c>
      <c r="R195" s="8">
        <f t="shared" si="23"/>
        <v>0</v>
      </c>
      <c r="S195" s="8">
        <f t="shared" si="24"/>
        <v>1</v>
      </c>
      <c r="T195" s="8">
        <f t="shared" si="25"/>
        <v>0</v>
      </c>
      <c r="U195" s="10">
        <f t="shared" si="21"/>
        <v>5.2419801309666697E-2</v>
      </c>
    </row>
    <row r="196" spans="1:21" x14ac:dyDescent="0.3">
      <c r="A196" s="13">
        <v>0.47717695865730209</v>
      </c>
      <c r="B196" s="13">
        <v>0.63824751223797405</v>
      </c>
      <c r="C196" s="13">
        <v>0.47717695865730209</v>
      </c>
      <c r="D196" s="13">
        <v>0.55234321699494904</v>
      </c>
      <c r="E196" s="8">
        <f t="shared" si="20"/>
        <v>4</v>
      </c>
      <c r="M196" s="10">
        <v>0.28320289932667531</v>
      </c>
      <c r="N196" s="10">
        <v>0.28576255148281171</v>
      </c>
      <c r="O196" s="10">
        <v>9.3853668473345295E-2</v>
      </c>
      <c r="P196" s="10">
        <v>8.3218568151373629E-2</v>
      </c>
      <c r="Q196" s="8">
        <f t="shared" si="22"/>
        <v>0</v>
      </c>
      <c r="R196" s="8">
        <f t="shared" si="23"/>
        <v>0</v>
      </c>
      <c r="S196" s="8">
        <f t="shared" si="24"/>
        <v>0</v>
      </c>
      <c r="T196" s="8">
        <f t="shared" si="25"/>
        <v>1</v>
      </c>
      <c r="U196" s="10">
        <f t="shared" si="21"/>
        <v>8.3218568151373629E-2</v>
      </c>
    </row>
    <row r="197" spans="1:21" x14ac:dyDescent="0.3">
      <c r="A197" s="13">
        <v>0.56039161612738153</v>
      </c>
      <c r="B197" s="13">
        <v>0.63554191898671419</v>
      </c>
      <c r="C197" s="13">
        <v>0.47450555571671577</v>
      </c>
      <c r="D197" s="13">
        <v>0.47450555571671577</v>
      </c>
      <c r="E197" s="8">
        <f t="shared" ref="E197:E248" si="26">IF(Q197=1,1,IF(R197=1,2,IF(S197=1,3,4)))</f>
        <v>3</v>
      </c>
      <c r="M197" s="10">
        <v>0.19305036594542679</v>
      </c>
      <c r="N197" s="10">
        <v>0.36111524761828673</v>
      </c>
      <c r="O197" s="10">
        <v>5.8765406780895355E-2</v>
      </c>
      <c r="P197" s="10">
        <v>0.16421698603696119</v>
      </c>
      <c r="Q197" s="8">
        <f t="shared" si="22"/>
        <v>0</v>
      </c>
      <c r="R197" s="8">
        <f t="shared" si="23"/>
        <v>0</v>
      </c>
      <c r="S197" s="8">
        <f t="shared" si="24"/>
        <v>1</v>
      </c>
      <c r="T197" s="8">
        <f t="shared" si="25"/>
        <v>0</v>
      </c>
      <c r="U197" s="10">
        <f t="shared" ref="U197:U248" si="27">M197*Q197 + N197*R197 + O197*S197 + P197*T197</f>
        <v>5.8765406780895355E-2</v>
      </c>
    </row>
    <row r="198" spans="1:21" x14ac:dyDescent="0.3">
      <c r="A198" s="13">
        <v>0.50681275926393632</v>
      </c>
      <c r="B198" s="13">
        <v>0.6673040449345442</v>
      </c>
      <c r="C198" s="13">
        <v>0.47471450212981586</v>
      </c>
      <c r="D198" s="13">
        <v>0.49611334021922948</v>
      </c>
      <c r="E198" s="8">
        <f t="shared" si="26"/>
        <v>3</v>
      </c>
      <c r="M198" s="10">
        <v>0.22823709753912308</v>
      </c>
      <c r="N198" s="10">
        <v>0.31144779407610013</v>
      </c>
      <c r="O198" s="10">
        <v>7.8073038822484606E-2</v>
      </c>
      <c r="P198" s="10">
        <v>0.11777033522464166</v>
      </c>
      <c r="Q198" s="8">
        <f t="shared" si="22"/>
        <v>0</v>
      </c>
      <c r="R198" s="8">
        <f t="shared" si="23"/>
        <v>0</v>
      </c>
      <c r="S198" s="8">
        <f t="shared" si="24"/>
        <v>1</v>
      </c>
      <c r="T198" s="8">
        <f t="shared" si="25"/>
        <v>0</v>
      </c>
      <c r="U198" s="10">
        <f t="shared" si="27"/>
        <v>7.8073038822484606E-2</v>
      </c>
    </row>
    <row r="199" spans="1:21" x14ac:dyDescent="0.3">
      <c r="A199" s="13">
        <v>0.53623616163688181</v>
      </c>
      <c r="B199" s="13">
        <v>0.60999305263069814</v>
      </c>
      <c r="C199" s="13">
        <v>0.49408936678327309</v>
      </c>
      <c r="D199" s="13">
        <v>0.50462606549667566</v>
      </c>
      <c r="E199" s="8">
        <f t="shared" si="26"/>
        <v>3</v>
      </c>
      <c r="M199" s="10">
        <v>0.2406447284728353</v>
      </c>
      <c r="N199" s="10">
        <v>0.35602112497816052</v>
      </c>
      <c r="O199" s="10">
        <v>6.1270058357683295E-2</v>
      </c>
      <c r="P199" s="10">
        <v>0.15052505474121658</v>
      </c>
      <c r="Q199" s="8">
        <f t="shared" si="22"/>
        <v>0</v>
      </c>
      <c r="R199" s="8">
        <f t="shared" si="23"/>
        <v>0</v>
      </c>
      <c r="S199" s="8">
        <f t="shared" si="24"/>
        <v>1</v>
      </c>
      <c r="T199" s="8">
        <f t="shared" si="25"/>
        <v>0</v>
      </c>
      <c r="U199" s="10">
        <f t="shared" si="27"/>
        <v>6.1270058357683295E-2</v>
      </c>
    </row>
    <row r="200" spans="1:21" x14ac:dyDescent="0.3">
      <c r="A200" s="13">
        <v>0.52842316156103197</v>
      </c>
      <c r="B200" s="13">
        <v>0.60134449560229142</v>
      </c>
      <c r="C200" s="13">
        <v>0.41383249378190967</v>
      </c>
      <c r="D200" s="13">
        <v>0.60134449560229142</v>
      </c>
      <c r="E200" s="8">
        <f t="shared" si="26"/>
        <v>3</v>
      </c>
      <c r="M200" s="10">
        <v>0.2736127303984745</v>
      </c>
      <c r="N200" s="10">
        <v>0.27800604746814567</v>
      </c>
      <c r="O200" s="10">
        <v>9.2127426370486487E-2</v>
      </c>
      <c r="P200" s="10">
        <v>9.7700097830247801E-2</v>
      </c>
      <c r="Q200" s="8">
        <f t="shared" si="22"/>
        <v>0</v>
      </c>
      <c r="R200" s="8">
        <f t="shared" si="23"/>
        <v>0</v>
      </c>
      <c r="S200" s="8">
        <f t="shared" si="24"/>
        <v>1</v>
      </c>
      <c r="T200" s="8">
        <f t="shared" si="25"/>
        <v>0</v>
      </c>
      <c r="U200" s="10">
        <f t="shared" si="27"/>
        <v>9.2127426370486487E-2</v>
      </c>
    </row>
    <row r="201" spans="1:21" x14ac:dyDescent="0.3">
      <c r="A201" s="13">
        <v>0.57522086396807159</v>
      </c>
      <c r="B201" s="13">
        <v>0.65838822894127735</v>
      </c>
      <c r="C201" s="13">
        <v>0.38809429277835794</v>
      </c>
      <c r="D201" s="13">
        <v>0.52324126085981904</v>
      </c>
      <c r="E201" s="8">
        <f t="shared" si="26"/>
        <v>3</v>
      </c>
      <c r="M201" s="10">
        <v>0.16555668191980952</v>
      </c>
      <c r="N201" s="10">
        <v>0.29681999231733236</v>
      </c>
      <c r="O201" s="10">
        <v>6.5248810876876895E-2</v>
      </c>
      <c r="P201" s="10">
        <v>0.1295201938202574</v>
      </c>
      <c r="Q201" s="8">
        <f t="shared" si="22"/>
        <v>0</v>
      </c>
      <c r="R201" s="8">
        <f t="shared" si="23"/>
        <v>0</v>
      </c>
      <c r="S201" s="8">
        <f t="shared" si="24"/>
        <v>1</v>
      </c>
      <c r="T201" s="8">
        <f t="shared" si="25"/>
        <v>0</v>
      </c>
      <c r="U201" s="10">
        <f t="shared" si="27"/>
        <v>6.5248810876876895E-2</v>
      </c>
    </row>
    <row r="202" spans="1:21" x14ac:dyDescent="0.3">
      <c r="A202" s="13">
        <v>0.51296016529719124</v>
      </c>
      <c r="B202" s="13">
        <v>0.62675392518011974</v>
      </c>
      <c r="C202" s="13">
        <v>0.46123572898676918</v>
      </c>
      <c r="D202" s="13">
        <v>0.54399482708344438</v>
      </c>
      <c r="E202" s="8">
        <f t="shared" si="26"/>
        <v>3</v>
      </c>
      <c r="M202" s="10">
        <v>0.25139167515099364</v>
      </c>
      <c r="N202" s="10">
        <v>0.30005325001816413</v>
      </c>
      <c r="O202" s="10">
        <v>5.3458141300067263E-2</v>
      </c>
      <c r="P202" s="10">
        <v>9.377965757513651E-2</v>
      </c>
      <c r="Q202" s="8">
        <f t="shared" si="22"/>
        <v>0</v>
      </c>
      <c r="R202" s="8">
        <f t="shared" si="23"/>
        <v>0</v>
      </c>
      <c r="S202" s="8">
        <f t="shared" si="24"/>
        <v>1</v>
      </c>
      <c r="T202" s="8">
        <f t="shared" si="25"/>
        <v>0</v>
      </c>
      <c r="U202" s="10">
        <f t="shared" si="27"/>
        <v>5.3458141300067263E-2</v>
      </c>
    </row>
    <row r="203" spans="1:21" x14ac:dyDescent="0.3">
      <c r="A203" s="13">
        <v>0.7118114106643525</v>
      </c>
      <c r="B203" s="13">
        <v>0.72229351508390172</v>
      </c>
      <c r="C203" s="13">
        <v>0.32397354714098453</v>
      </c>
      <c r="D203" s="13">
        <v>0.38686617365828718</v>
      </c>
      <c r="E203" s="8">
        <f t="shared" si="26"/>
        <v>1</v>
      </c>
      <c r="M203" s="10">
        <v>5.4354260192896513E-2</v>
      </c>
      <c r="N203" s="10">
        <v>0.44805059665503372</v>
      </c>
      <c r="O203" s="10">
        <v>0.25549038705729477</v>
      </c>
      <c r="P203" s="10">
        <v>0.33204007804162095</v>
      </c>
      <c r="Q203" s="8">
        <f t="shared" si="22"/>
        <v>1</v>
      </c>
      <c r="R203" s="8">
        <f t="shared" si="23"/>
        <v>0</v>
      </c>
      <c r="S203" s="8">
        <f t="shared" si="24"/>
        <v>0</v>
      </c>
      <c r="T203" s="8">
        <f t="shared" si="25"/>
        <v>0</v>
      </c>
      <c r="U203" s="10">
        <f t="shared" si="27"/>
        <v>5.4354260192896513E-2</v>
      </c>
    </row>
    <row r="204" spans="1:21" x14ac:dyDescent="0.3">
      <c r="A204" s="13">
        <v>0.52029159864056007</v>
      </c>
      <c r="B204" s="13">
        <v>0.63721839394691737</v>
      </c>
      <c r="C204" s="13">
        <v>0.40336480333420427</v>
      </c>
      <c r="D204" s="13">
        <v>0.58406985062584693</v>
      </c>
      <c r="E204" s="8">
        <f t="shared" si="26"/>
        <v>4</v>
      </c>
      <c r="M204" s="10">
        <v>0.25138832664427802</v>
      </c>
      <c r="N204" s="10">
        <v>0.25188248567980404</v>
      </c>
      <c r="O204" s="10">
        <v>8.2662499280164628E-2</v>
      </c>
      <c r="P204" s="10">
        <v>6.6704274866095967E-2</v>
      </c>
      <c r="Q204" s="8">
        <f t="shared" si="22"/>
        <v>0</v>
      </c>
      <c r="R204" s="8">
        <f t="shared" si="23"/>
        <v>0</v>
      </c>
      <c r="S204" s="8">
        <f t="shared" si="24"/>
        <v>0</v>
      </c>
      <c r="T204" s="8">
        <f t="shared" si="25"/>
        <v>1</v>
      </c>
      <c r="U204" s="10">
        <f t="shared" si="27"/>
        <v>6.6704274866095967E-2</v>
      </c>
    </row>
    <row r="205" spans="1:21" x14ac:dyDescent="0.3">
      <c r="A205" s="13">
        <v>0.43757631331426439</v>
      </c>
      <c r="B205" s="13">
        <v>0.72836323468618847</v>
      </c>
      <c r="C205" s="13">
        <v>0.36487958297128409</v>
      </c>
      <c r="D205" s="13">
        <v>0.61412551557578898</v>
      </c>
      <c r="E205" s="8">
        <f t="shared" si="26"/>
        <v>4</v>
      </c>
      <c r="M205" s="10">
        <v>0.31620205257253375</v>
      </c>
      <c r="N205" s="10">
        <v>0.12720445016740281</v>
      </c>
      <c r="O205" s="10">
        <v>0.19835277374034779</v>
      </c>
      <c r="P205" s="10">
        <v>8.1220160587011495E-2</v>
      </c>
      <c r="Q205" s="8">
        <f t="shared" si="22"/>
        <v>0</v>
      </c>
      <c r="R205" s="8">
        <f t="shared" si="23"/>
        <v>0</v>
      </c>
      <c r="S205" s="8">
        <f t="shared" si="24"/>
        <v>0</v>
      </c>
      <c r="T205" s="8">
        <f t="shared" si="25"/>
        <v>1</v>
      </c>
      <c r="U205" s="10">
        <f t="shared" si="27"/>
        <v>8.1220160587011495E-2</v>
      </c>
    </row>
    <row r="206" spans="1:21" x14ac:dyDescent="0.3">
      <c r="A206" s="13">
        <v>0.42624351473994559</v>
      </c>
      <c r="B206" s="13">
        <v>0.71273599037847857</v>
      </c>
      <c r="C206" s="13">
        <v>0.33415664757041597</v>
      </c>
      <c r="D206" s="13">
        <v>0.67180849385868857</v>
      </c>
      <c r="E206" s="8">
        <f t="shared" si="26"/>
        <v>2</v>
      </c>
      <c r="M206" s="10">
        <v>0.36470102726471376</v>
      </c>
      <c r="N206" s="10">
        <v>9.7218746383586546E-2</v>
      </c>
      <c r="O206" s="10">
        <v>0.24254164225881517</v>
      </c>
      <c r="P206" s="10">
        <v>0.12757251227257535</v>
      </c>
      <c r="Q206" s="8">
        <f t="shared" si="22"/>
        <v>0</v>
      </c>
      <c r="R206" s="8">
        <f t="shared" si="23"/>
        <v>1</v>
      </c>
      <c r="S206" s="8">
        <f t="shared" si="24"/>
        <v>0</v>
      </c>
      <c r="T206" s="8">
        <f t="shared" si="25"/>
        <v>0</v>
      </c>
      <c r="U206" s="10">
        <f t="shared" si="27"/>
        <v>9.7218746383586546E-2</v>
      </c>
    </row>
    <row r="207" spans="1:21" x14ac:dyDescent="0.3">
      <c r="A207" s="13">
        <v>0.59639812098382572</v>
      </c>
      <c r="B207" s="13">
        <v>0.65656008033076962</v>
      </c>
      <c r="C207" s="13">
        <v>0.41591224294299406</v>
      </c>
      <c r="D207" s="13">
        <v>0.47607420228993791</v>
      </c>
      <c r="E207" s="8">
        <f t="shared" si="26"/>
        <v>3</v>
      </c>
      <c r="M207" s="10">
        <v>0.13224751458453718</v>
      </c>
      <c r="N207" s="10">
        <v>0.34682531760420698</v>
      </c>
      <c r="O207" s="10">
        <v>7.2438908285728104E-2</v>
      </c>
      <c r="P207" s="10">
        <v>0.17196905257960493</v>
      </c>
      <c r="Q207" s="8">
        <f t="shared" si="22"/>
        <v>0</v>
      </c>
      <c r="R207" s="8">
        <f t="shared" si="23"/>
        <v>0</v>
      </c>
      <c r="S207" s="8">
        <f t="shared" si="24"/>
        <v>1</v>
      </c>
      <c r="T207" s="8">
        <f t="shared" si="25"/>
        <v>0</v>
      </c>
      <c r="U207" s="10">
        <f t="shared" si="27"/>
        <v>7.2438908285728104E-2</v>
      </c>
    </row>
    <row r="208" spans="1:21" x14ac:dyDescent="0.3">
      <c r="A208" s="13">
        <v>0.54127563491551256</v>
      </c>
      <c r="B208" s="13">
        <v>0.63198615393085111</v>
      </c>
      <c r="C208" s="13">
        <v>0.45056511590017118</v>
      </c>
      <c r="D208" s="13">
        <v>0.52111774180099113</v>
      </c>
      <c r="E208" s="8">
        <f t="shared" si="26"/>
        <v>3</v>
      </c>
      <c r="M208" s="10">
        <v>0.21465632891494157</v>
      </c>
      <c r="N208" s="10">
        <v>0.31614147035237344</v>
      </c>
      <c r="O208" s="10">
        <v>1.9710239306388311E-2</v>
      </c>
      <c r="P208" s="10">
        <v>0.11536393240695775</v>
      </c>
      <c r="Q208" s="8">
        <f t="shared" si="22"/>
        <v>0</v>
      </c>
      <c r="R208" s="8">
        <f t="shared" si="23"/>
        <v>0</v>
      </c>
      <c r="S208" s="8">
        <f t="shared" si="24"/>
        <v>1</v>
      </c>
      <c r="T208" s="8">
        <f t="shared" si="25"/>
        <v>0</v>
      </c>
      <c r="U208" s="10">
        <f t="shared" si="27"/>
        <v>1.9710239306388311E-2</v>
      </c>
    </row>
    <row r="209" spans="1:21" x14ac:dyDescent="0.3">
      <c r="A209" s="13">
        <v>0.52617726071716586</v>
      </c>
      <c r="B209" s="13">
        <v>0.59658956715517786</v>
      </c>
      <c r="C209" s="13">
        <v>0.49600055795801923</v>
      </c>
      <c r="D209" s="13">
        <v>0.52617726071716586</v>
      </c>
      <c r="E209" s="8">
        <f t="shared" si="26"/>
        <v>3</v>
      </c>
      <c r="M209" s="10">
        <v>0.26255168046628696</v>
      </c>
      <c r="N209" s="10">
        <v>0.34979641592028371</v>
      </c>
      <c r="O209" s="10">
        <v>6.9255711511305384E-2</v>
      </c>
      <c r="P209" s="10">
        <v>0.14324523617139259</v>
      </c>
      <c r="Q209" s="8">
        <f t="shared" si="22"/>
        <v>0</v>
      </c>
      <c r="R209" s="8">
        <f t="shared" si="23"/>
        <v>0</v>
      </c>
      <c r="S209" s="8">
        <f t="shared" si="24"/>
        <v>1</v>
      </c>
      <c r="T209" s="8">
        <f t="shared" si="25"/>
        <v>0</v>
      </c>
      <c r="U209" s="10">
        <f t="shared" si="27"/>
        <v>6.9255711511305384E-2</v>
      </c>
    </row>
    <row r="210" spans="1:21" x14ac:dyDescent="0.3">
      <c r="A210" s="13">
        <v>0.48397778580973361</v>
      </c>
      <c r="B210" s="13">
        <v>0.79255105259860636</v>
      </c>
      <c r="C210" s="13">
        <v>0.40434597502550856</v>
      </c>
      <c r="D210" s="13">
        <v>0.46406983311367739</v>
      </c>
      <c r="E210" s="8">
        <f t="shared" si="26"/>
        <v>4</v>
      </c>
      <c r="M210" s="10">
        <v>0.22060360737729076</v>
      </c>
      <c r="N210" s="10">
        <v>0.26358654464668202</v>
      </c>
      <c r="O210" s="10">
        <v>0.19513885832800451</v>
      </c>
      <c r="P210" s="10">
        <v>0.17084805946152062</v>
      </c>
      <c r="Q210" s="8">
        <f t="shared" si="22"/>
        <v>0</v>
      </c>
      <c r="R210" s="8">
        <f t="shared" si="23"/>
        <v>0</v>
      </c>
      <c r="S210" s="8">
        <f t="shared" si="24"/>
        <v>0</v>
      </c>
      <c r="T210" s="8">
        <f t="shared" si="25"/>
        <v>1</v>
      </c>
      <c r="U210" s="10">
        <f t="shared" si="27"/>
        <v>0.17084805946152062</v>
      </c>
    </row>
    <row r="211" spans="1:21" x14ac:dyDescent="0.3">
      <c r="A211" s="13">
        <v>0.58589852792157326</v>
      </c>
      <c r="B211" s="13">
        <v>0.58589852792157326</v>
      </c>
      <c r="C211" s="13">
        <v>0.43691142906749608</v>
      </c>
      <c r="D211" s="13">
        <v>0.53623616163688181</v>
      </c>
      <c r="E211" s="8">
        <f t="shared" si="26"/>
        <v>3</v>
      </c>
      <c r="M211" s="10">
        <v>0.21658575571724445</v>
      </c>
      <c r="N211" s="10">
        <v>0.35230780611268953</v>
      </c>
      <c r="O211" s="10">
        <v>5.0902048884817051E-2</v>
      </c>
      <c r="P211" s="10">
        <v>0.15965063144494576</v>
      </c>
      <c r="Q211" s="8">
        <f t="shared" si="22"/>
        <v>0</v>
      </c>
      <c r="R211" s="8">
        <f t="shared" si="23"/>
        <v>0</v>
      </c>
      <c r="S211" s="8">
        <f t="shared" si="24"/>
        <v>1</v>
      </c>
      <c r="T211" s="8">
        <f t="shared" si="25"/>
        <v>0</v>
      </c>
      <c r="U211" s="10">
        <f t="shared" si="27"/>
        <v>5.0902048884817051E-2</v>
      </c>
    </row>
    <row r="212" spans="1:21" x14ac:dyDescent="0.3">
      <c r="A212" s="13">
        <v>0.58105551811767975</v>
      </c>
      <c r="B212" s="13">
        <v>0.63085480309634301</v>
      </c>
      <c r="C212" s="13">
        <v>0.42169780618595437</v>
      </c>
      <c r="D212" s="13">
        <v>0.51133651914755018</v>
      </c>
      <c r="E212" s="8">
        <f t="shared" si="26"/>
        <v>3</v>
      </c>
      <c r="M212" s="10">
        <v>0.17463456840957167</v>
      </c>
      <c r="N212" s="10">
        <v>0.3311269933640148</v>
      </c>
      <c r="O212" s="10">
        <v>3.3023812785176666E-2</v>
      </c>
      <c r="P212" s="10">
        <v>0.14473813538300392</v>
      </c>
      <c r="Q212" s="8">
        <f t="shared" si="22"/>
        <v>0</v>
      </c>
      <c r="R212" s="8">
        <f t="shared" si="23"/>
        <v>0</v>
      </c>
      <c r="S212" s="8">
        <f t="shared" si="24"/>
        <v>1</v>
      </c>
      <c r="T212" s="8">
        <f t="shared" si="25"/>
        <v>0</v>
      </c>
      <c r="U212" s="10">
        <f t="shared" si="27"/>
        <v>3.3023812785176666E-2</v>
      </c>
    </row>
    <row r="213" spans="1:21" x14ac:dyDescent="0.3">
      <c r="A213" s="13">
        <v>0.5138220694358292</v>
      </c>
      <c r="B213" s="13">
        <v>0.63336389450811104</v>
      </c>
      <c r="C213" s="13">
        <v>0.46401297565571148</v>
      </c>
      <c r="D213" s="13">
        <v>0.53374570694787571</v>
      </c>
      <c r="E213" s="8">
        <f t="shared" si="26"/>
        <v>3</v>
      </c>
      <c r="M213" s="10">
        <v>0.24435556615841683</v>
      </c>
      <c r="N213" s="10">
        <v>0.30331340703750931</v>
      </c>
      <c r="O213" s="10">
        <v>5.1131906843809687E-2</v>
      </c>
      <c r="P213" s="10">
        <v>9.7684934000413615E-2</v>
      </c>
      <c r="Q213" s="8">
        <f t="shared" si="22"/>
        <v>0</v>
      </c>
      <c r="R213" s="8">
        <f t="shared" si="23"/>
        <v>0</v>
      </c>
      <c r="S213" s="8">
        <f t="shared" si="24"/>
        <v>1</v>
      </c>
      <c r="T213" s="8">
        <f t="shared" si="25"/>
        <v>0</v>
      </c>
      <c r="U213" s="10">
        <f t="shared" si="27"/>
        <v>5.1131906843809687E-2</v>
      </c>
    </row>
    <row r="214" spans="1:21" x14ac:dyDescent="0.3">
      <c r="A214" s="13">
        <v>0.50393659395578949</v>
      </c>
      <c r="B214" s="13">
        <v>0.6033198791283797</v>
      </c>
      <c r="C214" s="13">
        <v>0.43436829433497715</v>
      </c>
      <c r="D214" s="13">
        <v>0.6033198791283797</v>
      </c>
      <c r="E214" s="8">
        <f t="shared" si="26"/>
        <v>4</v>
      </c>
      <c r="M214" s="10">
        <v>0.29279593343577753</v>
      </c>
      <c r="N214" s="10">
        <v>0.27379107171655953</v>
      </c>
      <c r="O214" s="10">
        <v>0.10010848648983177</v>
      </c>
      <c r="P214" s="10">
        <v>8.5843674298848247E-2</v>
      </c>
      <c r="Q214" s="8">
        <f t="shared" si="22"/>
        <v>0</v>
      </c>
      <c r="R214" s="8">
        <f t="shared" si="23"/>
        <v>0</v>
      </c>
      <c r="S214" s="8">
        <f t="shared" si="24"/>
        <v>0</v>
      </c>
      <c r="T214" s="8">
        <f t="shared" si="25"/>
        <v>1</v>
      </c>
      <c r="U214" s="10">
        <f t="shared" si="27"/>
        <v>8.5843674298848247E-2</v>
      </c>
    </row>
    <row r="215" spans="1:21" x14ac:dyDescent="0.3">
      <c r="A215" s="13">
        <v>0.53376517503221377</v>
      </c>
      <c r="B215" s="13">
        <v>0.64248858563757683</v>
      </c>
      <c r="C215" s="13">
        <v>0.40527387158951372</v>
      </c>
      <c r="D215" s="13">
        <v>0.56341701428822288</v>
      </c>
      <c r="E215" s="8">
        <f t="shared" si="26"/>
        <v>3</v>
      </c>
      <c r="M215" s="10">
        <v>0.22740195256890169</v>
      </c>
      <c r="N215" s="10">
        <v>0.26576590665673655</v>
      </c>
      <c r="O215" s="10">
        <v>6.2326323118171177E-2</v>
      </c>
      <c r="P215" s="10">
        <v>7.8903591002657522E-2</v>
      </c>
      <c r="Q215" s="8">
        <f t="shared" si="22"/>
        <v>0</v>
      </c>
      <c r="R215" s="8">
        <f t="shared" si="23"/>
        <v>0</v>
      </c>
      <c r="S215" s="8">
        <f t="shared" si="24"/>
        <v>1</v>
      </c>
      <c r="T215" s="8">
        <f t="shared" si="25"/>
        <v>0</v>
      </c>
      <c r="U215" s="10">
        <f t="shared" si="27"/>
        <v>6.2326323118171177E-2</v>
      </c>
    </row>
    <row r="216" spans="1:21" x14ac:dyDescent="0.3">
      <c r="A216" s="13">
        <v>0.51901330326120942</v>
      </c>
      <c r="B216" s="13">
        <v>0.58790473676389909</v>
      </c>
      <c r="C216" s="13">
        <v>0.4698051364735743</v>
      </c>
      <c r="D216" s="13">
        <v>0.56822147004884449</v>
      </c>
      <c r="E216" s="8">
        <f t="shared" si="26"/>
        <v>3</v>
      </c>
      <c r="M216" s="10">
        <v>0.28012188756120432</v>
      </c>
      <c r="N216" s="10">
        <v>0.32041192434999194</v>
      </c>
      <c r="O216" s="10">
        <v>7.631603711717258E-2</v>
      </c>
      <c r="P216" s="10">
        <v>0.11876964907286389</v>
      </c>
      <c r="Q216" s="8">
        <f t="shared" si="22"/>
        <v>0</v>
      </c>
      <c r="R216" s="8">
        <f t="shared" si="23"/>
        <v>0</v>
      </c>
      <c r="S216" s="8">
        <f t="shared" si="24"/>
        <v>1</v>
      </c>
      <c r="T216" s="8">
        <f t="shared" si="25"/>
        <v>0</v>
      </c>
      <c r="U216" s="10">
        <f t="shared" si="27"/>
        <v>7.631603711717258E-2</v>
      </c>
    </row>
    <row r="217" spans="1:21" x14ac:dyDescent="0.3">
      <c r="A217" s="13">
        <v>0.49221436430429127</v>
      </c>
      <c r="B217" s="13">
        <v>0.6096058238578651</v>
      </c>
      <c r="C217" s="13">
        <v>0.49221436430429127</v>
      </c>
      <c r="D217" s="13">
        <v>0.5509100940810796</v>
      </c>
      <c r="E217" s="8">
        <f t="shared" si="26"/>
        <v>3</v>
      </c>
      <c r="M217" s="10">
        <v>0.28791592439077313</v>
      </c>
      <c r="N217" s="10">
        <v>0.31670638501825366</v>
      </c>
      <c r="O217" s="10">
        <v>8.8978744763286141E-2</v>
      </c>
      <c r="P217" s="10">
        <v>0.1127411309344355</v>
      </c>
      <c r="Q217" s="8">
        <f t="shared" ref="Q217:Q248" si="28">IF(M217 &lt; SMALL($M217:$P217, 2), 1, 0)</f>
        <v>0</v>
      </c>
      <c r="R217" s="8">
        <f t="shared" ref="R217:R248" si="29">IF(N217 &lt; SMALL($M217:$P217, 2), 1, 0)</f>
        <v>0</v>
      </c>
      <c r="S217" s="8">
        <f t="shared" ref="S217:S248" si="30">IF(O217 &lt; SMALL($M217:$P217, 2), 1, 0)</f>
        <v>1</v>
      </c>
      <c r="T217" s="8">
        <f t="shared" ref="T217:T248" si="31">IF(P217 &lt; SMALL($M217:$P217, 2), 1, 0)</f>
        <v>0</v>
      </c>
      <c r="U217" s="10">
        <f t="shared" si="27"/>
        <v>8.8978744763286141E-2</v>
      </c>
    </row>
    <row r="218" spans="1:21" x14ac:dyDescent="0.3">
      <c r="A218" s="13">
        <v>0.55335906146133218</v>
      </c>
      <c r="B218" s="13">
        <v>0.61206614657372993</v>
      </c>
      <c r="C218" s="13">
        <v>0.46529843379273422</v>
      </c>
      <c r="D218" s="13">
        <v>0.51422100471973231</v>
      </c>
      <c r="E218" s="8">
        <f t="shared" si="26"/>
        <v>3</v>
      </c>
      <c r="M218" s="10">
        <v>0.2190243738829358</v>
      </c>
      <c r="N218" s="10">
        <v>0.34302108027198774</v>
      </c>
      <c r="O218" s="10">
        <v>2.8640075271264387E-2</v>
      </c>
      <c r="P218" s="10">
        <v>0.14035065773729863</v>
      </c>
      <c r="Q218" s="8">
        <f t="shared" si="28"/>
        <v>0</v>
      </c>
      <c r="R218" s="8">
        <f t="shared" si="29"/>
        <v>0</v>
      </c>
      <c r="S218" s="8">
        <f t="shared" si="30"/>
        <v>1</v>
      </c>
      <c r="T218" s="8">
        <f t="shared" si="31"/>
        <v>0</v>
      </c>
      <c r="U218" s="10">
        <f t="shared" si="27"/>
        <v>2.8640075271264387E-2</v>
      </c>
    </row>
    <row r="219" spans="1:21" x14ac:dyDescent="0.3">
      <c r="A219" s="13">
        <v>0.53382363760404816</v>
      </c>
      <c r="B219" s="13">
        <v>0.63997469504874283</v>
      </c>
      <c r="C219" s="13">
        <v>0.45662286855336121</v>
      </c>
      <c r="D219" s="13">
        <v>0.5145234453413764</v>
      </c>
      <c r="E219" s="8">
        <f t="shared" si="26"/>
        <v>3</v>
      </c>
      <c r="M219" s="10">
        <v>0.21590885739546373</v>
      </c>
      <c r="N219" s="10">
        <v>0.31503879696211101</v>
      </c>
      <c r="O219" s="10">
        <v>3.2496603162664776E-2</v>
      </c>
      <c r="P219" s="10">
        <v>0.11415754583833405</v>
      </c>
      <c r="Q219" s="8">
        <f t="shared" si="28"/>
        <v>0</v>
      </c>
      <c r="R219" s="8">
        <f t="shared" si="29"/>
        <v>0</v>
      </c>
      <c r="S219" s="8">
        <f t="shared" si="30"/>
        <v>1</v>
      </c>
      <c r="T219" s="8">
        <f t="shared" si="31"/>
        <v>0</v>
      </c>
      <c r="U219" s="10">
        <f t="shared" si="27"/>
        <v>3.2496603162664776E-2</v>
      </c>
    </row>
    <row r="220" spans="1:21" x14ac:dyDescent="0.3">
      <c r="A220" s="13">
        <v>0.52173057258592714</v>
      </c>
      <c r="B220" s="13">
        <v>0.59909371419102053</v>
      </c>
      <c r="C220" s="13">
        <v>0.44436743098083092</v>
      </c>
      <c r="D220" s="13">
        <v>0.5797529287897486</v>
      </c>
      <c r="E220" s="8">
        <f t="shared" si="26"/>
        <v>3</v>
      </c>
      <c r="M220" s="10">
        <v>0.27164197143231639</v>
      </c>
      <c r="N220" s="10">
        <v>0.29718558783760851</v>
      </c>
      <c r="O220" s="10">
        <v>7.2908774169262267E-2</v>
      </c>
      <c r="P220" s="10">
        <v>9.9898782243985212E-2</v>
      </c>
      <c r="Q220" s="8">
        <f t="shared" si="28"/>
        <v>0</v>
      </c>
      <c r="R220" s="8">
        <f t="shared" si="29"/>
        <v>0</v>
      </c>
      <c r="S220" s="8">
        <f t="shared" si="30"/>
        <v>1</v>
      </c>
      <c r="T220" s="8">
        <f t="shared" si="31"/>
        <v>0</v>
      </c>
      <c r="U220" s="10">
        <f t="shared" si="27"/>
        <v>7.2908774169262267E-2</v>
      </c>
    </row>
    <row r="221" spans="1:21" x14ac:dyDescent="0.3">
      <c r="A221" s="13">
        <v>0.62938727860686039</v>
      </c>
      <c r="B221" s="13">
        <v>0.72744108594367773</v>
      </c>
      <c r="C221" s="13">
        <v>0.35483661806376787</v>
      </c>
      <c r="D221" s="13">
        <v>0.4332796639332227</v>
      </c>
      <c r="E221" s="8">
        <f t="shared" si="26"/>
        <v>1</v>
      </c>
      <c r="M221" s="10">
        <v>5.5512820472464856E-2</v>
      </c>
      <c r="N221" s="10">
        <v>0.36065626636532905</v>
      </c>
      <c r="O221" s="10">
        <v>0.17596189593189857</v>
      </c>
      <c r="P221" s="10">
        <v>0.23702665337772824</v>
      </c>
      <c r="Q221" s="8">
        <f t="shared" si="28"/>
        <v>1</v>
      </c>
      <c r="R221" s="8">
        <f t="shared" si="29"/>
        <v>0</v>
      </c>
      <c r="S221" s="8">
        <f t="shared" si="30"/>
        <v>0</v>
      </c>
      <c r="T221" s="8">
        <f t="shared" si="31"/>
        <v>0</v>
      </c>
      <c r="U221" s="10">
        <f t="shared" si="27"/>
        <v>5.5512820472464856E-2</v>
      </c>
    </row>
    <row r="222" spans="1:21" x14ac:dyDescent="0.3">
      <c r="A222" s="13">
        <v>0.40901286447815438</v>
      </c>
      <c r="B222" s="13">
        <v>0.66345945879560786</v>
      </c>
      <c r="C222" s="13">
        <v>0.40901286447815438</v>
      </c>
      <c r="D222" s="13">
        <v>0.66345945879560786</v>
      </c>
      <c r="E222" s="8">
        <f t="shared" si="26"/>
        <v>4</v>
      </c>
      <c r="M222" s="10">
        <v>0.37672926511430344</v>
      </c>
      <c r="N222" s="10">
        <v>0.17286720617685913</v>
      </c>
      <c r="O222" s="10">
        <v>0.21110595557228179</v>
      </c>
      <c r="P222" s="10">
        <v>9.6376662541209343E-2</v>
      </c>
      <c r="Q222" s="8">
        <f t="shared" si="28"/>
        <v>0</v>
      </c>
      <c r="R222" s="8">
        <f t="shared" si="29"/>
        <v>0</v>
      </c>
      <c r="S222" s="8">
        <f t="shared" si="30"/>
        <v>0</v>
      </c>
      <c r="T222" s="8">
        <f t="shared" si="31"/>
        <v>1</v>
      </c>
      <c r="U222" s="10">
        <f t="shared" si="27"/>
        <v>9.6376662541209343E-2</v>
      </c>
    </row>
    <row r="223" spans="1:21" x14ac:dyDescent="0.3">
      <c r="A223" s="13">
        <v>0.72893545815396876</v>
      </c>
      <c r="B223" s="13">
        <v>0.72893545815396876</v>
      </c>
      <c r="C223" s="13">
        <v>0.34353686511979348</v>
      </c>
      <c r="D223" s="13">
        <v>0.34353686511979348</v>
      </c>
      <c r="E223" s="8">
        <f t="shared" si="26"/>
        <v>1</v>
      </c>
      <c r="M223" s="10">
        <v>8.5572170782146351E-2</v>
      </c>
      <c r="N223" s="10">
        <v>0.49029042390325539</v>
      </c>
      <c r="O223" s="10">
        <v>0.28557883011727264</v>
      </c>
      <c r="P223" s="10">
        <v>0.3684674760616477</v>
      </c>
      <c r="Q223" s="8">
        <f t="shared" si="28"/>
        <v>1</v>
      </c>
      <c r="R223" s="8">
        <f t="shared" si="29"/>
        <v>0</v>
      </c>
      <c r="S223" s="8">
        <f t="shared" si="30"/>
        <v>0</v>
      </c>
      <c r="T223" s="8">
        <f t="shared" si="31"/>
        <v>0</v>
      </c>
      <c r="U223" s="10">
        <f t="shared" si="27"/>
        <v>8.5572170782146351E-2</v>
      </c>
    </row>
    <row r="224" spans="1:21" x14ac:dyDescent="0.3">
      <c r="A224" s="13">
        <v>0.4447381325199129</v>
      </c>
      <c r="B224" s="13">
        <v>0.66235506663594612</v>
      </c>
      <c r="C224" s="13">
        <v>0.43484645369645747</v>
      </c>
      <c r="D224" s="13">
        <v>0.60300499369521077</v>
      </c>
      <c r="E224" s="8">
        <f t="shared" si="26"/>
        <v>4</v>
      </c>
      <c r="M224" s="10">
        <v>0.31651295534338236</v>
      </c>
      <c r="N224" s="10">
        <v>0.2138211348827623</v>
      </c>
      <c r="O224" s="10">
        <v>0.14383140762696012</v>
      </c>
      <c r="P224" s="10">
        <v>3.7517350942000073E-2</v>
      </c>
      <c r="Q224" s="8">
        <f t="shared" si="28"/>
        <v>0</v>
      </c>
      <c r="R224" s="8">
        <f t="shared" si="29"/>
        <v>0</v>
      </c>
      <c r="S224" s="8">
        <f t="shared" si="30"/>
        <v>0</v>
      </c>
      <c r="T224" s="8">
        <f t="shared" si="31"/>
        <v>1</v>
      </c>
      <c r="U224" s="10">
        <f t="shared" si="27"/>
        <v>3.7517350942000073E-2</v>
      </c>
    </row>
    <row r="225" spans="1:21" x14ac:dyDescent="0.3">
      <c r="A225" s="13">
        <v>0.71626635615493195</v>
      </c>
      <c r="B225" s="13">
        <v>0.71626635615493195</v>
      </c>
      <c r="C225" s="13">
        <v>0.30195029205859758</v>
      </c>
      <c r="D225" s="13">
        <v>0.41046164217906594</v>
      </c>
      <c r="E225" s="8">
        <f t="shared" si="26"/>
        <v>1</v>
      </c>
      <c r="M225" s="10">
        <v>6.9337221351606165E-2</v>
      </c>
      <c r="N225" s="10">
        <v>0.43638949641923469</v>
      </c>
      <c r="O225" s="10">
        <v>0.25569746037197938</v>
      </c>
      <c r="P225" s="10">
        <v>0.32773533822093187</v>
      </c>
      <c r="Q225" s="8">
        <f t="shared" si="28"/>
        <v>1</v>
      </c>
      <c r="R225" s="8">
        <f t="shared" si="29"/>
        <v>0</v>
      </c>
      <c r="S225" s="8">
        <f t="shared" si="30"/>
        <v>0</v>
      </c>
      <c r="T225" s="8">
        <f t="shared" si="31"/>
        <v>0</v>
      </c>
      <c r="U225" s="10">
        <f t="shared" si="27"/>
        <v>6.9337221351606165E-2</v>
      </c>
    </row>
    <row r="226" spans="1:21" x14ac:dyDescent="0.3">
      <c r="A226" s="13">
        <v>0.66710598642117813</v>
      </c>
      <c r="B226" s="13">
        <v>0.66710598642117813</v>
      </c>
      <c r="C226" s="13">
        <v>0.37516560805620985</v>
      </c>
      <c r="D226" s="13">
        <v>0.43556706564896114</v>
      </c>
      <c r="E226" s="8">
        <f t="shared" si="26"/>
        <v>1</v>
      </c>
      <c r="M226" s="10">
        <v>5.6481239051096428E-2</v>
      </c>
      <c r="N226" s="10">
        <v>0.40372369437355982</v>
      </c>
      <c r="O226" s="10">
        <v>0.16007598892176439</v>
      </c>
      <c r="P226" s="10">
        <v>0.25426827434851645</v>
      </c>
      <c r="Q226" s="8">
        <f t="shared" si="28"/>
        <v>1</v>
      </c>
      <c r="R226" s="8">
        <f t="shared" si="29"/>
        <v>0</v>
      </c>
      <c r="S226" s="8">
        <f t="shared" si="30"/>
        <v>0</v>
      </c>
      <c r="T226" s="8">
        <f t="shared" si="31"/>
        <v>0</v>
      </c>
      <c r="U226" s="10">
        <f t="shared" si="27"/>
        <v>5.6481239051096428E-2</v>
      </c>
    </row>
    <row r="227" spans="1:21" x14ac:dyDescent="0.3">
      <c r="A227" s="13">
        <v>0.423096028305459</v>
      </c>
      <c r="B227" s="13">
        <v>0.67451854681973189</v>
      </c>
      <c r="C227" s="13">
        <v>0.423096028305459</v>
      </c>
      <c r="D227" s="13">
        <v>0.62423404311687736</v>
      </c>
      <c r="E227" s="8">
        <f t="shared" si="26"/>
        <v>4</v>
      </c>
      <c r="M227" s="10">
        <v>0.34161504945558779</v>
      </c>
      <c r="N227" s="10">
        <v>0.18577895762294316</v>
      </c>
      <c r="O227" s="10">
        <v>0.17682967929627275</v>
      </c>
      <c r="P227" s="10">
        <v>5.811675435208493E-2</v>
      </c>
      <c r="Q227" s="8">
        <f t="shared" si="28"/>
        <v>0</v>
      </c>
      <c r="R227" s="8">
        <f t="shared" si="29"/>
        <v>0</v>
      </c>
      <c r="S227" s="8">
        <f t="shared" si="30"/>
        <v>0</v>
      </c>
      <c r="T227" s="8">
        <f t="shared" si="31"/>
        <v>1</v>
      </c>
      <c r="U227" s="10">
        <f t="shared" si="27"/>
        <v>5.811675435208493E-2</v>
      </c>
    </row>
    <row r="228" spans="1:21" x14ac:dyDescent="0.3">
      <c r="A228" s="13">
        <v>0.50643874186606663</v>
      </c>
      <c r="B228" s="13">
        <v>0.61569594769238989</v>
      </c>
      <c r="C228" s="13">
        <v>0.46670884883831265</v>
      </c>
      <c r="D228" s="13">
        <v>0.55610110815075953</v>
      </c>
      <c r="E228" s="8">
        <f t="shared" si="26"/>
        <v>3</v>
      </c>
      <c r="M228" s="10">
        <v>0.26832236745621524</v>
      </c>
      <c r="N228" s="10">
        <v>0.30126301151220453</v>
      </c>
      <c r="O228" s="10">
        <v>6.707279050467671E-2</v>
      </c>
      <c r="P228" s="10">
        <v>9.5402496970262124E-2</v>
      </c>
      <c r="Q228" s="8">
        <f t="shared" si="28"/>
        <v>0</v>
      </c>
      <c r="R228" s="8">
        <f t="shared" si="29"/>
        <v>0</v>
      </c>
      <c r="S228" s="8">
        <f t="shared" si="30"/>
        <v>1</v>
      </c>
      <c r="T228" s="8">
        <f t="shared" si="31"/>
        <v>0</v>
      </c>
      <c r="U228" s="10">
        <f t="shared" si="27"/>
        <v>6.707279050467671E-2</v>
      </c>
    </row>
    <row r="229" spans="1:21" x14ac:dyDescent="0.3">
      <c r="A229" s="13">
        <v>0.55815801602038206</v>
      </c>
      <c r="B229" s="13">
        <v>0.57764410880571404</v>
      </c>
      <c r="C229" s="13">
        <v>0.45098450570105186</v>
      </c>
      <c r="D229" s="13">
        <v>0.55815801602038206</v>
      </c>
      <c r="E229" s="8">
        <f t="shared" si="26"/>
        <v>3</v>
      </c>
      <c r="M229" s="10">
        <v>0.2517607476115421</v>
      </c>
      <c r="N229" s="10">
        <v>0.33958698970447626</v>
      </c>
      <c r="O229" s="10">
        <v>6.0652136920309629E-2</v>
      </c>
      <c r="P229" s="10">
        <v>0.14256154131048862</v>
      </c>
      <c r="Q229" s="8">
        <f t="shared" si="28"/>
        <v>0</v>
      </c>
      <c r="R229" s="8">
        <f t="shared" si="29"/>
        <v>0</v>
      </c>
      <c r="S229" s="8">
        <f t="shared" si="30"/>
        <v>1</v>
      </c>
      <c r="T229" s="8">
        <f t="shared" si="31"/>
        <v>0</v>
      </c>
      <c r="U229" s="10">
        <f t="shared" si="27"/>
        <v>6.0652136920309629E-2</v>
      </c>
    </row>
    <row r="230" spans="1:21" x14ac:dyDescent="0.3">
      <c r="A230" s="13">
        <v>0.60177446808998758</v>
      </c>
      <c r="B230" s="13">
        <v>0.61148384682378143</v>
      </c>
      <c r="C230" s="13">
        <v>0.41729627214790982</v>
      </c>
      <c r="D230" s="13">
        <v>0.5143900594858456</v>
      </c>
      <c r="E230" s="8">
        <f t="shared" si="26"/>
        <v>3</v>
      </c>
      <c r="M230" s="10">
        <v>0.17500755430212989</v>
      </c>
      <c r="N230" s="10">
        <v>0.35031396605371601</v>
      </c>
      <c r="O230" s="10">
        <v>5.2898628043565321E-2</v>
      </c>
      <c r="P230" s="10">
        <v>0.16648032939166046</v>
      </c>
      <c r="Q230" s="8">
        <f t="shared" si="28"/>
        <v>0</v>
      </c>
      <c r="R230" s="8">
        <f t="shared" si="29"/>
        <v>0</v>
      </c>
      <c r="S230" s="8">
        <f t="shared" si="30"/>
        <v>1</v>
      </c>
      <c r="T230" s="8">
        <f t="shared" si="31"/>
        <v>0</v>
      </c>
      <c r="U230" s="10">
        <f t="shared" si="27"/>
        <v>5.2898628043565321E-2</v>
      </c>
    </row>
    <row r="231" spans="1:21" x14ac:dyDescent="0.3">
      <c r="A231" s="13">
        <v>0.50944278405704924</v>
      </c>
      <c r="B231" s="13">
        <v>0.60687324798371345</v>
      </c>
      <c r="C231" s="13">
        <v>0.48021364487904988</v>
      </c>
      <c r="D231" s="13">
        <v>0.54841496962771463</v>
      </c>
      <c r="E231" s="8">
        <f t="shared" si="26"/>
        <v>3</v>
      </c>
      <c r="M231" s="10">
        <v>0.2713801096502122</v>
      </c>
      <c r="N231" s="10">
        <v>0.31852524272428184</v>
      </c>
      <c r="O231" s="10">
        <v>6.9624637490829741E-2</v>
      </c>
      <c r="P231" s="10">
        <v>0.11257622822688319</v>
      </c>
      <c r="Q231" s="8">
        <f t="shared" si="28"/>
        <v>0</v>
      </c>
      <c r="R231" s="8">
        <f t="shared" si="29"/>
        <v>0</v>
      </c>
      <c r="S231" s="8">
        <f t="shared" si="30"/>
        <v>1</v>
      </c>
      <c r="T231" s="8">
        <f t="shared" si="31"/>
        <v>0</v>
      </c>
      <c r="U231" s="10">
        <f t="shared" si="27"/>
        <v>6.9624637490829741E-2</v>
      </c>
    </row>
    <row r="232" spans="1:21" x14ac:dyDescent="0.3">
      <c r="A232" s="13">
        <v>0.57298496552009104</v>
      </c>
      <c r="B232" s="13">
        <v>0.59258432759113577</v>
      </c>
      <c r="C232" s="13">
        <v>0.46518847412934505</v>
      </c>
      <c r="D232" s="13">
        <v>0.51418687930695683</v>
      </c>
      <c r="E232" s="8">
        <f t="shared" si="26"/>
        <v>3</v>
      </c>
      <c r="M232" s="10">
        <v>0.2186200183887152</v>
      </c>
      <c r="N232" s="10">
        <v>0.36337324637024188</v>
      </c>
      <c r="O232" s="10">
        <v>4.4017751331158941E-2</v>
      </c>
      <c r="P232" s="10">
        <v>0.16229569360154444</v>
      </c>
      <c r="Q232" s="8">
        <f t="shared" si="28"/>
        <v>0</v>
      </c>
      <c r="R232" s="8">
        <f t="shared" si="29"/>
        <v>0</v>
      </c>
      <c r="S232" s="8">
        <f t="shared" si="30"/>
        <v>1</v>
      </c>
      <c r="T232" s="8">
        <f t="shared" si="31"/>
        <v>0</v>
      </c>
      <c r="U232" s="10">
        <f t="shared" si="27"/>
        <v>4.4017751331158941E-2</v>
      </c>
    </row>
    <row r="233" spans="1:21" x14ac:dyDescent="0.3">
      <c r="A233" s="13">
        <v>0.4505221686167592</v>
      </c>
      <c r="B233" s="13">
        <v>0.62684809711529865</v>
      </c>
      <c r="C233" s="13">
        <v>0.4505221686167592</v>
      </c>
      <c r="D233" s="13">
        <v>0.61705221219871309</v>
      </c>
      <c r="E233" s="8">
        <f t="shared" si="26"/>
        <v>4</v>
      </c>
      <c r="M233" s="10">
        <v>0.33269706568024809</v>
      </c>
      <c r="N233" s="10">
        <v>0.24370336074632401</v>
      </c>
      <c r="O233" s="10">
        <v>0.14339862329276917</v>
      </c>
      <c r="P233" s="10">
        <v>7.0609430659086841E-2</v>
      </c>
      <c r="Q233" s="8">
        <f t="shared" si="28"/>
        <v>0</v>
      </c>
      <c r="R233" s="8">
        <f t="shared" si="29"/>
        <v>0</v>
      </c>
      <c r="S233" s="8">
        <f t="shared" si="30"/>
        <v>0</v>
      </c>
      <c r="T233" s="8">
        <f t="shared" si="31"/>
        <v>1</v>
      </c>
      <c r="U233" s="10">
        <f t="shared" si="27"/>
        <v>7.0609430659086841E-2</v>
      </c>
    </row>
    <row r="234" spans="1:21" x14ac:dyDescent="0.3">
      <c r="A234" s="13">
        <v>0.57770802228774221</v>
      </c>
      <c r="B234" s="13">
        <v>0.58746610714676628</v>
      </c>
      <c r="C234" s="13">
        <v>0.46061100397943183</v>
      </c>
      <c r="D234" s="13">
        <v>0.51915951313358699</v>
      </c>
      <c r="E234" s="8">
        <f t="shared" si="26"/>
        <v>3</v>
      </c>
      <c r="M234" s="10">
        <v>0.21960679752567858</v>
      </c>
      <c r="N234" s="10">
        <v>0.36432940286231935</v>
      </c>
      <c r="O234" s="10">
        <v>4.7113951854631304E-2</v>
      </c>
      <c r="P234" s="10">
        <v>0.16455903240935996</v>
      </c>
      <c r="Q234" s="8">
        <f t="shared" si="28"/>
        <v>0</v>
      </c>
      <c r="R234" s="8">
        <f t="shared" si="29"/>
        <v>0</v>
      </c>
      <c r="S234" s="8">
        <f t="shared" si="30"/>
        <v>1</v>
      </c>
      <c r="T234" s="8">
        <f t="shared" si="31"/>
        <v>0</v>
      </c>
      <c r="U234" s="10">
        <f t="shared" si="27"/>
        <v>4.7113951854631304E-2</v>
      </c>
    </row>
    <row r="235" spans="1:21" x14ac:dyDescent="0.3">
      <c r="A235" s="13">
        <v>0.6124198724509845</v>
      </c>
      <c r="B235" s="13">
        <v>0.6124198724509845</v>
      </c>
      <c r="C235" s="13">
        <v>0.44530721647166144</v>
      </c>
      <c r="D235" s="13">
        <v>0.47479768517389404</v>
      </c>
      <c r="E235" s="8">
        <f t="shared" si="26"/>
        <v>3</v>
      </c>
      <c r="M235" s="10">
        <v>0.16166083104488749</v>
      </c>
      <c r="N235" s="10">
        <v>0.38676121781785139</v>
      </c>
      <c r="O235" s="10">
        <v>7.3661165989320043E-2</v>
      </c>
      <c r="P235" s="10">
        <v>0.19743868724444755</v>
      </c>
      <c r="Q235" s="8">
        <f t="shared" si="28"/>
        <v>0</v>
      </c>
      <c r="R235" s="8">
        <f t="shared" si="29"/>
        <v>0</v>
      </c>
      <c r="S235" s="8">
        <f t="shared" si="30"/>
        <v>1</v>
      </c>
      <c r="T235" s="8">
        <f t="shared" si="31"/>
        <v>0</v>
      </c>
      <c r="U235" s="10">
        <f t="shared" si="27"/>
        <v>7.3661165989320043E-2</v>
      </c>
    </row>
    <row r="236" spans="1:21" x14ac:dyDescent="0.3">
      <c r="A236" s="13">
        <v>0.58067050216977734</v>
      </c>
      <c r="B236" s="13">
        <v>0.58067050216977734</v>
      </c>
      <c r="C236" s="13">
        <v>0.44243033162299239</v>
      </c>
      <c r="D236" s="13">
        <v>0.54117331058498164</v>
      </c>
      <c r="E236" s="8">
        <f t="shared" si="26"/>
        <v>3</v>
      </c>
      <c r="M236" s="10">
        <v>0.22676955884566882</v>
      </c>
      <c r="N236" s="10">
        <v>0.35264720087584472</v>
      </c>
      <c r="O236" s="10">
        <v>5.3911342689411473E-2</v>
      </c>
      <c r="P236" s="10">
        <v>0.1582928947930401</v>
      </c>
      <c r="Q236" s="8">
        <f t="shared" si="28"/>
        <v>0</v>
      </c>
      <c r="R236" s="8">
        <f t="shared" si="29"/>
        <v>0</v>
      </c>
      <c r="S236" s="8">
        <f t="shared" si="30"/>
        <v>1</v>
      </c>
      <c r="T236" s="8">
        <f t="shared" si="31"/>
        <v>0</v>
      </c>
      <c r="U236" s="10">
        <f t="shared" si="27"/>
        <v>5.3911342689411473E-2</v>
      </c>
    </row>
    <row r="237" spans="1:21" x14ac:dyDescent="0.3">
      <c r="A237" s="13">
        <v>0.46529843379273422</v>
      </c>
      <c r="B237" s="13">
        <v>0.66098871750072663</v>
      </c>
      <c r="C237" s="13">
        <v>0.44572940542193501</v>
      </c>
      <c r="D237" s="13">
        <v>0.57292808983213139</v>
      </c>
      <c r="E237" s="8">
        <f t="shared" si="26"/>
        <v>4</v>
      </c>
      <c r="M237" s="10">
        <v>0.28659515774269434</v>
      </c>
      <c r="N237" s="10">
        <v>0.24049707302177623</v>
      </c>
      <c r="O237" s="10">
        <v>0.11125996592074837</v>
      </c>
      <c r="P237" s="10">
        <v>3.913564698987005E-2</v>
      </c>
      <c r="Q237" s="8">
        <f t="shared" si="28"/>
        <v>0</v>
      </c>
      <c r="R237" s="8">
        <f t="shared" si="29"/>
        <v>0</v>
      </c>
      <c r="S237" s="8">
        <f t="shared" si="30"/>
        <v>0</v>
      </c>
      <c r="T237" s="8">
        <f t="shared" si="31"/>
        <v>1</v>
      </c>
      <c r="U237" s="10">
        <f t="shared" si="27"/>
        <v>3.913564698987005E-2</v>
      </c>
    </row>
    <row r="238" spans="1:21" x14ac:dyDescent="0.3">
      <c r="A238" s="13">
        <v>0.52647242537735872</v>
      </c>
      <c r="B238" s="13">
        <v>0.5850548429344985</v>
      </c>
      <c r="C238" s="13">
        <v>0.44836253530117148</v>
      </c>
      <c r="D238" s="13">
        <v>0.5850548429344985</v>
      </c>
      <c r="E238" s="8">
        <f t="shared" si="26"/>
        <v>3</v>
      </c>
      <c r="M238" s="10">
        <v>0.27979442213197342</v>
      </c>
      <c r="N238" s="10">
        <v>0.30881967970563273</v>
      </c>
      <c r="O238" s="10">
        <v>8.1327389668867003E-2</v>
      </c>
      <c r="P238" s="10">
        <v>0.11442401432574303</v>
      </c>
      <c r="Q238" s="8">
        <f t="shared" si="28"/>
        <v>0</v>
      </c>
      <c r="R238" s="8">
        <f t="shared" si="29"/>
        <v>0</v>
      </c>
      <c r="S238" s="8">
        <f t="shared" si="30"/>
        <v>1</v>
      </c>
      <c r="T238" s="8">
        <f t="shared" si="31"/>
        <v>0</v>
      </c>
      <c r="U238" s="10">
        <f t="shared" si="27"/>
        <v>8.1327389668867003E-2</v>
      </c>
    </row>
    <row r="239" spans="1:21" x14ac:dyDescent="0.3">
      <c r="A239" s="13">
        <v>0.71876812530253231</v>
      </c>
      <c r="B239" s="13">
        <v>0.71876812530253231</v>
      </c>
      <c r="C239" s="13">
        <v>0.33397101271008034</v>
      </c>
      <c r="D239" s="13">
        <v>0.3734373832323824</v>
      </c>
      <c r="E239" s="8">
        <f t="shared" si="26"/>
        <v>1</v>
      </c>
      <c r="M239" s="10">
        <v>5.9831688273112443E-2</v>
      </c>
      <c r="N239" s="10">
        <v>0.46328645328402795</v>
      </c>
      <c r="O239" s="10">
        <v>0.2614557128732603</v>
      </c>
      <c r="P239" s="10">
        <v>0.34247326490785485</v>
      </c>
      <c r="Q239" s="8">
        <f t="shared" si="28"/>
        <v>1</v>
      </c>
      <c r="R239" s="8">
        <f t="shared" si="29"/>
        <v>0</v>
      </c>
      <c r="S239" s="8">
        <f t="shared" si="30"/>
        <v>0</v>
      </c>
      <c r="T239" s="8">
        <f t="shared" si="31"/>
        <v>0</v>
      </c>
      <c r="U239" s="10">
        <f t="shared" si="27"/>
        <v>5.9831688273112443E-2</v>
      </c>
    </row>
    <row r="240" spans="1:21" x14ac:dyDescent="0.3">
      <c r="A240" s="13">
        <v>0.60180157844145821</v>
      </c>
      <c r="B240" s="13">
        <v>0.67241048884638899</v>
      </c>
      <c r="C240" s="13">
        <v>0.42023580882878386</v>
      </c>
      <c r="D240" s="13">
        <v>0.45049677043089625</v>
      </c>
      <c r="E240" s="8">
        <f t="shared" si="26"/>
        <v>3</v>
      </c>
      <c r="M240" s="10">
        <v>0.11308315512258703</v>
      </c>
      <c r="N240" s="10">
        <v>0.36177721846634492</v>
      </c>
      <c r="O240" s="10">
        <v>9.867188782794542E-2</v>
      </c>
      <c r="P240" s="10">
        <v>0.19245624909071585</v>
      </c>
      <c r="Q240" s="8">
        <f t="shared" si="28"/>
        <v>0</v>
      </c>
      <c r="R240" s="8">
        <f t="shared" si="29"/>
        <v>0</v>
      </c>
      <c r="S240" s="8">
        <f t="shared" si="30"/>
        <v>1</v>
      </c>
      <c r="T240" s="8">
        <f t="shared" si="31"/>
        <v>0</v>
      </c>
      <c r="U240" s="10">
        <f t="shared" si="27"/>
        <v>9.867188782794542E-2</v>
      </c>
    </row>
    <row r="241" spans="1:21" x14ac:dyDescent="0.3">
      <c r="A241" s="13">
        <v>0.49580758144157255</v>
      </c>
      <c r="B241" s="13">
        <v>0.64741475717398156</v>
      </c>
      <c r="C241" s="13">
        <v>0.47559329134391937</v>
      </c>
      <c r="D241" s="13">
        <v>0.52612901658805522</v>
      </c>
      <c r="E241" s="8">
        <f t="shared" si="26"/>
        <v>3</v>
      </c>
      <c r="M241" s="10">
        <v>0.25410462109344339</v>
      </c>
      <c r="N241" s="10">
        <v>0.29955713529402844</v>
      </c>
      <c r="O241" s="10">
        <v>7.3943535501239777E-2</v>
      </c>
      <c r="P241" s="10">
        <v>9.6834095135718876E-2</v>
      </c>
      <c r="Q241" s="8">
        <f t="shared" si="28"/>
        <v>0</v>
      </c>
      <c r="R241" s="8">
        <f t="shared" si="29"/>
        <v>0</v>
      </c>
      <c r="S241" s="8">
        <f t="shared" si="30"/>
        <v>1</v>
      </c>
      <c r="T241" s="8">
        <f t="shared" si="31"/>
        <v>0</v>
      </c>
      <c r="U241" s="10">
        <f t="shared" si="27"/>
        <v>7.3943535501239777E-2</v>
      </c>
    </row>
    <row r="242" spans="1:21" x14ac:dyDescent="0.3">
      <c r="A242" s="13">
        <v>0.57126119891134897</v>
      </c>
      <c r="B242" s="13">
        <v>0.60128265943232162</v>
      </c>
      <c r="C242" s="13">
        <v>0.46118251033445168</v>
      </c>
      <c r="D242" s="13">
        <v>0.5112182778694051</v>
      </c>
      <c r="E242" s="8">
        <f t="shared" si="26"/>
        <v>3</v>
      </c>
      <c r="M242" s="10">
        <v>0.21137616192470299</v>
      </c>
      <c r="N242" s="10">
        <v>0.35733668725386758</v>
      </c>
      <c r="O242" s="10">
        <v>3.5684691583547978E-2</v>
      </c>
      <c r="P242" s="10">
        <v>0.15697651511140331</v>
      </c>
      <c r="Q242" s="8">
        <f t="shared" si="28"/>
        <v>0</v>
      </c>
      <c r="R242" s="8">
        <f t="shared" si="29"/>
        <v>0</v>
      </c>
      <c r="S242" s="8">
        <f t="shared" si="30"/>
        <v>1</v>
      </c>
      <c r="T242" s="8">
        <f t="shared" si="31"/>
        <v>0</v>
      </c>
      <c r="U242" s="10">
        <f t="shared" si="27"/>
        <v>3.5684691583547978E-2</v>
      </c>
    </row>
    <row r="243" spans="1:21" x14ac:dyDescent="0.3">
      <c r="A243" s="13">
        <v>0.47195282181323045</v>
      </c>
      <c r="B243" s="13">
        <v>0.64996822440180291</v>
      </c>
      <c r="C243" s="13">
        <v>0.37305537593069094</v>
      </c>
      <c r="D243" s="13">
        <v>0.64996822440180291</v>
      </c>
      <c r="E243" s="8">
        <f t="shared" si="26"/>
        <v>4</v>
      </c>
      <c r="M243" s="10">
        <v>0.32355673276319336</v>
      </c>
      <c r="N243" s="10">
        <v>0.18598855366271641</v>
      </c>
      <c r="O243" s="10">
        <v>0.17025469853927541</v>
      </c>
      <c r="P243" s="10">
        <v>7.8555433065650604E-2</v>
      </c>
      <c r="Q243" s="8">
        <f t="shared" si="28"/>
        <v>0</v>
      </c>
      <c r="R243" s="8">
        <f t="shared" si="29"/>
        <v>0</v>
      </c>
      <c r="S243" s="8">
        <f t="shared" si="30"/>
        <v>0</v>
      </c>
      <c r="T243" s="8">
        <f t="shared" si="31"/>
        <v>1</v>
      </c>
      <c r="U243" s="10">
        <f t="shared" si="27"/>
        <v>7.8555433065650604E-2</v>
      </c>
    </row>
    <row r="244" spans="1:21" x14ac:dyDescent="0.3">
      <c r="A244" s="13">
        <v>0.50202345611211241</v>
      </c>
      <c r="B244" s="13">
        <v>0.59977404332573869</v>
      </c>
      <c r="C244" s="13">
        <v>0.45314816250529849</v>
      </c>
      <c r="D244" s="13">
        <v>0.58999898460437761</v>
      </c>
      <c r="E244" s="8">
        <f t="shared" si="26"/>
        <v>3</v>
      </c>
      <c r="M244" s="10">
        <v>0.29212248794408868</v>
      </c>
      <c r="N244" s="10">
        <v>0.28924970216162632</v>
      </c>
      <c r="O244" s="10">
        <v>9.2164084414761621E-2</v>
      </c>
      <c r="P244" s="10">
        <v>9.3181356053503944E-2</v>
      </c>
      <c r="Q244" s="8">
        <f t="shared" si="28"/>
        <v>0</v>
      </c>
      <c r="R244" s="8">
        <f t="shared" si="29"/>
        <v>0</v>
      </c>
      <c r="S244" s="8">
        <f t="shared" si="30"/>
        <v>1</v>
      </c>
      <c r="T244" s="8">
        <f t="shared" si="31"/>
        <v>0</v>
      </c>
      <c r="U244" s="10">
        <f t="shared" si="27"/>
        <v>9.2164084414761621E-2</v>
      </c>
    </row>
    <row r="245" spans="1:21" x14ac:dyDescent="0.3">
      <c r="A245" s="13">
        <v>0.56794993742871547</v>
      </c>
      <c r="B245" s="13">
        <v>0.57770802228774221</v>
      </c>
      <c r="C245" s="13">
        <v>0.46061100397943183</v>
      </c>
      <c r="D245" s="13">
        <v>0.5386756828516378</v>
      </c>
      <c r="E245" s="8">
        <f t="shared" si="26"/>
        <v>3</v>
      </c>
      <c r="M245" s="10">
        <v>0.23984413496866083</v>
      </c>
      <c r="N245" s="10">
        <v>0.35651778340602713</v>
      </c>
      <c r="O245" s="10">
        <v>5.5014159993778407E-2</v>
      </c>
      <c r="P245" s="10">
        <v>0.15667748033243264</v>
      </c>
      <c r="Q245" s="8">
        <f t="shared" si="28"/>
        <v>0</v>
      </c>
      <c r="R245" s="8">
        <f t="shared" si="29"/>
        <v>0</v>
      </c>
      <c r="S245" s="8">
        <f t="shared" si="30"/>
        <v>1</v>
      </c>
      <c r="T245" s="8">
        <f t="shared" si="31"/>
        <v>0</v>
      </c>
      <c r="U245" s="10">
        <f t="shared" si="27"/>
        <v>5.5014159993778407E-2</v>
      </c>
    </row>
    <row r="246" spans="1:21" x14ac:dyDescent="0.3">
      <c r="A246" s="13">
        <v>0.5606738084402888</v>
      </c>
      <c r="B246" s="13">
        <v>0.58999898460437761</v>
      </c>
      <c r="C246" s="13">
        <v>0.47269827994802349</v>
      </c>
      <c r="D246" s="13">
        <v>0.52157357355483736</v>
      </c>
      <c r="E246" s="8">
        <f t="shared" si="26"/>
        <v>3</v>
      </c>
      <c r="M246" s="10">
        <v>0.23325091354151484</v>
      </c>
      <c r="N246" s="10">
        <v>0.3587636461960943</v>
      </c>
      <c r="O246" s="10">
        <v>4.7279468808163708E-2</v>
      </c>
      <c r="P246" s="10">
        <v>0.15535065965095207</v>
      </c>
      <c r="Q246" s="8">
        <f t="shared" si="28"/>
        <v>0</v>
      </c>
      <c r="R246" s="8">
        <f t="shared" si="29"/>
        <v>0</v>
      </c>
      <c r="S246" s="8">
        <f t="shared" si="30"/>
        <v>1</v>
      </c>
      <c r="T246" s="8">
        <f t="shared" si="31"/>
        <v>0</v>
      </c>
      <c r="U246" s="10">
        <f t="shared" si="27"/>
        <v>4.7279468808163708E-2</v>
      </c>
    </row>
    <row r="247" spans="1:21" x14ac:dyDescent="0.3">
      <c r="A247" s="13">
        <v>0.60511419213694329</v>
      </c>
      <c r="B247" s="13">
        <v>0.60511419213694329</v>
      </c>
      <c r="C247" s="13">
        <v>0.43783897520822262</v>
      </c>
      <c r="D247" s="13">
        <v>0.49687728706541812</v>
      </c>
      <c r="E247" s="8">
        <f t="shared" si="26"/>
        <v>3</v>
      </c>
      <c r="M247" s="10">
        <v>0.17567396173935446</v>
      </c>
      <c r="N247" s="10">
        <v>0.3716137027378999</v>
      </c>
      <c r="O247" s="10">
        <v>5.7642909257543534E-2</v>
      </c>
      <c r="P247" s="10">
        <v>0.18157536010781603</v>
      </c>
      <c r="Q247" s="8">
        <f t="shared" si="28"/>
        <v>0</v>
      </c>
      <c r="R247" s="8">
        <f t="shared" si="29"/>
        <v>0</v>
      </c>
      <c r="S247" s="8">
        <f t="shared" si="30"/>
        <v>1</v>
      </c>
      <c r="T247" s="8">
        <f t="shared" si="31"/>
        <v>0</v>
      </c>
      <c r="U247" s="10">
        <f t="shared" si="27"/>
        <v>5.7642909257543534E-2</v>
      </c>
    </row>
    <row r="248" spans="1:21" x14ac:dyDescent="0.3">
      <c r="A248" s="13">
        <v>0.68099617554386838</v>
      </c>
      <c r="B248" s="13">
        <v>0.68099617554386838</v>
      </c>
      <c r="C248" s="13">
        <v>0.38149269849492912</v>
      </c>
      <c r="D248" s="13">
        <v>0.40145959696485856</v>
      </c>
      <c r="E248" s="8">
        <f t="shared" si="26"/>
        <v>1</v>
      </c>
      <c r="M248" s="10">
        <v>3.9379027790676334E-2</v>
      </c>
      <c r="N248" s="10">
        <v>0.43228696079380841</v>
      </c>
      <c r="O248" s="10">
        <v>0.19097812917511509</v>
      </c>
      <c r="P248" s="10">
        <v>0.28538975522573778</v>
      </c>
      <c r="Q248" s="8">
        <f t="shared" si="28"/>
        <v>1</v>
      </c>
      <c r="R248" s="8">
        <f t="shared" si="29"/>
        <v>0</v>
      </c>
      <c r="S248" s="8">
        <f t="shared" si="30"/>
        <v>0</v>
      </c>
      <c r="T248" s="8">
        <f t="shared" si="31"/>
        <v>0</v>
      </c>
      <c r="U248" s="10">
        <f t="shared" si="27"/>
        <v>3.9379027790676334E-2</v>
      </c>
    </row>
    <row r="249" spans="1:21" x14ac:dyDescent="0.3">
      <c r="P249" s="8" t="s">
        <v>26</v>
      </c>
      <c r="Q249" s="8">
        <f>SUM(Q4:Q248)</f>
        <v>42</v>
      </c>
      <c r="R249" s="8">
        <f t="shared" ref="R249:U249" si="32">SUM(R4:R248)</f>
        <v>22</v>
      </c>
      <c r="S249" s="8">
        <f t="shared" si="32"/>
        <v>118</v>
      </c>
      <c r="T249" s="8">
        <f t="shared" si="32"/>
        <v>63</v>
      </c>
      <c r="U249" s="10">
        <f t="shared" si="32"/>
        <v>19.575245287670704</v>
      </c>
    </row>
  </sheetData>
  <mergeCells count="5">
    <mergeCell ref="M2:T2"/>
    <mergeCell ref="G2:K2"/>
    <mergeCell ref="A2:E2"/>
    <mergeCell ref="J11:K11"/>
    <mergeCell ref="A1:U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tCenter">
                <anchor moveWithCells="1" sizeWithCells="1">
                  <from>
                    <xdr:col>6</xdr:col>
                    <xdr:colOff>0</xdr:colOff>
                    <xdr:row>7</xdr:row>
                    <xdr:rowOff>57150</xdr:rowOff>
                  </from>
                  <to>
                    <xdr:col>8</xdr:col>
                    <xdr:colOff>400050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meansStep">
                <anchor moveWithCells="1" sizeWithCells="1">
                  <from>
                    <xdr:col>9</xdr:col>
                    <xdr:colOff>9525</xdr:colOff>
                    <xdr:row>7</xdr:row>
                    <xdr:rowOff>57150</xdr:rowOff>
                  </from>
                  <to>
                    <xdr:col>10</xdr:col>
                    <xdr:colOff>400050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49"/>
  <sheetViews>
    <sheetView workbookViewId="0">
      <selection activeCell="L13" sqref="L13"/>
    </sheetView>
  </sheetViews>
  <sheetFormatPr defaultRowHeight="13.5" x14ac:dyDescent="0.3"/>
  <cols>
    <col min="1" max="1" width="9.75" style="1" bestFit="1" customWidth="1"/>
    <col min="2" max="5" width="9.125" style="1" bestFit="1" customWidth="1"/>
    <col min="6" max="6" width="7.75" style="1" customWidth="1"/>
    <col min="7" max="16384" width="9" style="1"/>
  </cols>
  <sheetData>
    <row r="1" spans="1:17" x14ac:dyDescent="0.3">
      <c r="J1" s="1" t="s">
        <v>8</v>
      </c>
      <c r="K1" s="1">
        <f>MIN(H5:K249)</f>
        <v>0.95758980301274621</v>
      </c>
      <c r="O1" s="1" t="s">
        <v>24</v>
      </c>
      <c r="P1" s="1">
        <f>MIN(M5:P249)</f>
        <v>0</v>
      </c>
    </row>
    <row r="2" spans="1:17" x14ac:dyDescent="0.3">
      <c r="J2" s="1" t="s">
        <v>9</v>
      </c>
      <c r="K2" s="1">
        <f>MAX(H5:K249)</f>
        <v>1.0366784583876374</v>
      </c>
      <c r="O2" s="1" t="s">
        <v>25</v>
      </c>
      <c r="P2" s="1">
        <f>MAX(M5:P249)</f>
        <v>1</v>
      </c>
    </row>
    <row r="3" spans="1:17" x14ac:dyDescent="0.3">
      <c r="A3" s="28" t="s">
        <v>10</v>
      </c>
      <c r="B3" s="28"/>
      <c r="C3" s="28"/>
      <c r="D3" s="28"/>
      <c r="E3" s="28"/>
      <c r="F3" s="2" t="s">
        <v>11</v>
      </c>
      <c r="G3" s="28" t="s">
        <v>12</v>
      </c>
      <c r="H3" s="28"/>
      <c r="I3" s="28"/>
      <c r="J3" s="28"/>
      <c r="K3" s="28"/>
      <c r="L3" s="2" t="s">
        <v>11</v>
      </c>
      <c r="M3" s="28" t="s">
        <v>13</v>
      </c>
      <c r="N3" s="28"/>
      <c r="O3" s="28"/>
      <c r="P3" s="28"/>
      <c r="Q3" s="3"/>
    </row>
    <row r="4" spans="1:17" x14ac:dyDescent="0.3">
      <c r="A4" s="4" t="s">
        <v>14</v>
      </c>
      <c r="B4" s="4" t="s">
        <v>15</v>
      </c>
      <c r="C4" s="4" t="s">
        <v>16</v>
      </c>
      <c r="D4" s="4" t="s">
        <v>17</v>
      </c>
      <c r="E4" s="4" t="s">
        <v>18</v>
      </c>
      <c r="F4" s="4"/>
      <c r="G4" s="4" t="s">
        <v>19</v>
      </c>
      <c r="H4" s="4" t="s">
        <v>15</v>
      </c>
      <c r="I4" s="4" t="s">
        <v>16</v>
      </c>
      <c r="J4" s="4" t="s">
        <v>17</v>
      </c>
      <c r="K4" s="4" t="s">
        <v>18</v>
      </c>
      <c r="M4" s="4" t="s">
        <v>15</v>
      </c>
      <c r="N4" s="4" t="s">
        <v>16</v>
      </c>
      <c r="O4" s="4" t="s">
        <v>17</v>
      </c>
      <c r="P4" s="4" t="s">
        <v>18</v>
      </c>
    </row>
    <row r="5" spans="1:17" x14ac:dyDescent="0.3">
      <c r="A5" s="5">
        <v>42142</v>
      </c>
      <c r="B5" s="4">
        <v>1335000</v>
      </c>
      <c r="C5" s="4">
        <v>1335000</v>
      </c>
      <c r="D5" s="4">
        <v>1309000</v>
      </c>
      <c r="E5" s="4">
        <v>1320000</v>
      </c>
      <c r="F5" s="4"/>
      <c r="G5" s="1">
        <f t="shared" ref="G5:G68" si="0">AVERAGE(B5:E5)</f>
        <v>1324750</v>
      </c>
      <c r="H5" s="1">
        <f t="shared" ref="H5:K68" si="1">B5/$G5</f>
        <v>1.0077373089262125</v>
      </c>
      <c r="I5" s="1">
        <f t="shared" si="1"/>
        <v>1.0077373089262125</v>
      </c>
      <c r="J5" s="1">
        <f t="shared" si="1"/>
        <v>0.98811096433289303</v>
      </c>
      <c r="K5" s="1">
        <f t="shared" si="1"/>
        <v>0.99641441781468199</v>
      </c>
      <c r="M5" s="1">
        <f>(H5 - $K$1) / ($K$2 - $K$1)</f>
        <v>0.63406699324650495</v>
      </c>
      <c r="N5" s="1">
        <f t="shared" ref="N5:P20" si="2">(I5 - $K$1) / ($K$2 - $K$1)</f>
        <v>0.63406699324650495</v>
      </c>
      <c r="O5" s="1">
        <f t="shared" si="2"/>
        <v>0.38591073745624177</v>
      </c>
      <c r="P5" s="1">
        <f t="shared" si="2"/>
        <v>0.49089992259827558</v>
      </c>
    </row>
    <row r="6" spans="1:17" x14ac:dyDescent="0.3">
      <c r="A6" s="5">
        <v>42143</v>
      </c>
      <c r="B6" s="4">
        <v>1321000</v>
      </c>
      <c r="C6" s="4">
        <v>1355000</v>
      </c>
      <c r="D6" s="4">
        <v>1307000</v>
      </c>
      <c r="E6" s="4">
        <v>1338000</v>
      </c>
      <c r="F6" s="4"/>
      <c r="G6" s="1">
        <f t="shared" si="0"/>
        <v>1330250</v>
      </c>
      <c r="H6" s="1">
        <f t="shared" si="1"/>
        <v>0.99304641984589359</v>
      </c>
      <c r="I6" s="1">
        <f t="shared" si="1"/>
        <v>1.0186055252772035</v>
      </c>
      <c r="J6" s="1">
        <f t="shared" si="1"/>
        <v>0.98252208231535421</v>
      </c>
      <c r="K6" s="1">
        <f t="shared" si="1"/>
        <v>1.0058259725615486</v>
      </c>
      <c r="M6" s="1">
        <f t="shared" ref="M6:P69" si="3">(H6 - $K$1) / ($K$2 - $K$1)</f>
        <v>0.44831482676090656</v>
      </c>
      <c r="N6" s="1">
        <f t="shared" si="2"/>
        <v>0.77148513873746249</v>
      </c>
      <c r="O6" s="1">
        <f t="shared" si="2"/>
        <v>0.31524469829997159</v>
      </c>
      <c r="P6" s="1">
        <f t="shared" si="2"/>
        <v>0.60989998274918522</v>
      </c>
    </row>
    <row r="7" spans="1:17" x14ac:dyDescent="0.3">
      <c r="A7" s="5">
        <v>42144</v>
      </c>
      <c r="B7" s="4">
        <v>1349000</v>
      </c>
      <c r="C7" s="4">
        <v>1370000</v>
      </c>
      <c r="D7" s="4">
        <v>1341000</v>
      </c>
      <c r="E7" s="4">
        <v>1366000</v>
      </c>
      <c r="F7" s="4"/>
      <c r="G7" s="1">
        <f t="shared" si="0"/>
        <v>1356500</v>
      </c>
      <c r="H7" s="1">
        <f t="shared" si="1"/>
        <v>0.99447106524143014</v>
      </c>
      <c r="I7" s="1">
        <f t="shared" si="1"/>
        <v>1.0099520825654258</v>
      </c>
      <c r="J7" s="1">
        <f t="shared" si="1"/>
        <v>0.98857353483228894</v>
      </c>
      <c r="K7" s="1">
        <f t="shared" si="1"/>
        <v>1.0070033173608552</v>
      </c>
      <c r="M7" s="1">
        <f t="shared" si="3"/>
        <v>0.46632809792835189</v>
      </c>
      <c r="N7" s="1">
        <f t="shared" si="2"/>
        <v>0.66207067631223626</v>
      </c>
      <c r="O7" s="1">
        <f t="shared" si="2"/>
        <v>0.39175949663925308</v>
      </c>
      <c r="P7" s="1">
        <f t="shared" si="2"/>
        <v>0.62478637566768747</v>
      </c>
    </row>
    <row r="8" spans="1:17" x14ac:dyDescent="0.3">
      <c r="A8" s="5">
        <v>42145</v>
      </c>
      <c r="B8" s="4">
        <v>1371000</v>
      </c>
      <c r="C8" s="4">
        <v>1372000</v>
      </c>
      <c r="D8" s="4">
        <v>1344000</v>
      </c>
      <c r="E8" s="4">
        <v>1352000</v>
      </c>
      <c r="F8" s="4"/>
      <c r="G8" s="1">
        <f t="shared" si="0"/>
        <v>1359750</v>
      </c>
      <c r="H8" s="1">
        <f t="shared" si="1"/>
        <v>1.0082735797021511</v>
      </c>
      <c r="I8" s="1">
        <f t="shared" si="1"/>
        <v>1.0090090090090089</v>
      </c>
      <c r="J8" s="1">
        <f t="shared" si="1"/>
        <v>0.98841698841698844</v>
      </c>
      <c r="K8" s="1">
        <f t="shared" si="1"/>
        <v>0.9943004228718515</v>
      </c>
      <c r="M8" s="1">
        <f t="shared" si="3"/>
        <v>0.64084762156034658</v>
      </c>
      <c r="N8" s="1">
        <f t="shared" si="2"/>
        <v>0.65014641799798656</v>
      </c>
      <c r="O8" s="1">
        <f t="shared" si="2"/>
        <v>0.38978011774403171</v>
      </c>
      <c r="P8" s="1">
        <f t="shared" si="2"/>
        <v>0.46417048924516247</v>
      </c>
    </row>
    <row r="9" spans="1:17" x14ac:dyDescent="0.3">
      <c r="A9" s="5">
        <v>42146</v>
      </c>
      <c r="B9" s="4">
        <v>1353000</v>
      </c>
      <c r="C9" s="4">
        <v>1353000</v>
      </c>
      <c r="D9" s="4">
        <v>1335000</v>
      </c>
      <c r="E9" s="4">
        <v>1350000</v>
      </c>
      <c r="F9" s="4"/>
      <c r="G9" s="1">
        <f t="shared" si="0"/>
        <v>1347750</v>
      </c>
      <c r="H9" s="1">
        <f t="shared" si="1"/>
        <v>1.0038953811908737</v>
      </c>
      <c r="I9" s="1">
        <f t="shared" si="1"/>
        <v>1.0038953811908737</v>
      </c>
      <c r="J9" s="1">
        <f t="shared" si="1"/>
        <v>0.99053978853644964</v>
      </c>
      <c r="K9" s="1">
        <f t="shared" si="1"/>
        <v>1.001669449081803</v>
      </c>
      <c r="M9" s="1">
        <f t="shared" si="3"/>
        <v>0.58548951121539083</v>
      </c>
      <c r="N9" s="1">
        <f t="shared" si="2"/>
        <v>0.58548951121539083</v>
      </c>
      <c r="O9" s="1">
        <f t="shared" si="2"/>
        <v>0.41662088408907616</v>
      </c>
      <c r="P9" s="1">
        <f t="shared" si="2"/>
        <v>0.55734474002767098</v>
      </c>
    </row>
    <row r="10" spans="1:17" x14ac:dyDescent="0.3">
      <c r="A10" s="5">
        <v>42150</v>
      </c>
      <c r="B10" s="4">
        <v>1366000</v>
      </c>
      <c r="C10" s="4">
        <v>1369000</v>
      </c>
      <c r="D10" s="4">
        <v>1336000</v>
      </c>
      <c r="E10" s="4">
        <v>1362000</v>
      </c>
      <c r="F10" s="4"/>
      <c r="G10" s="1">
        <f t="shared" si="0"/>
        <v>1358250</v>
      </c>
      <c r="H10" s="1">
        <f t="shared" si="1"/>
        <v>1.0057058715258604</v>
      </c>
      <c r="I10" s="1">
        <f t="shared" si="1"/>
        <v>1.0079145959874838</v>
      </c>
      <c r="J10" s="1">
        <f t="shared" si="1"/>
        <v>0.98361862690962631</v>
      </c>
      <c r="K10" s="1">
        <f t="shared" si="1"/>
        <v>1.0027609055770292</v>
      </c>
      <c r="M10" s="1">
        <f t="shared" si="3"/>
        <v>0.60838142063532885</v>
      </c>
      <c r="N10" s="1">
        <f t="shared" si="2"/>
        <v>0.6363086176669851</v>
      </c>
      <c r="O10" s="1">
        <f t="shared" si="2"/>
        <v>0.32910945031875777</v>
      </c>
      <c r="P10" s="1">
        <f t="shared" si="2"/>
        <v>0.57114515792645282</v>
      </c>
    </row>
    <row r="11" spans="1:17" x14ac:dyDescent="0.3">
      <c r="A11" s="5">
        <v>42151</v>
      </c>
      <c r="B11" s="4">
        <v>1360000</v>
      </c>
      <c r="C11" s="4">
        <v>1366000</v>
      </c>
      <c r="D11" s="4">
        <v>1313000</v>
      </c>
      <c r="E11" s="4">
        <v>1314000</v>
      </c>
      <c r="F11" s="4"/>
      <c r="G11" s="1">
        <f t="shared" si="0"/>
        <v>1338250</v>
      </c>
      <c r="H11" s="1">
        <f t="shared" si="1"/>
        <v>1.0162525686530917</v>
      </c>
      <c r="I11" s="1">
        <f t="shared" si="1"/>
        <v>1.0207360358677378</v>
      </c>
      <c r="J11" s="1">
        <f t="shared" si="1"/>
        <v>0.98113207547169812</v>
      </c>
      <c r="K11" s="1">
        <f t="shared" si="1"/>
        <v>0.98187932000747247</v>
      </c>
      <c r="M11" s="1">
        <f t="shared" si="3"/>
        <v>0.74173426469669779</v>
      </c>
      <c r="N11" s="1">
        <f t="shared" si="2"/>
        <v>0.79842339657526928</v>
      </c>
      <c r="O11" s="1">
        <f t="shared" si="2"/>
        <v>0.29766939831456579</v>
      </c>
      <c r="P11" s="1">
        <f t="shared" si="2"/>
        <v>0.30711758696099434</v>
      </c>
    </row>
    <row r="12" spans="1:17" x14ac:dyDescent="0.3">
      <c r="A12" s="5">
        <v>42152</v>
      </c>
      <c r="B12" s="4">
        <v>1317000</v>
      </c>
      <c r="C12" s="4">
        <v>1321000</v>
      </c>
      <c r="D12" s="4">
        <v>1301000</v>
      </c>
      <c r="E12" s="4">
        <v>1309000</v>
      </c>
      <c r="F12" s="4"/>
      <c r="G12" s="1">
        <f t="shared" si="0"/>
        <v>1312000</v>
      </c>
      <c r="H12" s="1">
        <f t="shared" si="1"/>
        <v>1.0038109756097562</v>
      </c>
      <c r="I12" s="1">
        <f t="shared" si="1"/>
        <v>1.006859756097561</v>
      </c>
      <c r="J12" s="1">
        <f t="shared" si="1"/>
        <v>0.99161585365853655</v>
      </c>
      <c r="K12" s="1">
        <f t="shared" si="1"/>
        <v>0.99771341463414631</v>
      </c>
      <c r="M12" s="1">
        <f t="shared" si="3"/>
        <v>0.58442228380183248</v>
      </c>
      <c r="N12" s="1">
        <f t="shared" si="2"/>
        <v>0.62297118153379072</v>
      </c>
      <c r="O12" s="1">
        <f t="shared" si="2"/>
        <v>0.43022669287399246</v>
      </c>
      <c r="P12" s="1">
        <f t="shared" si="2"/>
        <v>0.50732448833791177</v>
      </c>
    </row>
    <row r="13" spans="1:17" x14ac:dyDescent="0.3">
      <c r="A13" s="5">
        <v>42153</v>
      </c>
      <c r="B13" s="4">
        <v>1320000</v>
      </c>
      <c r="C13" s="4">
        <v>1321000</v>
      </c>
      <c r="D13" s="4">
        <v>1297000</v>
      </c>
      <c r="E13" s="4">
        <v>1307000</v>
      </c>
      <c r="F13" s="4"/>
      <c r="G13" s="1">
        <f t="shared" si="0"/>
        <v>1311250</v>
      </c>
      <c r="H13" s="1">
        <f t="shared" si="1"/>
        <v>1.0066730219256435</v>
      </c>
      <c r="I13" s="1">
        <f t="shared" si="1"/>
        <v>1.0074356530028599</v>
      </c>
      <c r="J13" s="1">
        <f t="shared" si="1"/>
        <v>0.98913250714966638</v>
      </c>
      <c r="K13" s="1">
        <f t="shared" si="1"/>
        <v>0.9967588179218303</v>
      </c>
      <c r="M13" s="1">
        <f t="shared" si="3"/>
        <v>0.62061010748300105</v>
      </c>
      <c r="N13" s="1">
        <f t="shared" si="2"/>
        <v>0.63025284415112914</v>
      </c>
      <c r="O13" s="1">
        <f t="shared" si="2"/>
        <v>0.39882716411605923</v>
      </c>
      <c r="P13" s="1">
        <f t="shared" si="2"/>
        <v>0.49525453079733789</v>
      </c>
    </row>
    <row r="14" spans="1:17" x14ac:dyDescent="0.3">
      <c r="A14" s="5">
        <v>42156</v>
      </c>
      <c r="B14" s="4">
        <v>1300000</v>
      </c>
      <c r="C14" s="4">
        <v>1301000</v>
      </c>
      <c r="D14" s="4">
        <v>1288000</v>
      </c>
      <c r="E14" s="4">
        <v>1291000</v>
      </c>
      <c r="F14" s="4"/>
      <c r="G14" s="1">
        <f t="shared" si="0"/>
        <v>1295000</v>
      </c>
      <c r="H14" s="1">
        <f t="shared" si="1"/>
        <v>1.0038610038610039</v>
      </c>
      <c r="I14" s="1">
        <f t="shared" si="1"/>
        <v>1.0046332046332047</v>
      </c>
      <c r="J14" s="1">
        <f t="shared" si="1"/>
        <v>0.99459459459459465</v>
      </c>
      <c r="K14" s="1">
        <f t="shared" si="1"/>
        <v>0.9969111969111969</v>
      </c>
      <c r="M14" s="1">
        <f t="shared" si="3"/>
        <v>0.5850548429344985</v>
      </c>
      <c r="N14" s="1">
        <f t="shared" si="2"/>
        <v>0.59481857919402303</v>
      </c>
      <c r="O14" s="1">
        <f t="shared" si="2"/>
        <v>0.467890007820219</v>
      </c>
      <c r="P14" s="1">
        <f t="shared" si="2"/>
        <v>0.49718121659878817</v>
      </c>
    </row>
    <row r="15" spans="1:17" x14ac:dyDescent="0.3">
      <c r="A15" s="5">
        <v>42157</v>
      </c>
      <c r="B15" s="4">
        <v>1300000</v>
      </c>
      <c r="C15" s="4">
        <v>1303000</v>
      </c>
      <c r="D15" s="4">
        <v>1288000</v>
      </c>
      <c r="E15" s="4">
        <v>1303000</v>
      </c>
      <c r="F15" s="4"/>
      <c r="G15" s="1">
        <f t="shared" si="0"/>
        <v>1298500</v>
      </c>
      <c r="H15" s="1">
        <f t="shared" si="1"/>
        <v>1.0011551790527531</v>
      </c>
      <c r="I15" s="1">
        <f t="shared" si="1"/>
        <v>1.0034655371582595</v>
      </c>
      <c r="J15" s="1">
        <f t="shared" si="1"/>
        <v>0.99191374663072773</v>
      </c>
      <c r="K15" s="1">
        <f t="shared" si="1"/>
        <v>1.0034655371582595</v>
      </c>
      <c r="M15" s="1">
        <f t="shared" si="3"/>
        <v>0.55084229000355311</v>
      </c>
      <c r="N15" s="1">
        <f t="shared" si="2"/>
        <v>0.58005454673689838</v>
      </c>
      <c r="O15" s="1">
        <f t="shared" si="2"/>
        <v>0.43399326307017455</v>
      </c>
      <c r="P15" s="1">
        <f t="shared" si="2"/>
        <v>0.58005454673689838</v>
      </c>
    </row>
    <row r="16" spans="1:17" x14ac:dyDescent="0.3">
      <c r="A16" s="5">
        <v>42158</v>
      </c>
      <c r="B16" s="4">
        <v>1303000</v>
      </c>
      <c r="C16" s="4">
        <v>1316000</v>
      </c>
      <c r="D16" s="4">
        <v>1265000</v>
      </c>
      <c r="E16" s="4">
        <v>1273000</v>
      </c>
      <c r="F16" s="4"/>
      <c r="G16" s="1">
        <f t="shared" si="0"/>
        <v>1289250</v>
      </c>
      <c r="H16" s="1">
        <f t="shared" si="1"/>
        <v>1.0106651153771573</v>
      </c>
      <c r="I16" s="1">
        <f t="shared" si="1"/>
        <v>1.0207484971882879</v>
      </c>
      <c r="J16" s="1">
        <f t="shared" si="1"/>
        <v>0.98119061469846813</v>
      </c>
      <c r="K16" s="1">
        <f t="shared" si="1"/>
        <v>0.98739577273608692</v>
      </c>
      <c r="M16" s="1">
        <f t="shared" si="3"/>
        <v>0.67108629060421832</v>
      </c>
      <c r="N16" s="1">
        <f t="shared" si="2"/>
        <v>0.7985809579915184</v>
      </c>
      <c r="O16" s="1">
        <f t="shared" si="2"/>
        <v>0.29840957054903522</v>
      </c>
      <c r="P16" s="1">
        <f t="shared" si="2"/>
        <v>0.37686782740275815</v>
      </c>
    </row>
    <row r="17" spans="1:16" x14ac:dyDescent="0.3">
      <c r="A17" s="5">
        <v>42159</v>
      </c>
      <c r="B17" s="4">
        <v>1315000</v>
      </c>
      <c r="C17" s="4">
        <v>1341000</v>
      </c>
      <c r="D17" s="4">
        <v>1305000</v>
      </c>
      <c r="E17" s="4">
        <v>1337000</v>
      </c>
      <c r="F17" s="4"/>
      <c r="G17" s="1">
        <f t="shared" si="0"/>
        <v>1324500</v>
      </c>
      <c r="H17" s="1">
        <f t="shared" si="1"/>
        <v>0.99282748206870519</v>
      </c>
      <c r="I17" s="1">
        <f t="shared" si="1"/>
        <v>1.0124575311438277</v>
      </c>
      <c r="J17" s="1">
        <f t="shared" si="1"/>
        <v>0.98527746319365794</v>
      </c>
      <c r="K17" s="1">
        <f t="shared" si="1"/>
        <v>1.0094375235938089</v>
      </c>
      <c r="M17" s="1">
        <f t="shared" si="3"/>
        <v>0.44554656908664714</v>
      </c>
      <c r="N17" s="1">
        <f t="shared" si="2"/>
        <v>0.69374966448728848</v>
      </c>
      <c r="O17" s="1">
        <f t="shared" si="2"/>
        <v>0.35008384008639909</v>
      </c>
      <c r="P17" s="1">
        <f t="shared" si="2"/>
        <v>0.65556457288718983</v>
      </c>
    </row>
    <row r="18" spans="1:16" x14ac:dyDescent="0.3">
      <c r="A18" s="5">
        <v>42160</v>
      </c>
      <c r="B18" s="4">
        <v>1325000</v>
      </c>
      <c r="C18" s="4">
        <v>1355000</v>
      </c>
      <c r="D18" s="4">
        <v>1320000</v>
      </c>
      <c r="E18" s="4">
        <v>1341000</v>
      </c>
      <c r="F18" s="4"/>
      <c r="G18" s="1">
        <f t="shared" si="0"/>
        <v>1335250</v>
      </c>
      <c r="H18" s="1">
        <f t="shared" si="1"/>
        <v>0.99232353491855463</v>
      </c>
      <c r="I18" s="1">
        <f t="shared" si="1"/>
        <v>1.0147912375959558</v>
      </c>
      <c r="J18" s="1">
        <f t="shared" si="1"/>
        <v>0.98857891780565432</v>
      </c>
      <c r="K18" s="1">
        <f t="shared" si="1"/>
        <v>1.0043063096798353</v>
      </c>
      <c r="M18" s="1">
        <f t="shared" si="3"/>
        <v>0.43917464194031014</v>
      </c>
      <c r="N18" s="1">
        <f t="shared" si="2"/>
        <v>0.72325713861320395</v>
      </c>
      <c r="O18" s="1">
        <f t="shared" si="2"/>
        <v>0.39182755916149309</v>
      </c>
      <c r="P18" s="1">
        <f t="shared" si="2"/>
        <v>0.59068530683252018</v>
      </c>
    </row>
    <row r="19" spans="1:16" x14ac:dyDescent="0.3">
      <c r="A19" s="5">
        <v>42163</v>
      </c>
      <c r="B19" s="4">
        <v>1345000</v>
      </c>
      <c r="C19" s="4">
        <v>1347000</v>
      </c>
      <c r="D19" s="4">
        <v>1313000</v>
      </c>
      <c r="E19" s="4">
        <v>1314000</v>
      </c>
      <c r="F19" s="4"/>
      <c r="G19" s="1">
        <f t="shared" si="0"/>
        <v>1329750</v>
      </c>
      <c r="H19" s="1">
        <f t="shared" si="1"/>
        <v>1.0114683211129911</v>
      </c>
      <c r="I19" s="1">
        <f t="shared" si="1"/>
        <v>1.0129723632261702</v>
      </c>
      <c r="J19" s="1">
        <f t="shared" si="1"/>
        <v>0.98740364730212449</v>
      </c>
      <c r="K19" s="1">
        <f t="shared" si="1"/>
        <v>0.98815566835871405</v>
      </c>
      <c r="M19" s="1">
        <f t="shared" si="3"/>
        <v>0.68124205481624733</v>
      </c>
      <c r="N19" s="1">
        <f t="shared" si="2"/>
        <v>0.70025922113485206</v>
      </c>
      <c r="O19" s="1">
        <f t="shared" si="2"/>
        <v>0.37696739371856208</v>
      </c>
      <c r="P19" s="1">
        <f t="shared" si="2"/>
        <v>0.38647597687786445</v>
      </c>
    </row>
    <row r="20" spans="1:16" x14ac:dyDescent="0.3">
      <c r="A20" s="5">
        <v>42164</v>
      </c>
      <c r="B20" s="4">
        <v>1300000</v>
      </c>
      <c r="C20" s="4">
        <v>1310000</v>
      </c>
      <c r="D20" s="4">
        <v>1268000</v>
      </c>
      <c r="E20" s="4">
        <v>1282000</v>
      </c>
      <c r="F20" s="4"/>
      <c r="G20" s="1">
        <f t="shared" si="0"/>
        <v>1290000</v>
      </c>
      <c r="H20" s="1">
        <f t="shared" si="1"/>
        <v>1.0077519379844961</v>
      </c>
      <c r="I20" s="1">
        <f t="shared" si="1"/>
        <v>1.0155038759689923</v>
      </c>
      <c r="J20" s="1">
        <f t="shared" si="1"/>
        <v>0.98294573643410854</v>
      </c>
      <c r="K20" s="1">
        <f t="shared" si="1"/>
        <v>0.99379844961240305</v>
      </c>
      <c r="M20" s="1">
        <f t="shared" si="3"/>
        <v>0.63425196362201963</v>
      </c>
      <c r="N20" s="1">
        <f t="shared" si="2"/>
        <v>0.73226776560715745</v>
      </c>
      <c r="O20" s="1">
        <f t="shared" si="2"/>
        <v>0.32060139726957926</v>
      </c>
      <c r="P20" s="1">
        <f t="shared" si="2"/>
        <v>0.45782352004877103</v>
      </c>
    </row>
    <row r="21" spans="1:16" x14ac:dyDescent="0.3">
      <c r="A21" s="5">
        <v>42165</v>
      </c>
      <c r="B21" s="4">
        <v>1282000</v>
      </c>
      <c r="C21" s="4">
        <v>1294000</v>
      </c>
      <c r="D21" s="4">
        <v>1262000</v>
      </c>
      <c r="E21" s="4">
        <v>1262000</v>
      </c>
      <c r="F21" s="4"/>
      <c r="G21" s="1">
        <f t="shared" si="0"/>
        <v>1275000</v>
      </c>
      <c r="H21" s="1">
        <f t="shared" si="1"/>
        <v>1.0054901960784313</v>
      </c>
      <c r="I21" s="1">
        <f t="shared" si="1"/>
        <v>1.0149019607843137</v>
      </c>
      <c r="J21" s="1">
        <f t="shared" si="1"/>
        <v>0.9898039215686274</v>
      </c>
      <c r="K21" s="1">
        <f t="shared" si="1"/>
        <v>0.9898039215686274</v>
      </c>
      <c r="M21" s="1">
        <f t="shared" si="3"/>
        <v>0.6056544119840015</v>
      </c>
      <c r="N21" s="1">
        <f t="shared" si="3"/>
        <v>0.72465712686478156</v>
      </c>
      <c r="O21" s="1">
        <f t="shared" si="3"/>
        <v>0.40731655384937071</v>
      </c>
      <c r="P21" s="1">
        <f t="shared" si="3"/>
        <v>0.40731655384937071</v>
      </c>
    </row>
    <row r="22" spans="1:16" x14ac:dyDescent="0.3">
      <c r="A22" s="5">
        <v>42166</v>
      </c>
      <c r="B22" s="4">
        <v>1263000</v>
      </c>
      <c r="C22" s="4">
        <v>1274000</v>
      </c>
      <c r="D22" s="4">
        <v>1253000</v>
      </c>
      <c r="E22" s="4">
        <v>1257000</v>
      </c>
      <c r="F22" s="4"/>
      <c r="G22" s="1">
        <f t="shared" si="0"/>
        <v>1261750</v>
      </c>
      <c r="H22" s="1">
        <f t="shared" si="1"/>
        <v>1.0009906875371508</v>
      </c>
      <c r="I22" s="1">
        <f t="shared" si="1"/>
        <v>1.0097087378640777</v>
      </c>
      <c r="J22" s="1">
        <f t="shared" si="1"/>
        <v>0.99306518723994452</v>
      </c>
      <c r="K22" s="1">
        <f t="shared" si="1"/>
        <v>0.996235387358827</v>
      </c>
      <c r="M22" s="1">
        <f t="shared" si="3"/>
        <v>0.54876245295457859</v>
      </c>
      <c r="N22" s="1">
        <f t="shared" si="3"/>
        <v>0.65899381655030653</v>
      </c>
      <c r="O22" s="1">
        <f t="shared" si="3"/>
        <v>0.44855212241300702</v>
      </c>
      <c r="P22" s="1">
        <f t="shared" si="3"/>
        <v>0.48863625462963511</v>
      </c>
    </row>
    <row r="23" spans="1:16" x14ac:dyDescent="0.3">
      <c r="A23" s="5">
        <v>42167</v>
      </c>
      <c r="B23" s="4">
        <v>1278000</v>
      </c>
      <c r="C23" s="4">
        <v>1287000</v>
      </c>
      <c r="D23" s="4">
        <v>1264000</v>
      </c>
      <c r="E23" s="4">
        <v>1277000</v>
      </c>
      <c r="F23" s="4"/>
      <c r="G23" s="1">
        <f t="shared" si="0"/>
        <v>1276500</v>
      </c>
      <c r="H23" s="1">
        <f t="shared" si="1"/>
        <v>1.0011750881316099</v>
      </c>
      <c r="I23" s="1">
        <f t="shared" si="1"/>
        <v>1.0082256169212691</v>
      </c>
      <c r="J23" s="1">
        <f t="shared" si="1"/>
        <v>0.99020759890325105</v>
      </c>
      <c r="K23" s="1">
        <f t="shared" si="1"/>
        <v>1.0003916960438699</v>
      </c>
      <c r="M23" s="1">
        <f t="shared" si="3"/>
        <v>0.55109402116224426</v>
      </c>
      <c r="N23" s="1">
        <f t="shared" si="3"/>
        <v>0.64024117831441341</v>
      </c>
      <c r="O23" s="1">
        <f t="shared" si="3"/>
        <v>0.4124206655922012</v>
      </c>
      <c r="P23" s="1">
        <f t="shared" si="3"/>
        <v>0.54118878147866833</v>
      </c>
    </row>
    <row r="24" spans="1:16" x14ac:dyDescent="0.3">
      <c r="A24" s="5">
        <v>42170</v>
      </c>
      <c r="B24" s="4">
        <v>1255000</v>
      </c>
      <c r="C24" s="4">
        <v>1274000</v>
      </c>
      <c r="D24" s="4">
        <v>1255000</v>
      </c>
      <c r="E24" s="4">
        <v>1270000</v>
      </c>
      <c r="F24" s="4"/>
      <c r="G24" s="1">
        <f t="shared" si="0"/>
        <v>1263500</v>
      </c>
      <c r="H24" s="1">
        <f t="shared" si="1"/>
        <v>0.99327265532251685</v>
      </c>
      <c r="I24" s="1">
        <f t="shared" si="1"/>
        <v>1.0083102493074791</v>
      </c>
      <c r="J24" s="1">
        <f t="shared" si="1"/>
        <v>0.99327265532251685</v>
      </c>
      <c r="K24" s="1">
        <f t="shared" si="1"/>
        <v>1.0051444400474872</v>
      </c>
      <c r="M24" s="1">
        <f t="shared" si="3"/>
        <v>0.45117535682746124</v>
      </c>
      <c r="N24" s="1">
        <f t="shared" si="3"/>
        <v>0.64131127346028316</v>
      </c>
      <c r="O24" s="1">
        <f t="shared" si="3"/>
        <v>0.45117535682746124</v>
      </c>
      <c r="P24" s="1">
        <f t="shared" si="3"/>
        <v>0.60128265943232162</v>
      </c>
    </row>
    <row r="25" spans="1:16" x14ac:dyDescent="0.3">
      <c r="A25" s="5">
        <v>42171</v>
      </c>
      <c r="B25" s="4">
        <v>1270000</v>
      </c>
      <c r="C25" s="4">
        <v>1274000</v>
      </c>
      <c r="D25" s="4">
        <v>1245000</v>
      </c>
      <c r="E25" s="4">
        <v>1255000</v>
      </c>
      <c r="F25" s="4"/>
      <c r="G25" s="1">
        <f t="shared" si="0"/>
        <v>1261000</v>
      </c>
      <c r="H25" s="1">
        <f t="shared" si="1"/>
        <v>1.007137192704203</v>
      </c>
      <c r="I25" s="1">
        <f t="shared" si="1"/>
        <v>1.0103092783505154</v>
      </c>
      <c r="J25" s="1">
        <f t="shared" si="1"/>
        <v>0.98731165741475024</v>
      </c>
      <c r="K25" s="1">
        <f t="shared" si="1"/>
        <v>0.99524187153053134</v>
      </c>
      <c r="M25" s="1">
        <f t="shared" si="3"/>
        <v>0.62647910065729762</v>
      </c>
      <c r="N25" s="1">
        <f t="shared" si="3"/>
        <v>0.66658707355526026</v>
      </c>
      <c r="O25" s="1">
        <f t="shared" si="3"/>
        <v>0.37580427004503142</v>
      </c>
      <c r="P25" s="1">
        <f t="shared" si="3"/>
        <v>0.47607420228993791</v>
      </c>
    </row>
    <row r="26" spans="1:16" x14ac:dyDescent="0.3">
      <c r="A26" s="5">
        <v>42172</v>
      </c>
      <c r="B26" s="4">
        <v>1250000</v>
      </c>
      <c r="C26" s="4">
        <v>1266000</v>
      </c>
      <c r="D26" s="4">
        <v>1240000</v>
      </c>
      <c r="E26" s="4">
        <v>1254000</v>
      </c>
      <c r="F26" s="4"/>
      <c r="G26" s="1">
        <f t="shared" si="0"/>
        <v>1252500</v>
      </c>
      <c r="H26" s="1">
        <f t="shared" si="1"/>
        <v>0.99800399201596801</v>
      </c>
      <c r="I26" s="1">
        <f t="shared" si="1"/>
        <v>1.0107784431137725</v>
      </c>
      <c r="J26" s="1">
        <f t="shared" si="1"/>
        <v>0.99001996007984028</v>
      </c>
      <c r="K26" s="1">
        <f t="shared" si="1"/>
        <v>1.0011976047904192</v>
      </c>
      <c r="M26" s="1">
        <f t="shared" si="3"/>
        <v>0.51099855992813314</v>
      </c>
      <c r="N26" s="1">
        <f t="shared" si="3"/>
        <v>0.67251921086412192</v>
      </c>
      <c r="O26" s="1">
        <f t="shared" si="3"/>
        <v>0.41004815309314124</v>
      </c>
      <c r="P26" s="1">
        <f t="shared" si="3"/>
        <v>0.55137872266213106</v>
      </c>
    </row>
    <row r="27" spans="1:16" x14ac:dyDescent="0.3">
      <c r="A27" s="5">
        <v>42173</v>
      </c>
      <c r="B27" s="4">
        <v>1259000</v>
      </c>
      <c r="C27" s="4">
        <v>1279000</v>
      </c>
      <c r="D27" s="4">
        <v>1251000</v>
      </c>
      <c r="E27" s="4">
        <v>1265000</v>
      </c>
      <c r="F27" s="4"/>
      <c r="G27" s="1">
        <f t="shared" si="0"/>
        <v>1263500</v>
      </c>
      <c r="H27" s="1">
        <f t="shared" si="1"/>
        <v>0.99643846458250895</v>
      </c>
      <c r="I27" s="1">
        <f t="shared" si="1"/>
        <v>1.0122675108824692</v>
      </c>
      <c r="J27" s="1">
        <f t="shared" si="1"/>
        <v>0.99010684606252475</v>
      </c>
      <c r="K27" s="1">
        <f t="shared" si="1"/>
        <v>1.0011871784724971</v>
      </c>
      <c r="M27" s="1">
        <f t="shared" si="3"/>
        <v>0.49120397085542428</v>
      </c>
      <c r="N27" s="1">
        <f t="shared" si="3"/>
        <v>0.69134704099523658</v>
      </c>
      <c r="O27" s="1">
        <f t="shared" si="3"/>
        <v>0.41114674279949825</v>
      </c>
      <c r="P27" s="1">
        <f t="shared" si="3"/>
        <v>0.55124689189736809</v>
      </c>
    </row>
    <row r="28" spans="1:16" x14ac:dyDescent="0.3">
      <c r="A28" s="5">
        <v>42174</v>
      </c>
      <c r="B28" s="4">
        <v>1266000</v>
      </c>
      <c r="C28" s="4">
        <v>1278000</v>
      </c>
      <c r="D28" s="4">
        <v>1260000</v>
      </c>
      <c r="E28" s="4">
        <v>1266000</v>
      </c>
      <c r="F28" s="4"/>
      <c r="G28" s="1">
        <f t="shared" si="0"/>
        <v>1267500</v>
      </c>
      <c r="H28" s="1">
        <f t="shared" si="1"/>
        <v>0.99881656804733732</v>
      </c>
      <c r="I28" s="1">
        <f t="shared" si="1"/>
        <v>1.008284023668639</v>
      </c>
      <c r="J28" s="1">
        <f t="shared" si="1"/>
        <v>0.99408284023668636</v>
      </c>
      <c r="K28" s="1">
        <f t="shared" si="1"/>
        <v>0.99881656804733732</v>
      </c>
      <c r="M28" s="1">
        <f t="shared" si="3"/>
        <v>0.52127280251725772</v>
      </c>
      <c r="N28" s="1">
        <f t="shared" si="3"/>
        <v>0.64097967547425316</v>
      </c>
      <c r="O28" s="1">
        <f t="shared" si="3"/>
        <v>0.46141936603875866</v>
      </c>
      <c r="P28" s="1">
        <f t="shared" si="3"/>
        <v>0.52127280251725772</v>
      </c>
    </row>
    <row r="29" spans="1:16" x14ac:dyDescent="0.3">
      <c r="A29" s="5">
        <v>42177</v>
      </c>
      <c r="B29" s="4">
        <v>1291000</v>
      </c>
      <c r="C29" s="4">
        <v>1296000</v>
      </c>
      <c r="D29" s="4">
        <v>1276000</v>
      </c>
      <c r="E29" s="4">
        <v>1281000</v>
      </c>
      <c r="F29" s="4"/>
      <c r="G29" s="1">
        <f t="shared" si="0"/>
        <v>1286000</v>
      </c>
      <c r="H29" s="1">
        <f t="shared" si="1"/>
        <v>1.0038880248833593</v>
      </c>
      <c r="I29" s="1">
        <f t="shared" si="1"/>
        <v>1.0077760497667185</v>
      </c>
      <c r="J29" s="1">
        <f t="shared" si="1"/>
        <v>0.99222395023328147</v>
      </c>
      <c r="K29" s="1">
        <f t="shared" si="1"/>
        <v>0.99611197511664074</v>
      </c>
      <c r="M29" s="1">
        <f t="shared" si="3"/>
        <v>0.58539649778028302</v>
      </c>
      <c r="N29" s="1">
        <f t="shared" si="3"/>
        <v>0.63455683392368423</v>
      </c>
      <c r="O29" s="1">
        <f t="shared" si="3"/>
        <v>0.4379154893500794</v>
      </c>
      <c r="P29" s="1">
        <f t="shared" si="3"/>
        <v>0.48707582549348061</v>
      </c>
    </row>
    <row r="30" spans="1:16" x14ac:dyDescent="0.3">
      <c r="A30" s="5">
        <v>42178</v>
      </c>
      <c r="B30" s="4">
        <v>1309000</v>
      </c>
      <c r="C30" s="4">
        <v>1328000</v>
      </c>
      <c r="D30" s="4">
        <v>1291000</v>
      </c>
      <c r="E30" s="4">
        <v>1321000</v>
      </c>
      <c r="F30" s="4"/>
      <c r="G30" s="1">
        <f t="shared" si="0"/>
        <v>1312250</v>
      </c>
      <c r="H30" s="1">
        <f t="shared" si="1"/>
        <v>0.99752333777862445</v>
      </c>
      <c r="I30" s="1">
        <f t="shared" si="1"/>
        <v>1.0120022861497429</v>
      </c>
      <c r="J30" s="1">
        <f t="shared" si="1"/>
        <v>0.98380643932177558</v>
      </c>
      <c r="K30" s="1">
        <f t="shared" si="1"/>
        <v>1.0066679367498572</v>
      </c>
      <c r="M30" s="1">
        <f t="shared" si="3"/>
        <v>0.50492114926708209</v>
      </c>
      <c r="N30" s="1">
        <f t="shared" si="3"/>
        <v>0.6879935292751399</v>
      </c>
      <c r="O30" s="1">
        <f t="shared" si="3"/>
        <v>0.33148415768050277</v>
      </c>
      <c r="P30" s="1">
        <f t="shared" si="3"/>
        <v>0.62054581032480394</v>
      </c>
    </row>
    <row r="31" spans="1:16" x14ac:dyDescent="0.3">
      <c r="A31" s="5">
        <v>42179</v>
      </c>
      <c r="B31" s="4">
        <v>1300000</v>
      </c>
      <c r="C31" s="4">
        <v>1311000</v>
      </c>
      <c r="D31" s="4">
        <v>1291000</v>
      </c>
      <c r="E31" s="4">
        <v>1302000</v>
      </c>
      <c r="F31" s="4"/>
      <c r="G31" s="1">
        <f t="shared" si="0"/>
        <v>1301000</v>
      </c>
      <c r="H31" s="1">
        <f t="shared" si="1"/>
        <v>0.99923136049192929</v>
      </c>
      <c r="I31" s="1">
        <f t="shared" si="1"/>
        <v>1.0076863950807071</v>
      </c>
      <c r="J31" s="1">
        <f t="shared" si="1"/>
        <v>0.99231360491929288</v>
      </c>
      <c r="K31" s="1">
        <f t="shared" si="1"/>
        <v>1.0007686395080708</v>
      </c>
      <c r="M31" s="1">
        <f t="shared" si="3"/>
        <v>0.52651745413797124</v>
      </c>
      <c r="N31" s="1">
        <f t="shared" si="3"/>
        <v>0.63342323662598798</v>
      </c>
      <c r="O31" s="1">
        <f t="shared" si="3"/>
        <v>0.4390490866477757</v>
      </c>
      <c r="P31" s="1">
        <f t="shared" si="3"/>
        <v>0.54595486913579383</v>
      </c>
    </row>
    <row r="32" spans="1:16" x14ac:dyDescent="0.3">
      <c r="A32" s="5">
        <v>42180</v>
      </c>
      <c r="B32" s="4">
        <v>1290000</v>
      </c>
      <c r="C32" s="4">
        <v>1303000</v>
      </c>
      <c r="D32" s="4">
        <v>1269000</v>
      </c>
      <c r="E32" s="4">
        <v>1269000</v>
      </c>
      <c r="F32" s="4"/>
      <c r="G32" s="1">
        <f t="shared" si="0"/>
        <v>1282750</v>
      </c>
      <c r="H32" s="1">
        <f t="shared" si="1"/>
        <v>1.0056519197037614</v>
      </c>
      <c r="I32" s="1">
        <f t="shared" si="1"/>
        <v>1.0157863964139544</v>
      </c>
      <c r="J32" s="1">
        <f t="shared" si="1"/>
        <v>0.98928084194114208</v>
      </c>
      <c r="K32" s="1">
        <f t="shared" si="1"/>
        <v>0.98928084194114208</v>
      </c>
      <c r="M32" s="1">
        <f t="shared" si="3"/>
        <v>0.6076992517219334</v>
      </c>
      <c r="N32" s="1">
        <f t="shared" si="3"/>
        <v>0.73583996497788817</v>
      </c>
      <c r="O32" s="1">
        <f t="shared" si="3"/>
        <v>0.40070271492385284</v>
      </c>
      <c r="P32" s="1">
        <f t="shared" si="3"/>
        <v>0.40070271492385284</v>
      </c>
    </row>
    <row r="33" spans="1:16" x14ac:dyDescent="0.3">
      <c r="A33" s="5">
        <v>42181</v>
      </c>
      <c r="B33" s="4">
        <v>1252000</v>
      </c>
      <c r="C33" s="4">
        <v>1290000</v>
      </c>
      <c r="D33" s="4">
        <v>1252000</v>
      </c>
      <c r="E33" s="4">
        <v>1278000</v>
      </c>
      <c r="F33" s="4"/>
      <c r="G33" s="1">
        <f t="shared" si="0"/>
        <v>1268000</v>
      </c>
      <c r="H33" s="1">
        <f t="shared" si="1"/>
        <v>0.98738170347003151</v>
      </c>
      <c r="I33" s="1">
        <f t="shared" si="1"/>
        <v>1.0173501577287065</v>
      </c>
      <c r="J33" s="1">
        <f t="shared" si="1"/>
        <v>0.98738170347003151</v>
      </c>
      <c r="K33" s="1">
        <f t="shared" si="1"/>
        <v>1.0078864353312302</v>
      </c>
      <c r="M33" s="1">
        <f t="shared" si="3"/>
        <v>0.37668993506170473</v>
      </c>
      <c r="N33" s="1">
        <f t="shared" si="3"/>
        <v>0.75561222317774845</v>
      </c>
      <c r="O33" s="1">
        <f t="shared" si="3"/>
        <v>0.37668993506170473</v>
      </c>
      <c r="P33" s="1">
        <f t="shared" si="3"/>
        <v>0.63595255324636668</v>
      </c>
    </row>
    <row r="34" spans="1:16" x14ac:dyDescent="0.3">
      <c r="A34" s="5">
        <v>42184</v>
      </c>
      <c r="B34" s="4">
        <v>1269000</v>
      </c>
      <c r="C34" s="4">
        <v>1285000</v>
      </c>
      <c r="D34" s="4">
        <v>1256000</v>
      </c>
      <c r="E34" s="4">
        <v>1281000</v>
      </c>
      <c r="F34" s="4"/>
      <c r="G34" s="1">
        <f t="shared" si="0"/>
        <v>1272750</v>
      </c>
      <c r="H34" s="1">
        <f t="shared" si="1"/>
        <v>0.99705362404242781</v>
      </c>
      <c r="I34" s="1">
        <f t="shared" si="1"/>
        <v>1.0096248281280691</v>
      </c>
      <c r="J34" s="1">
        <f t="shared" si="1"/>
        <v>0.9868395207228442</v>
      </c>
      <c r="K34" s="1">
        <f t="shared" si="1"/>
        <v>1.0064820271066588</v>
      </c>
      <c r="M34" s="1">
        <f t="shared" si="3"/>
        <v>0.49898207072326139</v>
      </c>
      <c r="N34" s="1">
        <f t="shared" si="3"/>
        <v>0.65793285862137429</v>
      </c>
      <c r="O34" s="1">
        <f t="shared" si="3"/>
        <v>0.36983455555604372</v>
      </c>
      <c r="P34" s="1">
        <f t="shared" si="3"/>
        <v>0.6181951616468464</v>
      </c>
    </row>
    <row r="35" spans="1:16" x14ac:dyDescent="0.3">
      <c r="A35" s="5">
        <v>42185</v>
      </c>
      <c r="B35" s="4">
        <v>1276000</v>
      </c>
      <c r="C35" s="4">
        <v>1285000</v>
      </c>
      <c r="D35" s="4">
        <v>1266000</v>
      </c>
      <c r="E35" s="4">
        <v>1268000</v>
      </c>
      <c r="F35" s="4"/>
      <c r="G35" s="1">
        <f t="shared" si="0"/>
        <v>1273750</v>
      </c>
      <c r="H35" s="1">
        <f t="shared" si="1"/>
        <v>1.0017664376840039</v>
      </c>
      <c r="I35" s="1">
        <f t="shared" si="1"/>
        <v>1.0088321884200195</v>
      </c>
      <c r="J35" s="1">
        <f t="shared" si="1"/>
        <v>0.99391560353287534</v>
      </c>
      <c r="K35" s="1">
        <f t="shared" si="1"/>
        <v>0.99548577036310104</v>
      </c>
      <c r="M35" s="1">
        <f t="shared" si="3"/>
        <v>0.55857106764370046</v>
      </c>
      <c r="N35" s="1">
        <f t="shared" si="3"/>
        <v>0.64791069167097759</v>
      </c>
      <c r="O35" s="1">
        <f t="shared" si="3"/>
        <v>0.45930481872450352</v>
      </c>
      <c r="P35" s="1">
        <f t="shared" si="3"/>
        <v>0.47915806850834292</v>
      </c>
    </row>
    <row r="36" spans="1:16" x14ac:dyDescent="0.3">
      <c r="A36" s="5">
        <v>42186</v>
      </c>
      <c r="B36" s="4">
        <v>1268000</v>
      </c>
      <c r="C36" s="4">
        <v>1302000</v>
      </c>
      <c r="D36" s="4">
        <v>1259000</v>
      </c>
      <c r="E36" s="4">
        <v>1295000</v>
      </c>
      <c r="F36" s="4"/>
      <c r="G36" s="1">
        <f t="shared" si="0"/>
        <v>1281000</v>
      </c>
      <c r="H36" s="1">
        <f t="shared" si="1"/>
        <v>0.98985167837626853</v>
      </c>
      <c r="I36" s="1">
        <f t="shared" si="1"/>
        <v>1.0163934426229508</v>
      </c>
      <c r="J36" s="1">
        <f t="shared" si="1"/>
        <v>0.98282591725214674</v>
      </c>
      <c r="K36" s="1">
        <f t="shared" si="1"/>
        <v>1.0109289617486339</v>
      </c>
      <c r="M36" s="1">
        <f t="shared" si="3"/>
        <v>0.40792039276172493</v>
      </c>
      <c r="N36" s="1">
        <f t="shared" si="3"/>
        <v>0.74351548058905836</v>
      </c>
      <c r="O36" s="1">
        <f t="shared" si="3"/>
        <v>0.31908639892507784</v>
      </c>
      <c r="P36" s="1">
        <f t="shared" si="3"/>
        <v>0.67442237427166618</v>
      </c>
    </row>
    <row r="37" spans="1:16" x14ac:dyDescent="0.3">
      <c r="A37" s="5">
        <v>42187</v>
      </c>
      <c r="B37" s="4">
        <v>1286000</v>
      </c>
      <c r="C37" s="4">
        <v>1304000</v>
      </c>
      <c r="D37" s="4">
        <v>1285000</v>
      </c>
      <c r="E37" s="4">
        <v>1299000</v>
      </c>
      <c r="F37" s="4"/>
      <c r="G37" s="1">
        <f t="shared" si="0"/>
        <v>1293500</v>
      </c>
      <c r="H37" s="1">
        <f t="shared" si="1"/>
        <v>0.99420177812137611</v>
      </c>
      <c r="I37" s="1">
        <f t="shared" si="1"/>
        <v>1.0081175106300735</v>
      </c>
      <c r="J37" s="1">
        <f t="shared" si="1"/>
        <v>0.99342868187089295</v>
      </c>
      <c r="K37" s="1">
        <f t="shared" si="1"/>
        <v>1.0042520293776576</v>
      </c>
      <c r="M37" s="1">
        <f t="shared" si="3"/>
        <v>0.46292322122666102</v>
      </c>
      <c r="N37" s="1">
        <f t="shared" si="3"/>
        <v>0.63887427821119158</v>
      </c>
      <c r="O37" s="1">
        <f t="shared" si="3"/>
        <v>0.45314816250529849</v>
      </c>
      <c r="P37" s="1">
        <f t="shared" si="3"/>
        <v>0.58999898460437761</v>
      </c>
    </row>
    <row r="38" spans="1:16" x14ac:dyDescent="0.3">
      <c r="A38" s="5">
        <v>42188</v>
      </c>
      <c r="B38" s="4">
        <v>1287000</v>
      </c>
      <c r="C38" s="4">
        <v>1294000</v>
      </c>
      <c r="D38" s="4">
        <v>1267000</v>
      </c>
      <c r="E38" s="4">
        <v>1268000</v>
      </c>
      <c r="F38" s="4"/>
      <c r="G38" s="1">
        <f t="shared" si="0"/>
        <v>1279000</v>
      </c>
      <c r="H38" s="1">
        <f t="shared" si="1"/>
        <v>1.0062548866301799</v>
      </c>
      <c r="I38" s="1">
        <f t="shared" si="1"/>
        <v>1.0117279124315872</v>
      </c>
      <c r="J38" s="1">
        <f t="shared" si="1"/>
        <v>0.99061767005473023</v>
      </c>
      <c r="K38" s="1">
        <f t="shared" si="1"/>
        <v>0.99139953088350274</v>
      </c>
      <c r="M38" s="1">
        <f t="shared" si="3"/>
        <v>0.61532318872731462</v>
      </c>
      <c r="N38" s="1">
        <f t="shared" si="3"/>
        <v>0.68452433743144159</v>
      </c>
      <c r="O38" s="1">
        <f t="shared" si="3"/>
        <v>0.417605621001234</v>
      </c>
      <c r="P38" s="1">
        <f t="shared" si="3"/>
        <v>0.42749149938753844</v>
      </c>
    </row>
    <row r="39" spans="1:16" x14ac:dyDescent="0.3">
      <c r="A39" s="5">
        <v>42191</v>
      </c>
      <c r="B39" s="4">
        <v>1253000</v>
      </c>
      <c r="C39" s="4">
        <v>1260000</v>
      </c>
      <c r="D39" s="4">
        <v>1223000</v>
      </c>
      <c r="E39" s="4">
        <v>1230000</v>
      </c>
      <c r="F39" s="4"/>
      <c r="G39" s="1">
        <f t="shared" si="0"/>
        <v>1241500</v>
      </c>
      <c r="H39" s="1">
        <f t="shared" si="1"/>
        <v>1.0092629883205799</v>
      </c>
      <c r="I39" s="1">
        <f t="shared" si="1"/>
        <v>1.0149013290374547</v>
      </c>
      <c r="J39" s="1">
        <f t="shared" si="1"/>
        <v>0.98509867096254533</v>
      </c>
      <c r="K39" s="1">
        <f t="shared" si="1"/>
        <v>0.99073701167942008</v>
      </c>
      <c r="M39" s="1">
        <f t="shared" si="3"/>
        <v>0.65335774218053977</v>
      </c>
      <c r="N39" s="1">
        <f t="shared" si="3"/>
        <v>0.72464913903320127</v>
      </c>
      <c r="O39" s="1">
        <f t="shared" si="3"/>
        <v>0.34782318424056241</v>
      </c>
      <c r="P39" s="1">
        <f t="shared" si="3"/>
        <v>0.41911458109322386</v>
      </c>
    </row>
    <row r="40" spans="1:16" x14ac:dyDescent="0.3">
      <c r="A40" s="5">
        <v>42192</v>
      </c>
      <c r="B40" s="4">
        <v>1220000</v>
      </c>
      <c r="C40" s="4">
        <v>1259000</v>
      </c>
      <c r="D40" s="4">
        <v>1220000</v>
      </c>
      <c r="E40" s="4">
        <v>1240000</v>
      </c>
      <c r="F40" s="4"/>
      <c r="G40" s="1">
        <f t="shared" si="0"/>
        <v>1234750</v>
      </c>
      <c r="H40" s="1">
        <f t="shared" si="1"/>
        <v>0.98805426199635549</v>
      </c>
      <c r="I40" s="1">
        <f t="shared" si="1"/>
        <v>1.0196396031585342</v>
      </c>
      <c r="J40" s="1">
        <f t="shared" si="1"/>
        <v>0.98805426199635549</v>
      </c>
      <c r="K40" s="1">
        <f t="shared" si="1"/>
        <v>1.0042518728487548</v>
      </c>
      <c r="M40" s="1">
        <f t="shared" si="3"/>
        <v>0.38519379093251138</v>
      </c>
      <c r="N40" s="1">
        <f t="shared" si="3"/>
        <v>0.78456005923559247</v>
      </c>
      <c r="O40" s="1">
        <f t="shared" si="3"/>
        <v>0.38519379093251138</v>
      </c>
      <c r="P40" s="1">
        <f t="shared" si="3"/>
        <v>0.58999700544691203</v>
      </c>
    </row>
    <row r="41" spans="1:16" x14ac:dyDescent="0.3">
      <c r="A41" s="5">
        <v>42193</v>
      </c>
      <c r="B41" s="4">
        <v>1240000</v>
      </c>
      <c r="C41" s="4">
        <v>1251000</v>
      </c>
      <c r="D41" s="4">
        <v>1232000</v>
      </c>
      <c r="E41" s="4">
        <v>1239000</v>
      </c>
      <c r="F41" s="4"/>
      <c r="G41" s="1">
        <f t="shared" si="0"/>
        <v>1240500</v>
      </c>
      <c r="H41" s="1">
        <f t="shared" si="1"/>
        <v>0.99959693671906491</v>
      </c>
      <c r="I41" s="1">
        <f t="shared" si="1"/>
        <v>1.0084643288996373</v>
      </c>
      <c r="J41" s="1">
        <f t="shared" si="1"/>
        <v>0.99314792422410314</v>
      </c>
      <c r="K41" s="1">
        <f t="shared" si="1"/>
        <v>0.99879081015719473</v>
      </c>
      <c r="M41" s="1">
        <f t="shared" si="3"/>
        <v>0.53113981401250365</v>
      </c>
      <c r="N41" s="1">
        <f t="shared" si="3"/>
        <v>0.64325946174882886</v>
      </c>
      <c r="O41" s="1">
        <f t="shared" si="3"/>
        <v>0.44959825202244885</v>
      </c>
      <c r="P41" s="1">
        <f t="shared" si="3"/>
        <v>0.52094711876374733</v>
      </c>
    </row>
    <row r="42" spans="1:16" x14ac:dyDescent="0.3">
      <c r="A42" s="5">
        <v>42194</v>
      </c>
      <c r="B42" s="4">
        <v>1230000</v>
      </c>
      <c r="C42" s="4">
        <v>1265000</v>
      </c>
      <c r="D42" s="4">
        <v>1226000</v>
      </c>
      <c r="E42" s="4">
        <v>1265000</v>
      </c>
      <c r="F42" s="4"/>
      <c r="G42" s="1">
        <f t="shared" si="0"/>
        <v>1246500</v>
      </c>
      <c r="H42" s="1">
        <f t="shared" si="1"/>
        <v>0.98676293622141997</v>
      </c>
      <c r="I42" s="1">
        <f t="shared" si="1"/>
        <v>1.0148415563578019</v>
      </c>
      <c r="J42" s="1">
        <f t="shared" si="1"/>
        <v>0.98355395106297638</v>
      </c>
      <c r="K42" s="1">
        <f t="shared" si="1"/>
        <v>1.0148415563578019</v>
      </c>
      <c r="M42" s="1">
        <f t="shared" si="3"/>
        <v>0.3688662181748959</v>
      </c>
      <c r="N42" s="1">
        <f t="shared" si="3"/>
        <v>0.72389337097304896</v>
      </c>
      <c r="O42" s="1">
        <f t="shared" si="3"/>
        <v>0.32829168642653633</v>
      </c>
      <c r="P42" s="1">
        <f t="shared" si="3"/>
        <v>0.72389337097304896</v>
      </c>
    </row>
    <row r="43" spans="1:16" x14ac:dyDescent="0.3">
      <c r="A43" s="5">
        <v>42195</v>
      </c>
      <c r="B43" s="4">
        <v>1257000</v>
      </c>
      <c r="C43" s="4">
        <v>1266000</v>
      </c>
      <c r="D43" s="4">
        <v>1248000</v>
      </c>
      <c r="E43" s="4">
        <v>1259000</v>
      </c>
      <c r="F43" s="4"/>
      <c r="G43" s="1">
        <f t="shared" si="0"/>
        <v>1257500</v>
      </c>
      <c r="H43" s="1">
        <f t="shared" si="1"/>
        <v>0.99960238568588466</v>
      </c>
      <c r="I43" s="1">
        <f t="shared" si="1"/>
        <v>1.0067594433399603</v>
      </c>
      <c r="J43" s="1">
        <f t="shared" si="1"/>
        <v>0.99244532803180918</v>
      </c>
      <c r="K43" s="1">
        <f t="shared" si="1"/>
        <v>1.001192842942346</v>
      </c>
      <c r="M43" s="1">
        <f t="shared" si="3"/>
        <v>0.53120871095851852</v>
      </c>
      <c r="N43" s="1">
        <f t="shared" si="3"/>
        <v>0.62170282316905179</v>
      </c>
      <c r="O43" s="1">
        <f t="shared" si="3"/>
        <v>0.44071459874798674</v>
      </c>
      <c r="P43" s="1">
        <f t="shared" si="3"/>
        <v>0.5513185136719716</v>
      </c>
    </row>
    <row r="44" spans="1:16" x14ac:dyDescent="0.3">
      <c r="A44" s="5">
        <v>42198</v>
      </c>
      <c r="B44" s="4">
        <v>1250000</v>
      </c>
      <c r="C44" s="4">
        <v>1272000</v>
      </c>
      <c r="D44" s="4">
        <v>1245000</v>
      </c>
      <c r="E44" s="4">
        <v>1266000</v>
      </c>
      <c r="F44" s="4"/>
      <c r="G44" s="1">
        <f t="shared" si="0"/>
        <v>1258250</v>
      </c>
      <c r="H44" s="1">
        <f t="shared" si="1"/>
        <v>0.99344327438903235</v>
      </c>
      <c r="I44" s="1">
        <f t="shared" si="1"/>
        <v>1.0109278760182794</v>
      </c>
      <c r="J44" s="1">
        <f t="shared" si="1"/>
        <v>0.98946950129147626</v>
      </c>
      <c r="K44" s="1">
        <f t="shared" si="1"/>
        <v>1.0061593483012119</v>
      </c>
      <c r="M44" s="1">
        <f t="shared" si="3"/>
        <v>0.45333267086582418</v>
      </c>
      <c r="N44" s="1">
        <f t="shared" si="3"/>
        <v>0.67440864625531083</v>
      </c>
      <c r="O44" s="1">
        <f t="shared" si="3"/>
        <v>0.40308813100457791</v>
      </c>
      <c r="P44" s="1">
        <f t="shared" si="3"/>
        <v>0.61411519842181306</v>
      </c>
    </row>
    <row r="45" spans="1:16" x14ac:dyDescent="0.3">
      <c r="A45" s="5">
        <v>42199</v>
      </c>
      <c r="B45" s="4">
        <v>1265000</v>
      </c>
      <c r="C45" s="4">
        <v>1270000</v>
      </c>
      <c r="D45" s="4">
        <v>1221000</v>
      </c>
      <c r="E45" s="4">
        <v>1225000</v>
      </c>
      <c r="F45" s="4"/>
      <c r="G45" s="1">
        <f t="shared" si="0"/>
        <v>1245250</v>
      </c>
      <c r="H45" s="1">
        <f t="shared" si="1"/>
        <v>1.0158602690222847</v>
      </c>
      <c r="I45" s="1">
        <f t="shared" si="1"/>
        <v>1.0198755270026099</v>
      </c>
      <c r="J45" s="1">
        <f t="shared" si="1"/>
        <v>0.98052599879542257</v>
      </c>
      <c r="K45" s="1">
        <f t="shared" si="1"/>
        <v>0.9837382051796828</v>
      </c>
      <c r="M45" s="1">
        <f t="shared" si="3"/>
        <v>0.73677401307846702</v>
      </c>
      <c r="N45" s="1">
        <f t="shared" si="3"/>
        <v>0.78754308939279205</v>
      </c>
      <c r="O45" s="1">
        <f t="shared" si="3"/>
        <v>0.29000614151240295</v>
      </c>
      <c r="P45" s="1">
        <f t="shared" si="3"/>
        <v>0.33062140256386385</v>
      </c>
    </row>
    <row r="46" spans="1:16" x14ac:dyDescent="0.3">
      <c r="A46" s="5">
        <v>42200</v>
      </c>
      <c r="B46" s="4">
        <v>1225000</v>
      </c>
      <c r="C46" s="4">
        <v>1238000</v>
      </c>
      <c r="D46" s="4">
        <v>1224000</v>
      </c>
      <c r="E46" s="4">
        <v>1235000</v>
      </c>
      <c r="F46" s="4"/>
      <c r="G46" s="1">
        <f t="shared" si="0"/>
        <v>1230500</v>
      </c>
      <c r="H46" s="1">
        <f t="shared" si="1"/>
        <v>0.99553027224705404</v>
      </c>
      <c r="I46" s="1">
        <f t="shared" si="1"/>
        <v>1.0060950832994717</v>
      </c>
      <c r="J46" s="1">
        <f t="shared" si="1"/>
        <v>0.99471759447379116</v>
      </c>
      <c r="K46" s="1">
        <f t="shared" si="1"/>
        <v>1.0036570499796831</v>
      </c>
      <c r="M46" s="1">
        <f t="shared" si="3"/>
        <v>0.4797207520404127</v>
      </c>
      <c r="N46" s="1">
        <f t="shared" si="3"/>
        <v>0.61330262926843004</v>
      </c>
      <c r="O46" s="1">
        <f t="shared" si="3"/>
        <v>0.46944522302287317</v>
      </c>
      <c r="P46" s="1">
        <f t="shared" si="3"/>
        <v>0.58247604221581128</v>
      </c>
    </row>
    <row r="47" spans="1:16" x14ac:dyDescent="0.3">
      <c r="A47" s="5">
        <v>42201</v>
      </c>
      <c r="B47" s="4">
        <v>1223000</v>
      </c>
      <c r="C47" s="4">
        <v>1287000</v>
      </c>
      <c r="D47" s="4">
        <v>1223000</v>
      </c>
      <c r="E47" s="4">
        <v>1282000</v>
      </c>
      <c r="F47" s="4"/>
      <c r="G47" s="1">
        <f t="shared" si="0"/>
        <v>1253750</v>
      </c>
      <c r="H47" s="1">
        <f t="shared" si="1"/>
        <v>0.97547357926221334</v>
      </c>
      <c r="I47" s="1">
        <f t="shared" si="1"/>
        <v>1.0265204386839482</v>
      </c>
      <c r="J47" s="1">
        <f t="shared" si="1"/>
        <v>0.97547357926221334</v>
      </c>
      <c r="K47" s="1">
        <f t="shared" si="1"/>
        <v>1.0225324027916252</v>
      </c>
      <c r="M47" s="1">
        <f t="shared" si="3"/>
        <v>0.22612315463824179</v>
      </c>
      <c r="N47" s="1">
        <f t="shared" si="3"/>
        <v>0.87156160822890694</v>
      </c>
      <c r="O47" s="1">
        <f t="shared" si="3"/>
        <v>0.22612315463824179</v>
      </c>
      <c r="P47" s="1">
        <f t="shared" si="3"/>
        <v>0.82113672904213675</v>
      </c>
    </row>
    <row r="48" spans="1:16" x14ac:dyDescent="0.3">
      <c r="A48" s="5">
        <v>42202</v>
      </c>
      <c r="B48" s="4">
        <v>1300000</v>
      </c>
      <c r="C48" s="4">
        <v>1311000</v>
      </c>
      <c r="D48" s="4">
        <v>1278000</v>
      </c>
      <c r="E48" s="4">
        <v>1305000</v>
      </c>
      <c r="F48" s="4"/>
      <c r="G48" s="1">
        <f t="shared" si="0"/>
        <v>1298500</v>
      </c>
      <c r="H48" s="1">
        <f t="shared" si="1"/>
        <v>1.0011551790527531</v>
      </c>
      <c r="I48" s="1">
        <f t="shared" si="1"/>
        <v>1.0096264921062765</v>
      </c>
      <c r="J48" s="1">
        <f t="shared" si="1"/>
        <v>0.98421255294570653</v>
      </c>
      <c r="K48" s="1">
        <f t="shared" si="1"/>
        <v>1.0050057758952637</v>
      </c>
      <c r="M48" s="1">
        <f t="shared" si="3"/>
        <v>0.55084229000355311</v>
      </c>
      <c r="N48" s="1">
        <f t="shared" si="3"/>
        <v>0.65795389802581927</v>
      </c>
      <c r="O48" s="1">
        <f t="shared" si="3"/>
        <v>0.33661907395902485</v>
      </c>
      <c r="P48" s="1">
        <f t="shared" si="3"/>
        <v>0.59952938455912863</v>
      </c>
    </row>
    <row r="49" spans="1:16" x14ac:dyDescent="0.3">
      <c r="A49" s="5">
        <v>42205</v>
      </c>
      <c r="B49" s="4">
        <v>1291000</v>
      </c>
      <c r="C49" s="4">
        <v>1304000</v>
      </c>
      <c r="D49" s="4">
        <v>1273000</v>
      </c>
      <c r="E49" s="4">
        <v>1275000</v>
      </c>
      <c r="F49" s="4"/>
      <c r="G49" s="1">
        <f t="shared" si="0"/>
        <v>1285750</v>
      </c>
      <c r="H49" s="1">
        <f t="shared" si="1"/>
        <v>1.004083219910558</v>
      </c>
      <c r="I49" s="1">
        <f t="shared" si="1"/>
        <v>1.0141940501652731</v>
      </c>
      <c r="J49" s="1">
        <f t="shared" si="1"/>
        <v>0.99008360878864476</v>
      </c>
      <c r="K49" s="1">
        <f t="shared" si="1"/>
        <v>0.99163912113552399</v>
      </c>
      <c r="M49" s="1">
        <f t="shared" si="3"/>
        <v>0.58786455121062053</v>
      </c>
      <c r="N49" s="1">
        <f t="shared" si="3"/>
        <v>0.71570627777416251</v>
      </c>
      <c r="O49" s="1">
        <f t="shared" si="3"/>
        <v>0.4108529298149452</v>
      </c>
      <c r="P49" s="1">
        <f t="shared" si="3"/>
        <v>0.43052088774779768</v>
      </c>
    </row>
    <row r="50" spans="1:16" x14ac:dyDescent="0.3">
      <c r="A50" s="5">
        <v>42206</v>
      </c>
      <c r="B50" s="4">
        <v>1275000</v>
      </c>
      <c r="C50" s="4">
        <v>1277000</v>
      </c>
      <c r="D50" s="4">
        <v>1247000</v>
      </c>
      <c r="E50" s="4">
        <v>1263000</v>
      </c>
      <c r="F50" s="4"/>
      <c r="G50" s="1">
        <f t="shared" si="0"/>
        <v>1265500</v>
      </c>
      <c r="H50" s="1">
        <f t="shared" si="1"/>
        <v>1.0075069142631372</v>
      </c>
      <c r="I50" s="1">
        <f t="shared" si="1"/>
        <v>1.0090873172659027</v>
      </c>
      <c r="J50" s="1">
        <f t="shared" si="1"/>
        <v>0.98538127222441718</v>
      </c>
      <c r="K50" s="1">
        <f t="shared" si="1"/>
        <v>0.99802449624654288</v>
      </c>
      <c r="M50" s="1">
        <f t="shared" si="3"/>
        <v>0.63115387426650482</v>
      </c>
      <c r="N50" s="1">
        <f t="shared" si="3"/>
        <v>0.65113655060958064</v>
      </c>
      <c r="O50" s="1">
        <f t="shared" si="3"/>
        <v>0.35139640546340761</v>
      </c>
      <c r="P50" s="1">
        <f t="shared" si="3"/>
        <v>0.51125781620803423</v>
      </c>
    </row>
    <row r="51" spans="1:16" x14ac:dyDescent="0.3">
      <c r="A51" s="5">
        <v>42207</v>
      </c>
      <c r="B51" s="4">
        <v>1244000</v>
      </c>
      <c r="C51" s="4">
        <v>1260000</v>
      </c>
      <c r="D51" s="4">
        <v>1235000</v>
      </c>
      <c r="E51" s="4">
        <v>1253000</v>
      </c>
      <c r="F51" s="4"/>
      <c r="G51" s="1">
        <f t="shared" si="0"/>
        <v>1248000</v>
      </c>
      <c r="H51" s="1">
        <f t="shared" si="1"/>
        <v>0.99679487179487181</v>
      </c>
      <c r="I51" s="1">
        <f t="shared" si="1"/>
        <v>1.0096153846153846</v>
      </c>
      <c r="J51" s="1">
        <f t="shared" si="1"/>
        <v>0.98958333333333337</v>
      </c>
      <c r="K51" s="1">
        <f t="shared" si="1"/>
        <v>1.0040064102564104</v>
      </c>
      <c r="M51" s="1">
        <f t="shared" si="3"/>
        <v>0.49571039735456546</v>
      </c>
      <c r="N51" s="1">
        <f t="shared" si="3"/>
        <v>0.65781345448383088</v>
      </c>
      <c r="O51" s="1">
        <f t="shared" si="3"/>
        <v>0.40452742771935363</v>
      </c>
      <c r="P51" s="1">
        <f t="shared" si="3"/>
        <v>0.58689336698977868</v>
      </c>
    </row>
    <row r="52" spans="1:16" x14ac:dyDescent="0.3">
      <c r="A52" s="5">
        <v>42208</v>
      </c>
      <c r="B52" s="4">
        <v>1244000</v>
      </c>
      <c r="C52" s="4">
        <v>1253000</v>
      </c>
      <c r="D52" s="4">
        <v>1234000</v>
      </c>
      <c r="E52" s="4">
        <v>1234000</v>
      </c>
      <c r="F52" s="4"/>
      <c r="G52" s="1">
        <f t="shared" si="0"/>
        <v>1241250</v>
      </c>
      <c r="H52" s="1">
        <f t="shared" si="1"/>
        <v>1.0022155085599194</v>
      </c>
      <c r="I52" s="1">
        <f t="shared" si="1"/>
        <v>1.0094662638469285</v>
      </c>
      <c r="J52" s="1">
        <f t="shared" si="1"/>
        <v>0.99415911379657607</v>
      </c>
      <c r="K52" s="1">
        <f t="shared" si="1"/>
        <v>0.99415911379657607</v>
      </c>
      <c r="M52" s="1">
        <f t="shared" si="3"/>
        <v>0.56424913706828284</v>
      </c>
      <c r="N52" s="1">
        <f t="shared" si="3"/>
        <v>0.65592796575287171</v>
      </c>
      <c r="O52" s="1">
        <f t="shared" si="3"/>
        <v>0.46238377186318641</v>
      </c>
      <c r="P52" s="1">
        <f t="shared" si="3"/>
        <v>0.46238377186318641</v>
      </c>
    </row>
    <row r="53" spans="1:16" x14ac:dyDescent="0.3">
      <c r="A53" s="5">
        <v>42209</v>
      </c>
      <c r="B53" s="4">
        <v>1227000</v>
      </c>
      <c r="C53" s="4">
        <v>1238000</v>
      </c>
      <c r="D53" s="4">
        <v>1224000</v>
      </c>
      <c r="E53" s="4">
        <v>1229000</v>
      </c>
      <c r="F53" s="4"/>
      <c r="G53" s="1">
        <f t="shared" si="0"/>
        <v>1229500</v>
      </c>
      <c r="H53" s="1">
        <f t="shared" si="1"/>
        <v>0.99796665311102073</v>
      </c>
      <c r="I53" s="1">
        <f t="shared" si="1"/>
        <v>1.0069133794225296</v>
      </c>
      <c r="J53" s="1">
        <f t="shared" si="1"/>
        <v>0.99552663684424558</v>
      </c>
      <c r="K53" s="1">
        <f t="shared" si="1"/>
        <v>0.99959333062220412</v>
      </c>
      <c r="M53" s="1">
        <f t="shared" si="3"/>
        <v>0.51052644537807168</v>
      </c>
      <c r="N53" s="1">
        <f t="shared" si="3"/>
        <v>0.62364919691683685</v>
      </c>
      <c r="O53" s="1">
        <f t="shared" si="3"/>
        <v>0.47967478586749929</v>
      </c>
      <c r="P53" s="1">
        <f t="shared" si="3"/>
        <v>0.5310942183851195</v>
      </c>
    </row>
    <row r="54" spans="1:16" x14ac:dyDescent="0.3">
      <c r="A54" s="5">
        <v>42212</v>
      </c>
      <c r="B54" s="4">
        <v>1229000</v>
      </c>
      <c r="C54" s="4">
        <v>1247000</v>
      </c>
      <c r="D54" s="4">
        <v>1228000</v>
      </c>
      <c r="E54" s="4">
        <v>1230000</v>
      </c>
      <c r="F54" s="4"/>
      <c r="G54" s="1">
        <f t="shared" si="0"/>
        <v>1233500</v>
      </c>
      <c r="H54" s="1">
        <f t="shared" si="1"/>
        <v>0.99635184434535873</v>
      </c>
      <c r="I54" s="1">
        <f t="shared" si="1"/>
        <v>1.0109444669639238</v>
      </c>
      <c r="J54" s="1">
        <f t="shared" si="1"/>
        <v>0.99554114308877184</v>
      </c>
      <c r="K54" s="1">
        <f t="shared" si="1"/>
        <v>0.99716254560194573</v>
      </c>
      <c r="M54" s="1">
        <f t="shared" si="3"/>
        <v>0.49010874124582182</v>
      </c>
      <c r="N54" s="1">
        <f t="shared" si="3"/>
        <v>0.67461842281006179</v>
      </c>
      <c r="O54" s="1">
        <f t="shared" si="3"/>
        <v>0.4798582033811426</v>
      </c>
      <c r="P54" s="1">
        <f t="shared" si="3"/>
        <v>0.50035927911050249</v>
      </c>
    </row>
    <row r="55" spans="1:16" x14ac:dyDescent="0.3">
      <c r="A55" s="5">
        <v>42213</v>
      </c>
      <c r="B55" s="4">
        <v>1224000</v>
      </c>
      <c r="C55" s="4">
        <v>1251000</v>
      </c>
      <c r="D55" s="4">
        <v>1219000</v>
      </c>
      <c r="E55" s="4">
        <v>1230000</v>
      </c>
      <c r="F55" s="4"/>
      <c r="G55" s="1">
        <f t="shared" si="0"/>
        <v>1231000</v>
      </c>
      <c r="H55" s="1">
        <f t="shared" si="1"/>
        <v>0.99431356620633626</v>
      </c>
      <c r="I55" s="1">
        <f t="shared" si="1"/>
        <v>1.016246953696182</v>
      </c>
      <c r="J55" s="1">
        <f t="shared" si="1"/>
        <v>0.99025182778229082</v>
      </c>
      <c r="K55" s="1">
        <f t="shared" si="1"/>
        <v>0.99918765231519091</v>
      </c>
      <c r="M55" s="1">
        <f t="shared" si="3"/>
        <v>0.46433667407182899</v>
      </c>
      <c r="N55" s="1">
        <f t="shared" si="3"/>
        <v>0.74166326896560297</v>
      </c>
      <c r="O55" s="1">
        <f t="shared" si="3"/>
        <v>0.4129798972396494</v>
      </c>
      <c r="P55" s="1">
        <f t="shared" si="3"/>
        <v>0.52596480627044595</v>
      </c>
    </row>
    <row r="56" spans="1:16" x14ac:dyDescent="0.3">
      <c r="A56" s="5">
        <v>42214</v>
      </c>
      <c r="B56" s="4">
        <v>1250000</v>
      </c>
      <c r="C56" s="4">
        <v>1275000</v>
      </c>
      <c r="D56" s="4">
        <v>1231000</v>
      </c>
      <c r="E56" s="4">
        <v>1263000</v>
      </c>
      <c r="F56" s="4"/>
      <c r="G56" s="1">
        <f t="shared" si="0"/>
        <v>1254750</v>
      </c>
      <c r="H56" s="1">
        <f t="shared" si="1"/>
        <v>0.99621438533572426</v>
      </c>
      <c r="I56" s="1">
        <f t="shared" si="1"/>
        <v>1.0161386730424387</v>
      </c>
      <c r="J56" s="1">
        <f t="shared" si="1"/>
        <v>0.9810719266786212</v>
      </c>
      <c r="K56" s="1">
        <f t="shared" si="1"/>
        <v>1.0065750149432158</v>
      </c>
      <c r="M56" s="1">
        <f t="shared" si="3"/>
        <v>0.48837070424186857</v>
      </c>
      <c r="N56" s="1">
        <f t="shared" si="3"/>
        <v>0.74029416421562222</v>
      </c>
      <c r="O56" s="1">
        <f t="shared" si="3"/>
        <v>0.29690887466181426</v>
      </c>
      <c r="P56" s="1">
        <f t="shared" si="3"/>
        <v>0.61937090342822076</v>
      </c>
    </row>
    <row r="57" spans="1:16" x14ac:dyDescent="0.3">
      <c r="A57" s="5">
        <v>42215</v>
      </c>
      <c r="B57" s="4">
        <v>1258000</v>
      </c>
      <c r="C57" s="4">
        <v>1260000</v>
      </c>
      <c r="D57" s="4">
        <v>1215000</v>
      </c>
      <c r="E57" s="4">
        <v>1215000</v>
      </c>
      <c r="F57" s="4"/>
      <c r="G57" s="1">
        <f t="shared" si="0"/>
        <v>1237000</v>
      </c>
      <c r="H57" s="1">
        <f t="shared" si="1"/>
        <v>1.0169765561843169</v>
      </c>
      <c r="I57" s="1">
        <f t="shared" si="1"/>
        <v>1.0185933710590138</v>
      </c>
      <c r="J57" s="1">
        <f t="shared" si="1"/>
        <v>0.98221503637833463</v>
      </c>
      <c r="K57" s="1">
        <f t="shared" si="1"/>
        <v>0.98221503637833463</v>
      </c>
      <c r="M57" s="1">
        <f t="shared" si="3"/>
        <v>0.75088839088323456</v>
      </c>
      <c r="N57" s="1">
        <f t="shared" si="3"/>
        <v>0.77133146033526867</v>
      </c>
      <c r="O57" s="1">
        <f t="shared" si="3"/>
        <v>0.31136239766451207</v>
      </c>
      <c r="P57" s="1">
        <f t="shared" si="3"/>
        <v>0.31136239766451207</v>
      </c>
    </row>
    <row r="58" spans="1:16" x14ac:dyDescent="0.3">
      <c r="A58" s="5">
        <v>42216</v>
      </c>
      <c r="B58" s="4">
        <v>1220000</v>
      </c>
      <c r="C58" s="4">
        <v>1222000</v>
      </c>
      <c r="D58" s="4">
        <v>1175000</v>
      </c>
      <c r="E58" s="4">
        <v>1185000</v>
      </c>
      <c r="F58" s="4"/>
      <c r="G58" s="1">
        <f t="shared" si="0"/>
        <v>1200500</v>
      </c>
      <c r="H58" s="1">
        <f t="shared" si="1"/>
        <v>1.0162432319866723</v>
      </c>
      <c r="I58" s="1">
        <f t="shared" si="1"/>
        <v>1.0179092044981257</v>
      </c>
      <c r="J58" s="1">
        <f t="shared" si="1"/>
        <v>0.97875885047896705</v>
      </c>
      <c r="K58" s="1">
        <f t="shared" si="1"/>
        <v>0.98708871303623491</v>
      </c>
      <c r="M58" s="1">
        <f t="shared" si="3"/>
        <v>0.74161621152744017</v>
      </c>
      <c r="N58" s="1">
        <f t="shared" si="3"/>
        <v>0.76268083202903358</v>
      </c>
      <c r="O58" s="1">
        <f t="shared" si="3"/>
        <v>0.26766225024153739</v>
      </c>
      <c r="P58" s="1">
        <f t="shared" si="3"/>
        <v>0.37298535274951611</v>
      </c>
    </row>
    <row r="59" spans="1:16" x14ac:dyDescent="0.3">
      <c r="A59" s="5">
        <v>42219</v>
      </c>
      <c r="B59" s="4">
        <v>1184000</v>
      </c>
      <c r="C59" s="4">
        <v>1184000</v>
      </c>
      <c r="D59" s="4">
        <v>1166000</v>
      </c>
      <c r="E59" s="4">
        <v>1175000</v>
      </c>
      <c r="F59" s="4"/>
      <c r="G59" s="1">
        <f t="shared" si="0"/>
        <v>1177250</v>
      </c>
      <c r="H59" s="1">
        <f t="shared" si="1"/>
        <v>1.0057337014228074</v>
      </c>
      <c r="I59" s="1">
        <f t="shared" si="1"/>
        <v>1.0057337014228074</v>
      </c>
      <c r="J59" s="1">
        <f t="shared" si="1"/>
        <v>0.99044383096198774</v>
      </c>
      <c r="K59" s="1">
        <f t="shared" si="1"/>
        <v>0.9980887661923975</v>
      </c>
      <c r="M59" s="1">
        <f t="shared" si="3"/>
        <v>0.60873330292255479</v>
      </c>
      <c r="N59" s="1">
        <f t="shared" si="3"/>
        <v>0.60873330292255479</v>
      </c>
      <c r="O59" s="1">
        <f t="shared" si="3"/>
        <v>0.41540759282742745</v>
      </c>
      <c r="P59" s="1">
        <f t="shared" si="3"/>
        <v>0.51207044787499034</v>
      </c>
    </row>
    <row r="60" spans="1:16" x14ac:dyDescent="0.3">
      <c r="A60" s="5">
        <v>42220</v>
      </c>
      <c r="B60" s="4">
        <v>1175000</v>
      </c>
      <c r="C60" s="4">
        <v>1187000</v>
      </c>
      <c r="D60" s="4">
        <v>1170000</v>
      </c>
      <c r="E60" s="4">
        <v>1182000</v>
      </c>
      <c r="F60" s="4"/>
      <c r="G60" s="1">
        <f t="shared" si="0"/>
        <v>1178500</v>
      </c>
      <c r="H60" s="1">
        <f t="shared" si="1"/>
        <v>0.99703012303775984</v>
      </c>
      <c r="I60" s="1">
        <f t="shared" si="1"/>
        <v>1.007212558336869</v>
      </c>
      <c r="J60" s="1">
        <f t="shared" si="1"/>
        <v>0.99278744166313115</v>
      </c>
      <c r="K60" s="1">
        <f t="shared" si="1"/>
        <v>1.0029698769622402</v>
      </c>
      <c r="M60" s="1">
        <f t="shared" si="3"/>
        <v>0.49868492311648305</v>
      </c>
      <c r="N60" s="1">
        <f t="shared" si="3"/>
        <v>0.6274320266149932</v>
      </c>
      <c r="O60" s="1">
        <f t="shared" si="3"/>
        <v>0.44504029665877187</v>
      </c>
      <c r="P60" s="1">
        <f t="shared" si="3"/>
        <v>0.57378740015728058</v>
      </c>
    </row>
    <row r="61" spans="1:16" x14ac:dyDescent="0.3">
      <c r="A61" s="5">
        <v>42221</v>
      </c>
      <c r="B61" s="4">
        <v>1182000</v>
      </c>
      <c r="C61" s="4">
        <v>1182000</v>
      </c>
      <c r="D61" s="4">
        <v>1158000</v>
      </c>
      <c r="E61" s="4">
        <v>1159000</v>
      </c>
      <c r="F61" s="4"/>
      <c r="G61" s="1">
        <f t="shared" si="0"/>
        <v>1170250</v>
      </c>
      <c r="H61" s="1">
        <f t="shared" si="1"/>
        <v>1.010040589617603</v>
      </c>
      <c r="I61" s="1">
        <f t="shared" si="1"/>
        <v>1.010040589617603</v>
      </c>
      <c r="J61" s="1">
        <f t="shared" si="1"/>
        <v>0.98953215124973293</v>
      </c>
      <c r="K61" s="1">
        <f t="shared" si="1"/>
        <v>0.99038666951506094</v>
      </c>
      <c r="M61" s="1">
        <f t="shared" si="3"/>
        <v>0.66318976288359954</v>
      </c>
      <c r="N61" s="1">
        <f t="shared" si="3"/>
        <v>0.66318976288359954</v>
      </c>
      <c r="O61" s="1">
        <f t="shared" si="3"/>
        <v>0.40388027948604716</v>
      </c>
      <c r="P61" s="1">
        <f t="shared" si="3"/>
        <v>0.41468484129427963</v>
      </c>
    </row>
    <row r="62" spans="1:16" x14ac:dyDescent="0.3">
      <c r="A62" s="5">
        <v>42222</v>
      </c>
      <c r="B62" s="4">
        <v>1155000</v>
      </c>
      <c r="C62" s="4">
        <v>1156000</v>
      </c>
      <c r="D62" s="4">
        <v>1115000</v>
      </c>
      <c r="E62" s="4">
        <v>1115000</v>
      </c>
      <c r="F62" s="4"/>
      <c r="G62" s="1">
        <f t="shared" si="0"/>
        <v>1135250</v>
      </c>
      <c r="H62" s="1">
        <f t="shared" si="1"/>
        <v>1.0173970491081259</v>
      </c>
      <c r="I62" s="1">
        <f t="shared" si="1"/>
        <v>1.018277912354107</v>
      </c>
      <c r="J62" s="1">
        <f t="shared" si="1"/>
        <v>0.98216251926888354</v>
      </c>
      <c r="K62" s="1">
        <f t="shared" si="1"/>
        <v>0.98216251926888354</v>
      </c>
      <c r="M62" s="1">
        <f t="shared" si="3"/>
        <v>0.75620511958238579</v>
      </c>
      <c r="N62" s="1">
        <f t="shared" si="3"/>
        <v>0.76734278833912117</v>
      </c>
      <c r="O62" s="1">
        <f t="shared" si="3"/>
        <v>0.3106983693130102</v>
      </c>
      <c r="P62" s="1">
        <f t="shared" si="3"/>
        <v>0.3106983693130102</v>
      </c>
    </row>
    <row r="63" spans="1:16" x14ac:dyDescent="0.3">
      <c r="A63" s="5">
        <v>42223</v>
      </c>
      <c r="B63" s="4">
        <v>1120000</v>
      </c>
      <c r="C63" s="4">
        <v>1137000</v>
      </c>
      <c r="D63" s="4">
        <v>1115000</v>
      </c>
      <c r="E63" s="4">
        <v>1136000</v>
      </c>
      <c r="F63" s="4"/>
      <c r="G63" s="1">
        <f t="shared" si="0"/>
        <v>1127000</v>
      </c>
      <c r="H63" s="1">
        <f t="shared" si="1"/>
        <v>0.99378881987577639</v>
      </c>
      <c r="I63" s="1">
        <f t="shared" si="1"/>
        <v>1.0088731144631766</v>
      </c>
      <c r="J63" s="1">
        <f t="shared" si="1"/>
        <v>0.98935226264418807</v>
      </c>
      <c r="K63" s="1">
        <f t="shared" si="1"/>
        <v>1.0079858030168589</v>
      </c>
      <c r="M63" s="1">
        <f t="shared" si="3"/>
        <v>0.45770176128854162</v>
      </c>
      <c r="N63" s="1">
        <f t="shared" si="3"/>
        <v>0.64842816213451115</v>
      </c>
      <c r="O63" s="1">
        <f t="shared" si="3"/>
        <v>0.40160576103972695</v>
      </c>
      <c r="P63" s="1">
        <f t="shared" si="3"/>
        <v>0.63720896208474764</v>
      </c>
    </row>
    <row r="64" spans="1:16" x14ac:dyDescent="0.3">
      <c r="A64" s="5">
        <v>42226</v>
      </c>
      <c r="B64" s="4">
        <v>1140000</v>
      </c>
      <c r="C64" s="4">
        <v>1142000</v>
      </c>
      <c r="D64" s="4">
        <v>1130000</v>
      </c>
      <c r="E64" s="4">
        <v>1141000</v>
      </c>
      <c r="F64" s="4"/>
      <c r="G64" s="1">
        <f t="shared" si="0"/>
        <v>1138250</v>
      </c>
      <c r="H64" s="1">
        <f t="shared" si="1"/>
        <v>1.0015374478365913</v>
      </c>
      <c r="I64" s="1">
        <f t="shared" si="1"/>
        <v>1.0032945310784098</v>
      </c>
      <c r="J64" s="1">
        <f t="shared" si="1"/>
        <v>0.99275203162749837</v>
      </c>
      <c r="K64" s="1">
        <f t="shared" si="1"/>
        <v>1.0024159894575007</v>
      </c>
      <c r="M64" s="1">
        <f t="shared" si="3"/>
        <v>0.55567571120696302</v>
      </c>
      <c r="N64" s="1">
        <f t="shared" si="3"/>
        <v>0.57789233928705541</v>
      </c>
      <c r="O64" s="1">
        <f t="shared" si="3"/>
        <v>0.44459257080649961</v>
      </c>
      <c r="P64" s="1">
        <f t="shared" si="3"/>
        <v>0.56678402524701066</v>
      </c>
    </row>
    <row r="65" spans="1:16" x14ac:dyDescent="0.3">
      <c r="A65" s="5">
        <v>42227</v>
      </c>
      <c r="B65" s="4">
        <v>1151000</v>
      </c>
      <c r="C65" s="4">
        <v>1179000</v>
      </c>
      <c r="D65" s="4">
        <v>1148000</v>
      </c>
      <c r="E65" s="4">
        <v>1157000</v>
      </c>
      <c r="F65" s="4"/>
      <c r="G65" s="1">
        <f t="shared" si="0"/>
        <v>1158750</v>
      </c>
      <c r="H65" s="1">
        <f t="shared" si="1"/>
        <v>0.99331175836030206</v>
      </c>
      <c r="I65" s="1">
        <f t="shared" si="1"/>
        <v>1.0174757281553397</v>
      </c>
      <c r="J65" s="1">
        <f t="shared" si="1"/>
        <v>0.99072276159654804</v>
      </c>
      <c r="K65" s="1">
        <f t="shared" si="1"/>
        <v>0.9984897518878102</v>
      </c>
      <c r="M65" s="1">
        <f t="shared" si="3"/>
        <v>0.45166977714096707</v>
      </c>
      <c r="N65" s="1">
        <f t="shared" si="3"/>
        <v>0.75719994048104522</v>
      </c>
      <c r="O65" s="1">
        <f t="shared" si="3"/>
        <v>0.4189344024973875</v>
      </c>
      <c r="P65" s="1">
        <f t="shared" si="3"/>
        <v>0.51714052642812758</v>
      </c>
    </row>
    <row r="66" spans="1:16" x14ac:dyDescent="0.3">
      <c r="A66" s="5">
        <v>42228</v>
      </c>
      <c r="B66" s="4">
        <v>1150000</v>
      </c>
      <c r="C66" s="4">
        <v>1164000</v>
      </c>
      <c r="D66" s="4">
        <v>1140000</v>
      </c>
      <c r="E66" s="4">
        <v>1154000</v>
      </c>
      <c r="F66" s="4"/>
      <c r="G66" s="1">
        <f t="shared" si="0"/>
        <v>1152000</v>
      </c>
      <c r="H66" s="1">
        <f t="shared" si="1"/>
        <v>0.99826388888888884</v>
      </c>
      <c r="I66" s="1">
        <f t="shared" si="1"/>
        <v>1.0104166666666667</v>
      </c>
      <c r="J66" s="1">
        <f t="shared" si="1"/>
        <v>0.98958333333333337</v>
      </c>
      <c r="K66" s="1">
        <f t="shared" si="1"/>
        <v>1.0017361111111112</v>
      </c>
      <c r="M66" s="1">
        <f t="shared" si="3"/>
        <v>0.5142847059839597</v>
      </c>
      <c r="N66" s="1">
        <f t="shared" si="3"/>
        <v>0.66794489555441139</v>
      </c>
      <c r="O66" s="1">
        <f t="shared" si="3"/>
        <v>0.40452742771935363</v>
      </c>
      <c r="P66" s="1">
        <f t="shared" si="3"/>
        <v>0.55818761728980393</v>
      </c>
    </row>
    <row r="67" spans="1:16" x14ac:dyDescent="0.3">
      <c r="A67" s="5">
        <v>42229</v>
      </c>
      <c r="B67" s="4">
        <v>1153000</v>
      </c>
      <c r="C67" s="4">
        <v>1153000</v>
      </c>
      <c r="D67" s="4">
        <v>1138000</v>
      </c>
      <c r="E67" s="4">
        <v>1140000</v>
      </c>
      <c r="F67" s="4"/>
      <c r="G67" s="1">
        <f t="shared" si="0"/>
        <v>1146000</v>
      </c>
      <c r="H67" s="1">
        <f t="shared" si="1"/>
        <v>1.006108202443281</v>
      </c>
      <c r="I67" s="1">
        <f t="shared" si="1"/>
        <v>1.006108202443281</v>
      </c>
      <c r="J67" s="1">
        <f t="shared" si="1"/>
        <v>0.99301919720767884</v>
      </c>
      <c r="K67" s="1">
        <f t="shared" si="1"/>
        <v>0.99476439790575921</v>
      </c>
      <c r="M67" s="1">
        <f t="shared" si="3"/>
        <v>0.61346850822726584</v>
      </c>
      <c r="N67" s="1">
        <f t="shared" si="3"/>
        <v>0.61346850822726584</v>
      </c>
      <c r="O67" s="1">
        <f t="shared" si="3"/>
        <v>0.44797062267644322</v>
      </c>
      <c r="P67" s="1">
        <f t="shared" si="3"/>
        <v>0.47003700741655391</v>
      </c>
    </row>
    <row r="68" spans="1:16" x14ac:dyDescent="0.3">
      <c r="A68" s="5">
        <v>42233</v>
      </c>
      <c r="B68" s="4">
        <v>1140000</v>
      </c>
      <c r="C68" s="4">
        <v>1141000</v>
      </c>
      <c r="D68" s="4">
        <v>1104000</v>
      </c>
      <c r="E68" s="4">
        <v>1104000</v>
      </c>
      <c r="F68" s="4"/>
      <c r="G68" s="1">
        <f t="shared" si="0"/>
        <v>1122250</v>
      </c>
      <c r="H68" s="1">
        <f t="shared" si="1"/>
        <v>1.0158164401871241</v>
      </c>
      <c r="I68" s="1">
        <f t="shared" si="1"/>
        <v>1.0167075072399199</v>
      </c>
      <c r="J68" s="1">
        <f t="shared" si="1"/>
        <v>0.98373802628647811</v>
      </c>
      <c r="K68" s="1">
        <f t="shared" ref="K68:K131" si="4">E68/$G68</f>
        <v>0.98373802628647811</v>
      </c>
      <c r="M68" s="1">
        <f t="shared" si="3"/>
        <v>0.73621983960121207</v>
      </c>
      <c r="N68" s="1">
        <f t="shared" si="3"/>
        <v>0.74748652568370966</v>
      </c>
      <c r="O68" s="1">
        <f t="shared" si="3"/>
        <v>0.33061914063130415</v>
      </c>
      <c r="P68" s="1">
        <f t="shared" si="3"/>
        <v>0.33061914063130415</v>
      </c>
    </row>
    <row r="69" spans="1:16" x14ac:dyDescent="0.3">
      <c r="A69" s="5">
        <v>42234</v>
      </c>
      <c r="B69" s="4">
        <v>1118000</v>
      </c>
      <c r="C69" s="4">
        <v>1141000</v>
      </c>
      <c r="D69" s="4">
        <v>1117000</v>
      </c>
      <c r="E69" s="4">
        <v>1131000</v>
      </c>
      <c r="F69" s="4"/>
      <c r="G69" s="1">
        <f t="shared" ref="G69:G132" si="5">AVERAGE(B69:E69)</f>
        <v>1126750</v>
      </c>
      <c r="H69" s="1">
        <f t="shared" ref="H69:K132" si="6">B69/$G69</f>
        <v>0.99223430219658304</v>
      </c>
      <c r="I69" s="1">
        <f t="shared" si="6"/>
        <v>1.0126469935655646</v>
      </c>
      <c r="J69" s="1">
        <f t="shared" si="6"/>
        <v>0.99134679387619262</v>
      </c>
      <c r="K69" s="1">
        <f t="shared" si="4"/>
        <v>1.0037719103616596</v>
      </c>
      <c r="M69" s="1">
        <f t="shared" si="3"/>
        <v>0.43804637997216039</v>
      </c>
      <c r="N69" s="1">
        <f t="shared" si="3"/>
        <v>0.69614523463371236</v>
      </c>
      <c r="O69" s="1">
        <f t="shared" si="3"/>
        <v>0.42682469063905054</v>
      </c>
      <c r="P69" s="1">
        <f t="shared" si="3"/>
        <v>0.58392834130260252</v>
      </c>
    </row>
    <row r="70" spans="1:16" x14ac:dyDescent="0.3">
      <c r="A70" s="5">
        <v>42235</v>
      </c>
      <c r="B70" s="4">
        <v>1169000</v>
      </c>
      <c r="C70" s="4">
        <v>1176000</v>
      </c>
      <c r="D70" s="4">
        <v>1141000</v>
      </c>
      <c r="E70" s="4">
        <v>1154000</v>
      </c>
      <c r="F70" s="4"/>
      <c r="G70" s="1">
        <f t="shared" si="5"/>
        <v>1160000</v>
      </c>
      <c r="H70" s="1">
        <f t="shared" si="6"/>
        <v>1.0077586206896552</v>
      </c>
      <c r="I70" s="1">
        <f t="shared" si="6"/>
        <v>1.0137931034482759</v>
      </c>
      <c r="J70" s="1">
        <f t="shared" si="6"/>
        <v>0.98362068965517246</v>
      </c>
      <c r="K70" s="1">
        <f t="shared" si="4"/>
        <v>0.9948275862068966</v>
      </c>
      <c r="M70" s="1">
        <f t="shared" ref="M70:P133" si="7">(H70 - $K$1) / ($K$2 - $K$1)</f>
        <v>0.634336460003041</v>
      </c>
      <c r="N70" s="1">
        <f t="shared" si="7"/>
        <v>0.71063669206560975</v>
      </c>
      <c r="O70" s="1">
        <f t="shared" si="7"/>
        <v>0.32913553175276838</v>
      </c>
      <c r="P70" s="1">
        <f t="shared" si="7"/>
        <v>0.47083596272610956</v>
      </c>
    </row>
    <row r="71" spans="1:16" x14ac:dyDescent="0.3">
      <c r="A71" s="5">
        <v>42236</v>
      </c>
      <c r="B71" s="4">
        <v>1163000</v>
      </c>
      <c r="C71" s="4">
        <v>1171000</v>
      </c>
      <c r="D71" s="4">
        <v>1130000</v>
      </c>
      <c r="E71" s="4">
        <v>1139000</v>
      </c>
      <c r="F71" s="4"/>
      <c r="G71" s="1">
        <f t="shared" si="5"/>
        <v>1150750</v>
      </c>
      <c r="H71" s="1">
        <f t="shared" si="6"/>
        <v>1.0106452313708452</v>
      </c>
      <c r="I71" s="1">
        <f t="shared" si="6"/>
        <v>1.0175972192048663</v>
      </c>
      <c r="J71" s="1">
        <f t="shared" si="6"/>
        <v>0.98196828155550731</v>
      </c>
      <c r="K71" s="1">
        <f t="shared" si="4"/>
        <v>0.98978926786878119</v>
      </c>
      <c r="M71" s="1">
        <f t="shared" si="7"/>
        <v>0.67083487646374662</v>
      </c>
      <c r="N71" s="1">
        <f t="shared" si="7"/>
        <v>0.75873607798332987</v>
      </c>
      <c r="O71" s="1">
        <f t="shared" si="7"/>
        <v>0.3082424201954595</v>
      </c>
      <c r="P71" s="1">
        <f t="shared" si="7"/>
        <v>0.40713127190499132</v>
      </c>
    </row>
    <row r="72" spans="1:16" x14ac:dyDescent="0.3">
      <c r="A72" s="5">
        <v>42237</v>
      </c>
      <c r="B72" s="4">
        <v>1099000</v>
      </c>
      <c r="C72" s="4">
        <v>1128000</v>
      </c>
      <c r="D72" s="4">
        <v>1096000</v>
      </c>
      <c r="E72" s="4">
        <v>1101000</v>
      </c>
      <c r="F72" s="4"/>
      <c r="G72" s="1">
        <f t="shared" si="5"/>
        <v>1106000</v>
      </c>
      <c r="H72" s="1">
        <f t="shared" si="6"/>
        <v>0.99367088607594933</v>
      </c>
      <c r="I72" s="1">
        <f t="shared" si="6"/>
        <v>1.0198915009041591</v>
      </c>
      <c r="J72" s="1">
        <f t="shared" si="6"/>
        <v>0.99095840867992768</v>
      </c>
      <c r="K72" s="1">
        <f t="shared" si="4"/>
        <v>0.99547920433996384</v>
      </c>
      <c r="M72" s="1">
        <f t="shared" si="7"/>
        <v>0.4562106017882564</v>
      </c>
      <c r="N72" s="1">
        <f t="shared" si="7"/>
        <v>0.78774506401827482</v>
      </c>
      <c r="O72" s="1">
        <f t="shared" si="7"/>
        <v>0.4219139332817034</v>
      </c>
      <c r="P72" s="1">
        <f t="shared" si="7"/>
        <v>0.47907504745929264</v>
      </c>
    </row>
    <row r="73" spans="1:16" x14ac:dyDescent="0.3">
      <c r="A73" s="5">
        <v>42240</v>
      </c>
      <c r="B73" s="4">
        <v>1088000</v>
      </c>
      <c r="C73" s="4">
        <v>1115000</v>
      </c>
      <c r="D73" s="4">
        <v>1033000</v>
      </c>
      <c r="E73" s="4">
        <v>1079000</v>
      </c>
      <c r="F73" s="4"/>
      <c r="G73" s="1">
        <f t="shared" si="5"/>
        <v>1078750</v>
      </c>
      <c r="H73" s="1">
        <f t="shared" si="6"/>
        <v>1.0085747392815758</v>
      </c>
      <c r="I73" s="1">
        <f t="shared" si="6"/>
        <v>1.0336037079953651</v>
      </c>
      <c r="J73" s="1">
        <f t="shared" si="6"/>
        <v>0.95758980301274621</v>
      </c>
      <c r="K73" s="1">
        <f t="shared" si="4"/>
        <v>1.0002317497103128</v>
      </c>
      <c r="M73" s="1">
        <f t="shared" si="7"/>
        <v>0.64465549486400986</v>
      </c>
      <c r="N73" s="1">
        <f t="shared" si="7"/>
        <v>0.96112273779725299</v>
      </c>
      <c r="O73" s="1">
        <f t="shared" si="7"/>
        <v>0</v>
      </c>
      <c r="P73" s="1">
        <f t="shared" si="7"/>
        <v>0.53916641388626307</v>
      </c>
    </row>
    <row r="74" spans="1:16" x14ac:dyDescent="0.3">
      <c r="A74" s="5">
        <v>42241</v>
      </c>
      <c r="B74" s="4">
        <v>1079000</v>
      </c>
      <c r="C74" s="4">
        <v>1107000</v>
      </c>
      <c r="D74" s="4">
        <v>1067000</v>
      </c>
      <c r="E74" s="4">
        <v>1079000</v>
      </c>
      <c r="F74" s="4"/>
      <c r="G74" s="1">
        <f t="shared" si="5"/>
        <v>1083000</v>
      </c>
      <c r="H74" s="1">
        <f t="shared" si="6"/>
        <v>0.9963065558633426</v>
      </c>
      <c r="I74" s="1">
        <f t="shared" si="6"/>
        <v>1.0221606648199446</v>
      </c>
      <c r="J74" s="1">
        <f t="shared" si="6"/>
        <v>0.9852262234533703</v>
      </c>
      <c r="K74" s="1">
        <f t="shared" si="4"/>
        <v>0.9963065558633426</v>
      </c>
      <c r="M74" s="1">
        <f t="shared" si="7"/>
        <v>0.48953611193759233</v>
      </c>
      <c r="N74" s="1">
        <f t="shared" si="7"/>
        <v>0.81643645983262159</v>
      </c>
      <c r="O74" s="1">
        <f t="shared" si="7"/>
        <v>0.34943596283972245</v>
      </c>
      <c r="P74" s="1">
        <f t="shared" si="7"/>
        <v>0.48953611193759233</v>
      </c>
    </row>
    <row r="75" spans="1:16" x14ac:dyDescent="0.3">
      <c r="A75" s="5">
        <v>42242</v>
      </c>
      <c r="B75" s="4">
        <v>1068000</v>
      </c>
      <c r="C75" s="4">
        <v>1074000</v>
      </c>
      <c r="D75" s="4">
        <v>1050000</v>
      </c>
      <c r="E75" s="4">
        <v>1067000</v>
      </c>
      <c r="F75" s="4"/>
      <c r="G75" s="1">
        <f t="shared" si="5"/>
        <v>1064750</v>
      </c>
      <c r="H75" s="1">
        <f t="shared" si="6"/>
        <v>1.0030523597088519</v>
      </c>
      <c r="I75" s="1">
        <f t="shared" si="6"/>
        <v>1.0086874853251937</v>
      </c>
      <c r="J75" s="1">
        <f t="shared" si="6"/>
        <v>0.98614698285982627</v>
      </c>
      <c r="K75" s="1">
        <f t="shared" si="4"/>
        <v>1.0021131721061283</v>
      </c>
      <c r="M75" s="1">
        <f t="shared" si="7"/>
        <v>0.57483031517740246</v>
      </c>
      <c r="N75" s="1">
        <f t="shared" si="7"/>
        <v>0.64608106017528555</v>
      </c>
      <c r="O75" s="1">
        <f t="shared" si="7"/>
        <v>0.36107808018375165</v>
      </c>
      <c r="P75" s="1">
        <f t="shared" si="7"/>
        <v>0.56295519101108904</v>
      </c>
    </row>
    <row r="76" spans="1:16" x14ac:dyDescent="0.3">
      <c r="A76" s="5">
        <v>42243</v>
      </c>
      <c r="B76" s="4">
        <v>1082000</v>
      </c>
      <c r="C76" s="4">
        <v>1086000</v>
      </c>
      <c r="D76" s="4">
        <v>1063000</v>
      </c>
      <c r="E76" s="4">
        <v>1067000</v>
      </c>
      <c r="F76" s="4"/>
      <c r="G76" s="1">
        <f t="shared" si="5"/>
        <v>1074500</v>
      </c>
      <c r="H76" s="1">
        <f t="shared" si="6"/>
        <v>1.0069799906933457</v>
      </c>
      <c r="I76" s="1">
        <f t="shared" si="6"/>
        <v>1.0107026523964635</v>
      </c>
      <c r="J76" s="1">
        <f t="shared" si="6"/>
        <v>0.98929734760353649</v>
      </c>
      <c r="K76" s="1">
        <f t="shared" si="4"/>
        <v>0.99302000930665424</v>
      </c>
      <c r="M76" s="1">
        <f t="shared" si="7"/>
        <v>0.62449143238664395</v>
      </c>
      <c r="N76" s="1">
        <f t="shared" si="7"/>
        <v>0.67156091011985264</v>
      </c>
      <c r="O76" s="1">
        <f t="shared" si="7"/>
        <v>0.40091141315391099</v>
      </c>
      <c r="P76" s="1">
        <f t="shared" si="7"/>
        <v>0.44798089088711829</v>
      </c>
    </row>
    <row r="77" spans="1:16" x14ac:dyDescent="0.3">
      <c r="A77" s="5">
        <v>42244</v>
      </c>
      <c r="B77" s="4">
        <v>1086000</v>
      </c>
      <c r="C77" s="4">
        <v>1086000</v>
      </c>
      <c r="D77" s="4">
        <v>1073000</v>
      </c>
      <c r="E77" s="4">
        <v>1081000</v>
      </c>
      <c r="F77" s="4"/>
      <c r="G77" s="1">
        <f t="shared" si="5"/>
        <v>1081500</v>
      </c>
      <c r="H77" s="1">
        <f t="shared" si="6"/>
        <v>1.0041608876560333</v>
      </c>
      <c r="I77" s="1">
        <f t="shared" si="6"/>
        <v>1.0041608876560333</v>
      </c>
      <c r="J77" s="1">
        <f t="shared" si="6"/>
        <v>0.99214054553860376</v>
      </c>
      <c r="K77" s="1">
        <f t="shared" si="4"/>
        <v>0.99953767914932967</v>
      </c>
      <c r="M77" s="1">
        <f t="shared" si="7"/>
        <v>0.58884658517120669</v>
      </c>
      <c r="N77" s="1">
        <f t="shared" si="7"/>
        <v>0.58884658517120669</v>
      </c>
      <c r="O77" s="1">
        <f t="shared" si="7"/>
        <v>0.43686091718315656</v>
      </c>
      <c r="P77" s="1">
        <f t="shared" si="7"/>
        <v>0.53039055902195731</v>
      </c>
    </row>
    <row r="78" spans="1:16" x14ac:dyDescent="0.3">
      <c r="A78" s="5">
        <v>42247</v>
      </c>
      <c r="B78" s="4">
        <v>1071000</v>
      </c>
      <c r="C78" s="4">
        <v>1089000</v>
      </c>
      <c r="D78" s="4">
        <v>1052000</v>
      </c>
      <c r="E78" s="4">
        <v>1089000</v>
      </c>
      <c r="F78" s="4"/>
      <c r="G78" s="1">
        <f t="shared" si="5"/>
        <v>1075250</v>
      </c>
      <c r="H78" s="1">
        <f t="shared" si="6"/>
        <v>0.99604743083003955</v>
      </c>
      <c r="I78" s="1">
        <f t="shared" si="6"/>
        <v>1.0127877237851663</v>
      </c>
      <c r="J78" s="1">
        <f t="shared" si="6"/>
        <v>0.97837712159962797</v>
      </c>
      <c r="K78" s="1">
        <f t="shared" si="4"/>
        <v>1.0127877237851663</v>
      </c>
      <c r="M78" s="1">
        <f t="shared" si="7"/>
        <v>0.48625972505157478</v>
      </c>
      <c r="N78" s="1">
        <f t="shared" si="7"/>
        <v>0.69792463294228924</v>
      </c>
      <c r="O78" s="1">
        <f t="shared" si="7"/>
        <v>0.26283565561137684</v>
      </c>
      <c r="P78" s="1">
        <f t="shared" si="7"/>
        <v>0.69792463294228924</v>
      </c>
    </row>
    <row r="79" spans="1:16" x14ac:dyDescent="0.3">
      <c r="A79" s="5">
        <v>42248</v>
      </c>
      <c r="B79" s="4">
        <v>1089000</v>
      </c>
      <c r="C79" s="4">
        <v>1098000</v>
      </c>
      <c r="D79" s="4">
        <v>1081000</v>
      </c>
      <c r="E79" s="4">
        <v>1085000</v>
      </c>
      <c r="F79" s="4"/>
      <c r="G79" s="1">
        <f t="shared" si="5"/>
        <v>1088250</v>
      </c>
      <c r="H79" s="1">
        <f t="shared" si="6"/>
        <v>1.0006891798759476</v>
      </c>
      <c r="I79" s="1">
        <f t="shared" si="6"/>
        <v>1.008959338387319</v>
      </c>
      <c r="J79" s="1">
        <f t="shared" si="6"/>
        <v>0.99333792786583963</v>
      </c>
      <c r="K79" s="1">
        <f t="shared" si="4"/>
        <v>0.99701355387089363</v>
      </c>
      <c r="M79" s="1">
        <f t="shared" si="7"/>
        <v>0.54495017849152205</v>
      </c>
      <c r="N79" s="1">
        <f t="shared" si="7"/>
        <v>0.64951838074720158</v>
      </c>
      <c r="O79" s="1">
        <f t="shared" si="7"/>
        <v>0.45200066537536082</v>
      </c>
      <c r="P79" s="1">
        <f t="shared" si="7"/>
        <v>0.49847542193344141</v>
      </c>
    </row>
    <row r="80" spans="1:16" x14ac:dyDescent="0.3">
      <c r="A80" s="5">
        <v>42249</v>
      </c>
      <c r="B80" s="4">
        <v>1069000</v>
      </c>
      <c r="C80" s="4">
        <v>1095000</v>
      </c>
      <c r="D80" s="4">
        <v>1065000</v>
      </c>
      <c r="E80" s="4">
        <v>1090000</v>
      </c>
      <c r="F80" s="4"/>
      <c r="G80" s="1">
        <f t="shared" si="5"/>
        <v>1079750</v>
      </c>
      <c r="H80" s="1">
        <f t="shared" si="6"/>
        <v>0.99004399166473722</v>
      </c>
      <c r="I80" s="1">
        <f t="shared" si="6"/>
        <v>1.0141236397314193</v>
      </c>
      <c r="J80" s="1">
        <f t="shared" si="6"/>
        <v>0.9863394304237092</v>
      </c>
      <c r="K80" s="1">
        <f t="shared" si="4"/>
        <v>1.0094929381801343</v>
      </c>
      <c r="M80" s="1">
        <f t="shared" si="7"/>
        <v>0.41035200937673882</v>
      </c>
      <c r="N80" s="1">
        <f t="shared" si="7"/>
        <v>0.71481600554080549</v>
      </c>
      <c r="O80" s="1">
        <f t="shared" si="7"/>
        <v>0.36351139458226683</v>
      </c>
      <c r="P80" s="1">
        <f t="shared" si="7"/>
        <v>0.65626523704771622</v>
      </c>
    </row>
    <row r="81" spans="1:16" x14ac:dyDescent="0.3">
      <c r="A81" s="5">
        <v>42250</v>
      </c>
      <c r="B81" s="4">
        <v>1102000</v>
      </c>
      <c r="C81" s="4">
        <v>1123000</v>
      </c>
      <c r="D81" s="4">
        <v>1093000</v>
      </c>
      <c r="E81" s="4">
        <v>1122000</v>
      </c>
      <c r="F81" s="4"/>
      <c r="G81" s="1">
        <f t="shared" si="5"/>
        <v>1110000</v>
      </c>
      <c r="H81" s="1">
        <f t="shared" si="6"/>
        <v>0.99279279279279276</v>
      </c>
      <c r="I81" s="1">
        <f t="shared" si="6"/>
        <v>1.0117117117117118</v>
      </c>
      <c r="J81" s="1">
        <f t="shared" si="6"/>
        <v>0.98468468468468473</v>
      </c>
      <c r="K81" s="1">
        <f t="shared" si="4"/>
        <v>1.0108108108108107</v>
      </c>
      <c r="M81" s="1">
        <f t="shared" si="7"/>
        <v>0.44510795654799662</v>
      </c>
      <c r="N81" s="1">
        <f t="shared" si="7"/>
        <v>0.68431949490632071</v>
      </c>
      <c r="O81" s="1">
        <f t="shared" si="7"/>
        <v>0.34258872582300237</v>
      </c>
      <c r="P81" s="1">
        <f t="shared" si="7"/>
        <v>0.67292846927020744</v>
      </c>
    </row>
    <row r="82" spans="1:16" x14ac:dyDescent="0.3">
      <c r="A82" s="5">
        <v>42251</v>
      </c>
      <c r="B82" s="4">
        <v>1144000</v>
      </c>
      <c r="C82" s="4">
        <v>1144000</v>
      </c>
      <c r="D82" s="4">
        <v>1118000</v>
      </c>
      <c r="E82" s="4">
        <v>1129000</v>
      </c>
      <c r="F82" s="4"/>
      <c r="G82" s="1">
        <f t="shared" si="5"/>
        <v>1133750</v>
      </c>
      <c r="H82" s="1">
        <f t="shared" si="6"/>
        <v>1.0090407938257993</v>
      </c>
      <c r="I82" s="1">
        <f t="shared" si="6"/>
        <v>1.0090407938257993</v>
      </c>
      <c r="J82" s="1">
        <f t="shared" si="6"/>
        <v>0.98610804851157663</v>
      </c>
      <c r="K82" s="1">
        <f t="shared" si="4"/>
        <v>0.99581036383682464</v>
      </c>
      <c r="M82" s="1">
        <f t="shared" si="7"/>
        <v>0.65054830644380313</v>
      </c>
      <c r="N82" s="1">
        <f t="shared" si="7"/>
        <v>0.65054830644380313</v>
      </c>
      <c r="O82" s="1">
        <f t="shared" si="7"/>
        <v>0.36058579278722069</v>
      </c>
      <c r="P82" s="1">
        <f t="shared" si="7"/>
        <v>0.48326224087269759</v>
      </c>
    </row>
    <row r="83" spans="1:16" x14ac:dyDescent="0.3">
      <c r="A83" s="5">
        <v>42254</v>
      </c>
      <c r="B83" s="4">
        <v>1129000</v>
      </c>
      <c r="C83" s="4">
        <v>1129000</v>
      </c>
      <c r="D83" s="4">
        <v>1105000</v>
      </c>
      <c r="E83" s="4">
        <v>1112000</v>
      </c>
      <c r="F83" s="4"/>
      <c r="G83" s="1">
        <f t="shared" si="5"/>
        <v>1118750</v>
      </c>
      <c r="H83" s="1">
        <f t="shared" si="6"/>
        <v>1.0091620111731843</v>
      </c>
      <c r="I83" s="1">
        <f t="shared" si="6"/>
        <v>1.0091620111731843</v>
      </c>
      <c r="J83" s="1">
        <f t="shared" si="6"/>
        <v>0.98770949720670387</v>
      </c>
      <c r="K83" s="1">
        <f t="shared" si="4"/>
        <v>0.99396648044692737</v>
      </c>
      <c r="M83" s="1">
        <f t="shared" si="7"/>
        <v>0.65208098324568364</v>
      </c>
      <c r="N83" s="1">
        <f t="shared" si="7"/>
        <v>0.65208098324568364</v>
      </c>
      <c r="O83" s="1">
        <f t="shared" si="7"/>
        <v>0.38083457167385304</v>
      </c>
      <c r="P83" s="1">
        <f t="shared" si="7"/>
        <v>0.45994810838230427</v>
      </c>
    </row>
    <row r="84" spans="1:16" x14ac:dyDescent="0.3">
      <c r="A84" s="5">
        <v>42255</v>
      </c>
      <c r="B84" s="4">
        <v>1113000</v>
      </c>
      <c r="C84" s="4">
        <v>1136000</v>
      </c>
      <c r="D84" s="4">
        <v>1106000</v>
      </c>
      <c r="E84" s="4">
        <v>1131000</v>
      </c>
      <c r="F84" s="4"/>
      <c r="G84" s="1">
        <f t="shared" si="5"/>
        <v>1121500</v>
      </c>
      <c r="H84" s="1">
        <f t="shared" si="6"/>
        <v>0.99242086491306292</v>
      </c>
      <c r="I84" s="1">
        <f t="shared" si="6"/>
        <v>1.0129291127953635</v>
      </c>
      <c r="J84" s="1">
        <f t="shared" si="6"/>
        <v>0.98617922425323223</v>
      </c>
      <c r="K84" s="1">
        <f t="shared" si="4"/>
        <v>1.0084707980383416</v>
      </c>
      <c r="M84" s="1">
        <f t="shared" si="7"/>
        <v>0.44040528613380325</v>
      </c>
      <c r="N84" s="1">
        <f t="shared" si="7"/>
        <v>0.69971236102448897</v>
      </c>
      <c r="O84" s="1">
        <f t="shared" si="7"/>
        <v>0.36148574160185437</v>
      </c>
      <c r="P84" s="1">
        <f t="shared" si="7"/>
        <v>0.64334125778738349</v>
      </c>
    </row>
    <row r="85" spans="1:16" x14ac:dyDescent="0.3">
      <c r="A85" s="5">
        <v>42256</v>
      </c>
      <c r="B85" s="4">
        <v>1146000</v>
      </c>
      <c r="C85" s="4">
        <v>1147000</v>
      </c>
      <c r="D85" s="4">
        <v>1136000</v>
      </c>
      <c r="E85" s="4">
        <v>1147000</v>
      </c>
      <c r="F85" s="4"/>
      <c r="G85" s="1">
        <f t="shared" si="5"/>
        <v>1144000</v>
      </c>
      <c r="H85" s="1">
        <f t="shared" si="6"/>
        <v>1.0017482517482517</v>
      </c>
      <c r="I85" s="1">
        <f t="shared" si="6"/>
        <v>1.0026223776223777</v>
      </c>
      <c r="J85" s="1">
        <f t="shared" si="6"/>
        <v>0.99300699300699302</v>
      </c>
      <c r="K85" s="1">
        <f t="shared" si="4"/>
        <v>1.0026223776223777</v>
      </c>
      <c r="M85" s="1">
        <f t="shared" si="7"/>
        <v>0.55834112397268976</v>
      </c>
      <c r="N85" s="1">
        <f t="shared" si="7"/>
        <v>0.56939360514059645</v>
      </c>
      <c r="O85" s="1">
        <f t="shared" si="7"/>
        <v>0.44781631229364599</v>
      </c>
      <c r="P85" s="1">
        <f t="shared" si="7"/>
        <v>0.56939360514059645</v>
      </c>
    </row>
    <row r="86" spans="1:16" x14ac:dyDescent="0.3">
      <c r="A86" s="5">
        <v>42257</v>
      </c>
      <c r="B86" s="4">
        <v>1130000</v>
      </c>
      <c r="C86" s="4">
        <v>1139000</v>
      </c>
      <c r="D86" s="4">
        <v>1118000</v>
      </c>
      <c r="E86" s="4">
        <v>1134000</v>
      </c>
      <c r="F86" s="4"/>
      <c r="G86" s="1">
        <f t="shared" si="5"/>
        <v>1130250</v>
      </c>
      <c r="H86" s="1">
        <f t="shared" si="6"/>
        <v>0.99977880999778812</v>
      </c>
      <c r="I86" s="1">
        <f t="shared" si="6"/>
        <v>1.0077416500774166</v>
      </c>
      <c r="J86" s="1">
        <f t="shared" si="6"/>
        <v>0.9891616898916169</v>
      </c>
      <c r="K86" s="1">
        <f t="shared" si="4"/>
        <v>1.0033178500331785</v>
      </c>
      <c r="M86" s="1">
        <f t="shared" si="7"/>
        <v>0.53343942674281375</v>
      </c>
      <c r="N86" s="1">
        <f t="shared" si="7"/>
        <v>0.63412188292927285</v>
      </c>
      <c r="O86" s="1">
        <f t="shared" si="7"/>
        <v>0.39919615182753548</v>
      </c>
      <c r="P86" s="1">
        <f t="shared" si="7"/>
        <v>0.57818718504790656</v>
      </c>
    </row>
    <row r="87" spans="1:16" x14ac:dyDescent="0.3">
      <c r="A87" s="5">
        <v>42258</v>
      </c>
      <c r="B87" s="4">
        <v>1126000</v>
      </c>
      <c r="C87" s="4">
        <v>1133000</v>
      </c>
      <c r="D87" s="4">
        <v>1115000</v>
      </c>
      <c r="E87" s="4">
        <v>1115000</v>
      </c>
      <c r="F87" s="4"/>
      <c r="G87" s="1">
        <f t="shared" si="5"/>
        <v>1122250</v>
      </c>
      <c r="H87" s="1">
        <f t="shared" si="6"/>
        <v>1.0033415014479841</v>
      </c>
      <c r="I87" s="1">
        <f t="shared" si="6"/>
        <v>1.009578970817554</v>
      </c>
      <c r="J87" s="1">
        <f t="shared" si="6"/>
        <v>0.99353976386723097</v>
      </c>
      <c r="K87" s="1">
        <f t="shared" si="4"/>
        <v>0.99353976386723097</v>
      </c>
      <c r="M87" s="1">
        <f t="shared" si="7"/>
        <v>0.57848623444624847</v>
      </c>
      <c r="N87" s="1">
        <f t="shared" si="7"/>
        <v>0.65735303702372894</v>
      </c>
      <c r="O87" s="1">
        <f t="shared" si="7"/>
        <v>0.45455268753877492</v>
      </c>
      <c r="P87" s="1">
        <f t="shared" si="7"/>
        <v>0.45455268753877492</v>
      </c>
    </row>
    <row r="88" spans="1:16" x14ac:dyDescent="0.3">
      <c r="A88" s="5">
        <v>42261</v>
      </c>
      <c r="B88" s="4">
        <v>1120000</v>
      </c>
      <c r="C88" s="4">
        <v>1124000</v>
      </c>
      <c r="D88" s="4">
        <v>1110000</v>
      </c>
      <c r="E88" s="4">
        <v>1124000</v>
      </c>
      <c r="F88" s="4"/>
      <c r="G88" s="1">
        <f t="shared" si="5"/>
        <v>1119500</v>
      </c>
      <c r="H88" s="1">
        <f t="shared" si="6"/>
        <v>1.0004466279589102</v>
      </c>
      <c r="I88" s="1">
        <f t="shared" si="6"/>
        <v>1.004019651630192</v>
      </c>
      <c r="J88" s="1">
        <f t="shared" si="6"/>
        <v>0.99151406878070569</v>
      </c>
      <c r="K88" s="1">
        <f t="shared" si="4"/>
        <v>1.004019651630192</v>
      </c>
      <c r="M88" s="1">
        <f t="shared" si="7"/>
        <v>0.54188334272490346</v>
      </c>
      <c r="N88" s="1">
        <f t="shared" si="7"/>
        <v>0.58706079142908552</v>
      </c>
      <c r="O88" s="1">
        <f t="shared" si="7"/>
        <v>0.42893972096445138</v>
      </c>
      <c r="P88" s="1">
        <f t="shared" si="7"/>
        <v>0.58706079142908552</v>
      </c>
    </row>
    <row r="89" spans="1:16" x14ac:dyDescent="0.3">
      <c r="A89" s="5">
        <v>42262</v>
      </c>
      <c r="B89" s="4">
        <v>1114000</v>
      </c>
      <c r="C89" s="4">
        <v>1128000</v>
      </c>
      <c r="D89" s="4">
        <v>1113000</v>
      </c>
      <c r="E89" s="4">
        <v>1123000</v>
      </c>
      <c r="F89" s="4"/>
      <c r="G89" s="1">
        <f t="shared" si="5"/>
        <v>1119500</v>
      </c>
      <c r="H89" s="1">
        <f t="shared" si="6"/>
        <v>0.99508709245198745</v>
      </c>
      <c r="I89" s="1">
        <f t="shared" si="6"/>
        <v>1.0075926753014739</v>
      </c>
      <c r="J89" s="1">
        <f t="shared" si="6"/>
        <v>0.99419383653416704</v>
      </c>
      <c r="K89" s="1">
        <f t="shared" si="4"/>
        <v>1.0031263957123715</v>
      </c>
      <c r="M89" s="1">
        <f t="shared" si="7"/>
        <v>0.47411716966863199</v>
      </c>
      <c r="N89" s="1">
        <f t="shared" si="7"/>
        <v>0.63223824013326746</v>
      </c>
      <c r="O89" s="1">
        <f t="shared" si="7"/>
        <v>0.4628228074925872</v>
      </c>
      <c r="P89" s="1">
        <f t="shared" si="7"/>
        <v>0.57576642925303934</v>
      </c>
    </row>
    <row r="90" spans="1:16" x14ac:dyDescent="0.3">
      <c r="A90" s="5">
        <v>42263</v>
      </c>
      <c r="B90" s="4">
        <v>1121000</v>
      </c>
      <c r="C90" s="4">
        <v>1157000</v>
      </c>
      <c r="D90" s="4">
        <v>1121000</v>
      </c>
      <c r="E90" s="4">
        <v>1152000</v>
      </c>
      <c r="F90" s="4"/>
      <c r="G90" s="1">
        <f t="shared" si="5"/>
        <v>1137750</v>
      </c>
      <c r="H90" s="1">
        <f t="shared" si="6"/>
        <v>0.98527796088771702</v>
      </c>
      <c r="I90" s="1">
        <f t="shared" si="6"/>
        <v>1.0169193583827729</v>
      </c>
      <c r="J90" s="1">
        <f t="shared" si="6"/>
        <v>0.98527796088771702</v>
      </c>
      <c r="K90" s="1">
        <f t="shared" si="4"/>
        <v>1.012524719841793</v>
      </c>
      <c r="M90" s="1">
        <f t="shared" si="7"/>
        <v>0.35009013294922142</v>
      </c>
      <c r="N90" s="1">
        <f t="shared" si="7"/>
        <v>0.75016517968090868</v>
      </c>
      <c r="O90" s="1">
        <f t="shared" si="7"/>
        <v>0.35009013294922142</v>
      </c>
      <c r="P90" s="1">
        <f t="shared" si="7"/>
        <v>0.69459920096817573</v>
      </c>
    </row>
    <row r="91" spans="1:16" x14ac:dyDescent="0.3">
      <c r="A91" s="5">
        <v>42264</v>
      </c>
      <c r="B91" s="4">
        <v>1153000</v>
      </c>
      <c r="C91" s="4">
        <v>1157000</v>
      </c>
      <c r="D91" s="4">
        <v>1144000</v>
      </c>
      <c r="E91" s="4">
        <v>1157000</v>
      </c>
      <c r="F91" s="4"/>
      <c r="G91" s="1">
        <f t="shared" si="5"/>
        <v>1152750</v>
      </c>
      <c r="H91" s="1">
        <f t="shared" si="6"/>
        <v>1.0002168726957277</v>
      </c>
      <c r="I91" s="1">
        <f t="shared" si="6"/>
        <v>1.0036868358273694</v>
      </c>
      <c r="J91" s="1">
        <f t="shared" si="6"/>
        <v>0.99240945564953376</v>
      </c>
      <c r="K91" s="1">
        <f t="shared" si="4"/>
        <v>1.0036868358273694</v>
      </c>
      <c r="M91" s="1">
        <f t="shared" si="7"/>
        <v>0.53897830834173688</v>
      </c>
      <c r="N91" s="1">
        <f t="shared" si="7"/>
        <v>0.58285265561940414</v>
      </c>
      <c r="O91" s="1">
        <f t="shared" si="7"/>
        <v>0.44026102696698494</v>
      </c>
      <c r="P91" s="1">
        <f t="shared" si="7"/>
        <v>0.58285265561940414</v>
      </c>
    </row>
    <row r="92" spans="1:16" x14ac:dyDescent="0.3">
      <c r="A92" s="5">
        <v>42265</v>
      </c>
      <c r="B92" s="4">
        <v>1145000</v>
      </c>
      <c r="C92" s="4">
        <v>1192000</v>
      </c>
      <c r="D92" s="4">
        <v>1135000</v>
      </c>
      <c r="E92" s="4">
        <v>1190000</v>
      </c>
      <c r="F92" s="4"/>
      <c r="G92" s="1">
        <f t="shared" si="5"/>
        <v>1165500</v>
      </c>
      <c r="H92" s="1">
        <f t="shared" si="6"/>
        <v>0.98241098241098246</v>
      </c>
      <c r="I92" s="1">
        <f t="shared" si="6"/>
        <v>1.0227370227370227</v>
      </c>
      <c r="J92" s="1">
        <f t="shared" si="6"/>
        <v>0.97383097383097383</v>
      </c>
      <c r="K92" s="1">
        <f t="shared" si="4"/>
        <v>1.0210210210210211</v>
      </c>
      <c r="M92" s="1">
        <f t="shared" si="7"/>
        <v>0.31383994683662808</v>
      </c>
      <c r="N92" s="1">
        <f t="shared" si="7"/>
        <v>0.82372395150062494</v>
      </c>
      <c r="O92" s="1">
        <f t="shared" si="7"/>
        <v>0.20535398839747906</v>
      </c>
      <c r="P92" s="1">
        <f t="shared" si="7"/>
        <v>0.80202675981279659</v>
      </c>
    </row>
    <row r="93" spans="1:16" x14ac:dyDescent="0.3">
      <c r="A93" s="5">
        <v>42268</v>
      </c>
      <c r="B93" s="4">
        <v>1163000</v>
      </c>
      <c r="C93" s="4">
        <v>1173000</v>
      </c>
      <c r="D93" s="4">
        <v>1150000</v>
      </c>
      <c r="E93" s="4">
        <v>1150000</v>
      </c>
      <c r="F93" s="4"/>
      <c r="G93" s="1">
        <f t="shared" si="5"/>
        <v>1159000</v>
      </c>
      <c r="H93" s="1">
        <f t="shared" si="6"/>
        <v>1.0034512510785161</v>
      </c>
      <c r="I93" s="1">
        <f t="shared" si="6"/>
        <v>1.0120793787748059</v>
      </c>
      <c r="J93" s="1">
        <f t="shared" si="6"/>
        <v>0.99223468507333912</v>
      </c>
      <c r="K93" s="1">
        <f t="shared" si="4"/>
        <v>0.99223468507333912</v>
      </c>
      <c r="M93" s="1">
        <f t="shared" si="7"/>
        <v>0.57987391299523605</v>
      </c>
      <c r="N93" s="1">
        <f t="shared" si="7"/>
        <v>0.68896829139111759</v>
      </c>
      <c r="O93" s="1">
        <f t="shared" si="7"/>
        <v>0.43805122108058819</v>
      </c>
      <c r="P93" s="1">
        <f t="shared" si="7"/>
        <v>0.43805122108058819</v>
      </c>
    </row>
    <row r="94" spans="1:16" x14ac:dyDescent="0.3">
      <c r="A94" s="5">
        <v>42269</v>
      </c>
      <c r="B94" s="4">
        <v>1143000</v>
      </c>
      <c r="C94" s="4">
        <v>1150000</v>
      </c>
      <c r="D94" s="4">
        <v>1130000</v>
      </c>
      <c r="E94" s="4">
        <v>1145000</v>
      </c>
      <c r="F94" s="4"/>
      <c r="G94" s="1">
        <f t="shared" si="5"/>
        <v>1142000</v>
      </c>
      <c r="H94" s="1">
        <f t="shared" si="6"/>
        <v>1.000875656742557</v>
      </c>
      <c r="I94" s="1">
        <f t="shared" si="6"/>
        <v>1.0070052539404553</v>
      </c>
      <c r="J94" s="1">
        <f t="shared" si="6"/>
        <v>0.989492119089317</v>
      </c>
      <c r="K94" s="1">
        <f t="shared" si="4"/>
        <v>1.0026269702276707</v>
      </c>
      <c r="M94" s="1">
        <f t="shared" si="7"/>
        <v>0.54730799916410022</v>
      </c>
      <c r="N94" s="1">
        <f t="shared" si="7"/>
        <v>0.62481086185462331</v>
      </c>
      <c r="O94" s="1">
        <f t="shared" si="7"/>
        <v>0.40337411131026812</v>
      </c>
      <c r="P94" s="1">
        <f t="shared" si="7"/>
        <v>0.56945167421853415</v>
      </c>
    </row>
    <row r="95" spans="1:16" x14ac:dyDescent="0.3">
      <c r="A95" s="5">
        <v>42270</v>
      </c>
      <c r="B95" s="4">
        <v>1144000</v>
      </c>
      <c r="C95" s="4">
        <v>1144000</v>
      </c>
      <c r="D95" s="4">
        <v>1125000</v>
      </c>
      <c r="E95" s="4">
        <v>1131000</v>
      </c>
      <c r="F95" s="4"/>
      <c r="G95" s="1">
        <f t="shared" si="5"/>
        <v>1136000</v>
      </c>
      <c r="H95" s="1">
        <f t="shared" si="6"/>
        <v>1.0070422535211268</v>
      </c>
      <c r="I95" s="1">
        <f t="shared" si="6"/>
        <v>1.0070422535211268</v>
      </c>
      <c r="J95" s="1">
        <f t="shared" si="6"/>
        <v>0.99031690140845074</v>
      </c>
      <c r="K95" s="1">
        <f t="shared" si="4"/>
        <v>0.99559859154929575</v>
      </c>
      <c r="M95" s="1">
        <f t="shared" si="7"/>
        <v>0.62527868597549263</v>
      </c>
      <c r="N95" s="1">
        <f t="shared" si="7"/>
        <v>0.62527868597549263</v>
      </c>
      <c r="O95" s="1">
        <f t="shared" si="7"/>
        <v>0.41380269067129233</v>
      </c>
      <c r="P95" s="1">
        <f t="shared" si="7"/>
        <v>0.48058458392524972</v>
      </c>
    </row>
    <row r="96" spans="1:16" x14ac:dyDescent="0.3">
      <c r="A96" s="5">
        <v>42271</v>
      </c>
      <c r="B96" s="4">
        <v>1126000</v>
      </c>
      <c r="C96" s="4">
        <v>1135000</v>
      </c>
      <c r="D96" s="4">
        <v>1125000</v>
      </c>
      <c r="E96" s="4">
        <v>1126000</v>
      </c>
      <c r="F96" s="4"/>
      <c r="G96" s="1">
        <f t="shared" si="5"/>
        <v>1128000</v>
      </c>
      <c r="H96" s="1">
        <f t="shared" si="6"/>
        <v>0.99822695035460995</v>
      </c>
      <c r="I96" s="1">
        <f t="shared" si="6"/>
        <v>1.0062056737588652</v>
      </c>
      <c r="J96" s="1">
        <f t="shared" si="6"/>
        <v>0.99734042553191493</v>
      </c>
      <c r="K96" s="1">
        <f t="shared" si="4"/>
        <v>0.99822695035460995</v>
      </c>
      <c r="M96" s="1">
        <f t="shared" si="7"/>
        <v>0.51381765373602617</v>
      </c>
      <c r="N96" s="1">
        <f t="shared" si="7"/>
        <v>0.61470093928987646</v>
      </c>
      <c r="O96" s="1">
        <f t="shared" si="7"/>
        <v>0.50260839978559835</v>
      </c>
      <c r="P96" s="1">
        <f t="shared" si="7"/>
        <v>0.51381765373602617</v>
      </c>
    </row>
    <row r="97" spans="1:16" x14ac:dyDescent="0.3">
      <c r="A97" s="5">
        <v>42272</v>
      </c>
      <c r="B97" s="4">
        <v>1120000</v>
      </c>
      <c r="C97" s="4">
        <v>1125000</v>
      </c>
      <c r="D97" s="4">
        <v>1109000</v>
      </c>
      <c r="E97" s="4">
        <v>1112000</v>
      </c>
      <c r="F97" s="4"/>
      <c r="G97" s="1">
        <f t="shared" si="5"/>
        <v>1116500</v>
      </c>
      <c r="H97" s="1">
        <f t="shared" si="6"/>
        <v>1.0031347962382444</v>
      </c>
      <c r="I97" s="1">
        <f t="shared" si="6"/>
        <v>1.0076130765785938</v>
      </c>
      <c r="J97" s="1">
        <f t="shared" si="6"/>
        <v>0.99328257948947607</v>
      </c>
      <c r="K97" s="1">
        <f t="shared" si="4"/>
        <v>0.99596954769368562</v>
      </c>
      <c r="M97" s="1">
        <f t="shared" si="7"/>
        <v>0.57587264582522779</v>
      </c>
      <c r="N97" s="1">
        <f t="shared" si="7"/>
        <v>0.63249619466572449</v>
      </c>
      <c r="O97" s="1">
        <f t="shared" si="7"/>
        <v>0.45130083837613821</v>
      </c>
      <c r="P97" s="1">
        <f t="shared" si="7"/>
        <v>0.48527496768043538</v>
      </c>
    </row>
    <row r="98" spans="1:16" x14ac:dyDescent="0.3">
      <c r="A98" s="5">
        <v>42277</v>
      </c>
      <c r="B98" s="4">
        <v>1100000</v>
      </c>
      <c r="C98" s="4">
        <v>1134000</v>
      </c>
      <c r="D98" s="4">
        <v>1090000</v>
      </c>
      <c r="E98" s="4">
        <v>1134000</v>
      </c>
      <c r="F98" s="4"/>
      <c r="G98" s="1">
        <f t="shared" si="5"/>
        <v>1114500</v>
      </c>
      <c r="H98" s="1">
        <f t="shared" si="6"/>
        <v>0.98698968147151189</v>
      </c>
      <c r="I98" s="1">
        <f t="shared" si="6"/>
        <v>1.0174966352624495</v>
      </c>
      <c r="J98" s="1">
        <f t="shared" si="6"/>
        <v>0.97801704800358902</v>
      </c>
      <c r="K98" s="1">
        <f t="shared" si="4"/>
        <v>1.0174966352624495</v>
      </c>
      <c r="M98" s="1">
        <f t="shared" si="7"/>
        <v>0.37173319383679221</v>
      </c>
      <c r="N98" s="1">
        <f t="shared" si="7"/>
        <v>0.75746429074734667</v>
      </c>
      <c r="O98" s="1">
        <f t="shared" si="7"/>
        <v>0.25828287121604027</v>
      </c>
      <c r="P98" s="1">
        <f t="shared" si="7"/>
        <v>0.75746429074734667</v>
      </c>
    </row>
    <row r="99" spans="1:16" x14ac:dyDescent="0.3">
      <c r="A99" s="5">
        <v>42278</v>
      </c>
      <c r="B99" s="4">
        <v>1140000</v>
      </c>
      <c r="C99" s="4">
        <v>1145000</v>
      </c>
      <c r="D99" s="4">
        <v>1121000</v>
      </c>
      <c r="E99" s="4">
        <v>1134000</v>
      </c>
      <c r="F99" s="4"/>
      <c r="G99" s="1">
        <f t="shared" si="5"/>
        <v>1135000</v>
      </c>
      <c r="H99" s="1">
        <f t="shared" si="6"/>
        <v>1.0044052863436124</v>
      </c>
      <c r="I99" s="1">
        <f t="shared" si="6"/>
        <v>1.0088105726872247</v>
      </c>
      <c r="J99" s="1">
        <f t="shared" si="6"/>
        <v>0.98766519823788546</v>
      </c>
      <c r="K99" s="1">
        <f t="shared" si="4"/>
        <v>0.99911894273127755</v>
      </c>
      <c r="M99" s="1">
        <f t="shared" si="7"/>
        <v>0.59193677157557278</v>
      </c>
      <c r="N99" s="1">
        <f t="shared" si="7"/>
        <v>0.64763738151426375</v>
      </c>
      <c r="O99" s="1">
        <f t="shared" si="7"/>
        <v>0.38027445380854824</v>
      </c>
      <c r="P99" s="1">
        <f t="shared" si="7"/>
        <v>0.52509603964914386</v>
      </c>
    </row>
    <row r="100" spans="1:16" x14ac:dyDescent="0.3">
      <c r="A100" s="5">
        <v>42279</v>
      </c>
      <c r="B100" s="4">
        <v>1112000</v>
      </c>
      <c r="C100" s="4">
        <v>1133000</v>
      </c>
      <c r="D100" s="4">
        <v>1112000</v>
      </c>
      <c r="E100" s="4">
        <v>1119000</v>
      </c>
      <c r="F100" s="4"/>
      <c r="G100" s="1">
        <f t="shared" si="5"/>
        <v>1119000</v>
      </c>
      <c r="H100" s="1">
        <f t="shared" si="6"/>
        <v>0.99374441465594276</v>
      </c>
      <c r="I100" s="1">
        <f t="shared" si="6"/>
        <v>1.0125111706881145</v>
      </c>
      <c r="J100" s="1">
        <f t="shared" si="6"/>
        <v>0.99374441465594276</v>
      </c>
      <c r="K100" s="1">
        <f t="shared" si="4"/>
        <v>1</v>
      </c>
      <c r="M100" s="1">
        <f t="shared" si="7"/>
        <v>0.4571402999813145</v>
      </c>
      <c r="N100" s="1">
        <f t="shared" si="7"/>
        <v>0.69442788494801655</v>
      </c>
      <c r="O100" s="1">
        <f t="shared" si="7"/>
        <v>0.4571402999813145</v>
      </c>
      <c r="P100" s="1">
        <f t="shared" si="7"/>
        <v>0.53623616163688181</v>
      </c>
    </row>
    <row r="101" spans="1:16" x14ac:dyDescent="0.3">
      <c r="A101" s="5">
        <v>42282</v>
      </c>
      <c r="B101" s="4">
        <v>1119000</v>
      </c>
      <c r="C101" s="4">
        <v>1131000</v>
      </c>
      <c r="D101" s="4">
        <v>1115000</v>
      </c>
      <c r="E101" s="4">
        <v>1115000</v>
      </c>
      <c r="F101" s="4"/>
      <c r="G101" s="1">
        <f t="shared" si="5"/>
        <v>1120000</v>
      </c>
      <c r="H101" s="1">
        <f t="shared" si="6"/>
        <v>0.99910714285714286</v>
      </c>
      <c r="I101" s="1">
        <f t="shared" si="6"/>
        <v>1.0098214285714286</v>
      </c>
      <c r="J101" s="1">
        <f t="shared" si="6"/>
        <v>0.9955357142857143</v>
      </c>
      <c r="K101" s="1">
        <f t="shared" si="4"/>
        <v>0.9955357142857143</v>
      </c>
      <c r="M101" s="1">
        <f t="shared" si="7"/>
        <v>0.52494684158680793</v>
      </c>
      <c r="N101" s="1">
        <f t="shared" si="7"/>
        <v>0.6604186821876955</v>
      </c>
      <c r="O101" s="1">
        <f t="shared" si="7"/>
        <v>0.47978956138651258</v>
      </c>
      <c r="P101" s="1">
        <f t="shared" si="7"/>
        <v>0.47978956138651258</v>
      </c>
    </row>
    <row r="102" spans="1:16" x14ac:dyDescent="0.3">
      <c r="A102" s="5">
        <v>42283</v>
      </c>
      <c r="B102" s="4">
        <v>1130000</v>
      </c>
      <c r="C102" s="4">
        <v>1155000</v>
      </c>
      <c r="D102" s="4">
        <v>1127000</v>
      </c>
      <c r="E102" s="4">
        <v>1151000</v>
      </c>
      <c r="F102" s="4"/>
      <c r="G102" s="1">
        <f t="shared" si="5"/>
        <v>1140750</v>
      </c>
      <c r="H102" s="1">
        <f t="shared" si="6"/>
        <v>0.99057637519175978</v>
      </c>
      <c r="I102" s="1">
        <f t="shared" si="6"/>
        <v>1.0124917817225509</v>
      </c>
      <c r="J102" s="1">
        <f t="shared" si="6"/>
        <v>0.98794652640806491</v>
      </c>
      <c r="K102" s="1">
        <f t="shared" si="4"/>
        <v>1.0089853166776244</v>
      </c>
      <c r="M102" s="1">
        <f t="shared" si="7"/>
        <v>0.41708348716579707</v>
      </c>
      <c r="N102" s="1">
        <f t="shared" si="7"/>
        <v>0.69418273012180765</v>
      </c>
      <c r="O102" s="1">
        <f t="shared" si="7"/>
        <v>0.38383157801107659</v>
      </c>
      <c r="P102" s="1">
        <f t="shared" si="7"/>
        <v>0.649846851248846</v>
      </c>
    </row>
    <row r="103" spans="1:16" x14ac:dyDescent="0.3">
      <c r="A103" s="5">
        <v>42284</v>
      </c>
      <c r="B103" s="4">
        <v>1198000</v>
      </c>
      <c r="C103" s="4">
        <v>1252000</v>
      </c>
      <c r="D103" s="4">
        <v>1186000</v>
      </c>
      <c r="E103" s="4">
        <v>1251000</v>
      </c>
      <c r="F103" s="4"/>
      <c r="G103" s="1">
        <f t="shared" si="5"/>
        <v>1221750</v>
      </c>
      <c r="H103" s="1">
        <f t="shared" si="6"/>
        <v>0.98056067116840595</v>
      </c>
      <c r="I103" s="1">
        <f t="shared" si="6"/>
        <v>1.0247595661960303</v>
      </c>
      <c r="J103" s="1">
        <f t="shared" si="6"/>
        <v>0.97073869449560057</v>
      </c>
      <c r="K103" s="1">
        <f t="shared" si="4"/>
        <v>1.0239410681399632</v>
      </c>
      <c r="M103" s="1">
        <f t="shared" si="7"/>
        <v>0.29044454032976846</v>
      </c>
      <c r="N103" s="1">
        <f t="shared" si="7"/>
        <v>0.849297068775415</v>
      </c>
      <c r="O103" s="1">
        <f t="shared" si="7"/>
        <v>0.16625508956406954</v>
      </c>
      <c r="P103" s="1">
        <f t="shared" si="7"/>
        <v>0.83894794787827431</v>
      </c>
    </row>
    <row r="104" spans="1:16" x14ac:dyDescent="0.3">
      <c r="A104" s="5">
        <v>42285</v>
      </c>
      <c r="B104" s="4">
        <v>1250000</v>
      </c>
      <c r="C104" s="4">
        <v>1279000</v>
      </c>
      <c r="D104" s="4">
        <v>1250000</v>
      </c>
      <c r="E104" s="4">
        <v>1270000</v>
      </c>
      <c r="F104" s="4"/>
      <c r="G104" s="1">
        <f t="shared" si="5"/>
        <v>1262250</v>
      </c>
      <c r="H104" s="1">
        <f t="shared" si="6"/>
        <v>0.9902951079421668</v>
      </c>
      <c r="I104" s="1">
        <f t="shared" si="6"/>
        <v>1.013269954446425</v>
      </c>
      <c r="J104" s="1">
        <f t="shared" si="6"/>
        <v>0.9902951079421668</v>
      </c>
      <c r="K104" s="1">
        <f t="shared" si="4"/>
        <v>1.0061398296692414</v>
      </c>
      <c r="M104" s="1">
        <f t="shared" si="7"/>
        <v>0.41352713324550672</v>
      </c>
      <c r="N104" s="1">
        <f t="shared" si="7"/>
        <v>0.70402197596794558</v>
      </c>
      <c r="O104" s="1">
        <f t="shared" si="7"/>
        <v>0.41352713324550672</v>
      </c>
      <c r="P104" s="1">
        <f t="shared" si="7"/>
        <v>0.61386840408856824</v>
      </c>
    </row>
    <row r="105" spans="1:16" x14ac:dyDescent="0.3">
      <c r="A105" s="5">
        <v>42289</v>
      </c>
      <c r="B105" s="4">
        <v>1260000</v>
      </c>
      <c r="C105" s="4">
        <v>1263000</v>
      </c>
      <c r="D105" s="4">
        <v>1247000</v>
      </c>
      <c r="E105" s="4">
        <v>1260000</v>
      </c>
      <c r="F105" s="4"/>
      <c r="G105" s="1">
        <f t="shared" si="5"/>
        <v>1257500</v>
      </c>
      <c r="H105" s="1">
        <f t="shared" si="6"/>
        <v>1.0019880715705765</v>
      </c>
      <c r="I105" s="1">
        <f t="shared" si="6"/>
        <v>1.0043737574552685</v>
      </c>
      <c r="J105" s="1">
        <f t="shared" si="6"/>
        <v>0.99165009940357851</v>
      </c>
      <c r="K105" s="1">
        <f t="shared" si="4"/>
        <v>1.0019880715705765</v>
      </c>
      <c r="M105" s="1">
        <f t="shared" si="7"/>
        <v>0.56137341502869531</v>
      </c>
      <c r="N105" s="1">
        <f t="shared" si="7"/>
        <v>0.59153811909887499</v>
      </c>
      <c r="O105" s="1">
        <f t="shared" si="7"/>
        <v>0.4306596973912602</v>
      </c>
      <c r="P105" s="1">
        <f t="shared" si="7"/>
        <v>0.56137341502869531</v>
      </c>
    </row>
    <row r="106" spans="1:16" x14ac:dyDescent="0.3">
      <c r="A106" s="5">
        <v>42290</v>
      </c>
      <c r="B106" s="4">
        <v>1260000</v>
      </c>
      <c r="C106" s="4">
        <v>1272000</v>
      </c>
      <c r="D106" s="4">
        <v>1248000</v>
      </c>
      <c r="E106" s="4">
        <v>1252000</v>
      </c>
      <c r="F106" s="4"/>
      <c r="G106" s="1">
        <f t="shared" si="5"/>
        <v>1258000</v>
      </c>
      <c r="H106" s="1">
        <f t="shared" si="6"/>
        <v>1.0015898251192368</v>
      </c>
      <c r="I106" s="1">
        <f t="shared" si="6"/>
        <v>1.0111287758346581</v>
      </c>
      <c r="J106" s="1">
        <f t="shared" si="6"/>
        <v>0.99205087440381556</v>
      </c>
      <c r="K106" s="1">
        <f t="shared" si="4"/>
        <v>0.99523052464228934</v>
      </c>
      <c r="M106" s="1">
        <f t="shared" si="7"/>
        <v>0.55633797158295795</v>
      </c>
      <c r="N106" s="1">
        <f t="shared" si="7"/>
        <v>0.67694883125942329</v>
      </c>
      <c r="O106" s="1">
        <f t="shared" si="7"/>
        <v>0.43572711190649405</v>
      </c>
      <c r="P106" s="1">
        <f t="shared" si="7"/>
        <v>0.47593073179864914</v>
      </c>
    </row>
    <row r="107" spans="1:16" x14ac:dyDescent="0.3">
      <c r="A107" s="5">
        <v>42291</v>
      </c>
      <c r="B107" s="4">
        <v>1248000</v>
      </c>
      <c r="C107" s="4">
        <v>1260000</v>
      </c>
      <c r="D107" s="4">
        <v>1237000</v>
      </c>
      <c r="E107" s="4">
        <v>1254000</v>
      </c>
      <c r="F107" s="4"/>
      <c r="G107" s="1">
        <f t="shared" si="5"/>
        <v>1249750</v>
      </c>
      <c r="H107" s="1">
        <f t="shared" si="6"/>
        <v>0.99859971994398877</v>
      </c>
      <c r="I107" s="1">
        <f t="shared" si="6"/>
        <v>1.0082016403280656</v>
      </c>
      <c r="J107" s="1">
        <f t="shared" si="6"/>
        <v>0.98979795959191841</v>
      </c>
      <c r="K107" s="1">
        <f t="shared" si="4"/>
        <v>1.0034006801360271</v>
      </c>
      <c r="M107" s="1">
        <f t="shared" si="7"/>
        <v>0.51853096675939014</v>
      </c>
      <c r="N107" s="1">
        <f t="shared" si="7"/>
        <v>0.63993801734790223</v>
      </c>
      <c r="O107" s="1">
        <f t="shared" si="7"/>
        <v>0.40724117038658797</v>
      </c>
      <c r="P107" s="1">
        <f t="shared" si="7"/>
        <v>0.57923449205364552</v>
      </c>
    </row>
    <row r="108" spans="1:16" x14ac:dyDescent="0.3">
      <c r="A108" s="5">
        <v>42292</v>
      </c>
      <c r="B108" s="4">
        <v>1244000</v>
      </c>
      <c r="C108" s="4">
        <v>1282000</v>
      </c>
      <c r="D108" s="4">
        <v>1243000</v>
      </c>
      <c r="E108" s="4">
        <v>1269000</v>
      </c>
      <c r="F108" s="4"/>
      <c r="G108" s="1">
        <f t="shared" si="5"/>
        <v>1259500</v>
      </c>
      <c r="H108" s="1">
        <f t="shared" si="6"/>
        <v>0.98769352917824538</v>
      </c>
      <c r="I108" s="1">
        <f t="shared" si="6"/>
        <v>1.0178642318380309</v>
      </c>
      <c r="J108" s="1">
        <f t="shared" si="6"/>
        <v>0.98689956331877726</v>
      </c>
      <c r="K108" s="1">
        <f t="shared" si="4"/>
        <v>1.0075426756649464</v>
      </c>
      <c r="M108" s="1">
        <f t="shared" si="7"/>
        <v>0.38063267130795608</v>
      </c>
      <c r="N108" s="1">
        <f t="shared" si="7"/>
        <v>0.76211219598532209</v>
      </c>
      <c r="O108" s="1">
        <f t="shared" si="7"/>
        <v>0.3705937364480244</v>
      </c>
      <c r="P108" s="1">
        <f t="shared" si="7"/>
        <v>0.63160604280622334</v>
      </c>
    </row>
    <row r="109" spans="1:16" x14ac:dyDescent="0.3">
      <c r="A109" s="5">
        <v>42293</v>
      </c>
      <c r="B109" s="4">
        <v>1265000</v>
      </c>
      <c r="C109" s="4">
        <v>1269000</v>
      </c>
      <c r="D109" s="4">
        <v>1259000</v>
      </c>
      <c r="E109" s="4">
        <v>1265000</v>
      </c>
      <c r="F109" s="4"/>
      <c r="G109" s="1">
        <f t="shared" si="5"/>
        <v>1264500</v>
      </c>
      <c r="H109" s="1">
        <f t="shared" si="6"/>
        <v>1.0003954132068011</v>
      </c>
      <c r="I109" s="1">
        <f t="shared" si="6"/>
        <v>1.0035587188612101</v>
      </c>
      <c r="J109" s="1">
        <f t="shared" si="6"/>
        <v>0.99565045472518787</v>
      </c>
      <c r="K109" s="1">
        <f t="shared" si="4"/>
        <v>1.0003954132068011</v>
      </c>
      <c r="M109" s="1">
        <f t="shared" si="7"/>
        <v>0.54123578142971851</v>
      </c>
      <c r="N109" s="1">
        <f t="shared" si="7"/>
        <v>0.58123273977240886</v>
      </c>
      <c r="O109" s="1">
        <f t="shared" si="7"/>
        <v>0.48124034391568427</v>
      </c>
      <c r="P109" s="1">
        <f t="shared" si="7"/>
        <v>0.54123578142971851</v>
      </c>
    </row>
    <row r="110" spans="1:16" x14ac:dyDescent="0.3">
      <c r="A110" s="5">
        <v>42296</v>
      </c>
      <c r="B110" s="4">
        <v>1257000</v>
      </c>
      <c r="C110" s="4">
        <v>1265000</v>
      </c>
      <c r="D110" s="4">
        <v>1249000</v>
      </c>
      <c r="E110" s="4">
        <v>1256000</v>
      </c>
      <c r="F110" s="4"/>
      <c r="G110" s="1">
        <f t="shared" si="5"/>
        <v>1256750</v>
      </c>
      <c r="H110" s="1">
        <f t="shared" si="6"/>
        <v>1.0001989258006763</v>
      </c>
      <c r="I110" s="1">
        <f t="shared" si="6"/>
        <v>1.0065645514223194</v>
      </c>
      <c r="J110" s="1">
        <f t="shared" si="6"/>
        <v>0.99383330017903326</v>
      </c>
      <c r="K110" s="1">
        <f t="shared" si="4"/>
        <v>0.99940322259797099</v>
      </c>
      <c r="M110" s="1">
        <f t="shared" si="7"/>
        <v>0.5387513871105396</v>
      </c>
      <c r="N110" s="1">
        <f t="shared" si="7"/>
        <v>0.61923860226762073</v>
      </c>
      <c r="O110" s="1">
        <f t="shared" si="7"/>
        <v>0.45826417195345975</v>
      </c>
      <c r="P110" s="1">
        <f t="shared" si="7"/>
        <v>0.52869048521590578</v>
      </c>
    </row>
    <row r="111" spans="1:16" x14ac:dyDescent="0.3">
      <c r="A111" s="5">
        <v>42297</v>
      </c>
      <c r="B111" s="4">
        <v>1260000</v>
      </c>
      <c r="C111" s="4">
        <v>1273000</v>
      </c>
      <c r="D111" s="4">
        <v>1256000</v>
      </c>
      <c r="E111" s="4">
        <v>1266000</v>
      </c>
      <c r="F111" s="4"/>
      <c r="G111" s="1">
        <f t="shared" si="5"/>
        <v>1263750</v>
      </c>
      <c r="H111" s="1">
        <f t="shared" si="6"/>
        <v>0.9970326409495549</v>
      </c>
      <c r="I111" s="1">
        <f t="shared" si="6"/>
        <v>1.0073194856577645</v>
      </c>
      <c r="J111" s="1">
        <f t="shared" si="6"/>
        <v>0.99386745796241349</v>
      </c>
      <c r="K111" s="1">
        <f t="shared" si="4"/>
        <v>1.001780415430267</v>
      </c>
      <c r="M111" s="1">
        <f t="shared" si="7"/>
        <v>0.49871675969004886</v>
      </c>
      <c r="N111" s="1">
        <f t="shared" si="7"/>
        <v>0.62878401977240261</v>
      </c>
      <c r="O111" s="1">
        <f t="shared" si="7"/>
        <v>0.45869606428009391</v>
      </c>
      <c r="P111" s="1">
        <f t="shared" si="7"/>
        <v>0.55874780280498049</v>
      </c>
    </row>
    <row r="112" spans="1:16" x14ac:dyDescent="0.3">
      <c r="A112" s="5">
        <v>42298</v>
      </c>
      <c r="B112" s="4">
        <v>1265000</v>
      </c>
      <c r="C112" s="4">
        <v>1282000</v>
      </c>
      <c r="D112" s="4">
        <v>1259000</v>
      </c>
      <c r="E112" s="4">
        <v>1270000</v>
      </c>
      <c r="F112" s="4"/>
      <c r="G112" s="1">
        <f t="shared" si="5"/>
        <v>1269000</v>
      </c>
      <c r="H112" s="1">
        <f t="shared" si="6"/>
        <v>0.99684791174152876</v>
      </c>
      <c r="I112" s="1">
        <f t="shared" si="6"/>
        <v>1.0102442868400314</v>
      </c>
      <c r="J112" s="1">
        <f t="shared" si="6"/>
        <v>0.9921197793538219</v>
      </c>
      <c r="K112" s="1">
        <f t="shared" si="4"/>
        <v>1.0007880220646177</v>
      </c>
      <c r="M112" s="1">
        <f t="shared" si="7"/>
        <v>0.49638103647980453</v>
      </c>
      <c r="N112" s="1">
        <f t="shared" si="7"/>
        <v>0.66576531839738162</v>
      </c>
      <c r="O112" s="1">
        <f t="shared" si="7"/>
        <v>0.43659834874418857</v>
      </c>
      <c r="P112" s="1">
        <f t="shared" si="7"/>
        <v>0.54619994292614971</v>
      </c>
    </row>
    <row r="113" spans="1:16" x14ac:dyDescent="0.3">
      <c r="A113" s="5">
        <v>42299</v>
      </c>
      <c r="B113" s="4">
        <v>1280000</v>
      </c>
      <c r="C113" s="4">
        <v>1295000</v>
      </c>
      <c r="D113" s="4">
        <v>1269000</v>
      </c>
      <c r="E113" s="4">
        <v>1280000</v>
      </c>
      <c r="F113" s="4"/>
      <c r="G113" s="1">
        <f t="shared" si="5"/>
        <v>1281000</v>
      </c>
      <c r="H113" s="1">
        <f t="shared" si="6"/>
        <v>0.99921935987509758</v>
      </c>
      <c r="I113" s="1">
        <f t="shared" si="6"/>
        <v>1.0109289617486339</v>
      </c>
      <c r="J113" s="1">
        <f t="shared" si="6"/>
        <v>0.99063231850117095</v>
      </c>
      <c r="K113" s="1">
        <f t="shared" si="4"/>
        <v>0.99921935987509758</v>
      </c>
      <c r="M113" s="1">
        <f t="shared" si="7"/>
        <v>0.52636571787725439</v>
      </c>
      <c r="N113" s="1">
        <f t="shared" si="7"/>
        <v>0.67442237427166618</v>
      </c>
      <c r="O113" s="1">
        <f t="shared" si="7"/>
        <v>0.4177908365213524</v>
      </c>
      <c r="P113" s="1">
        <f t="shared" si="7"/>
        <v>0.52636571787725439</v>
      </c>
    </row>
    <row r="114" spans="1:16" x14ac:dyDescent="0.3">
      <c r="A114" s="5">
        <v>42300</v>
      </c>
      <c r="B114" s="4">
        <v>1300000</v>
      </c>
      <c r="C114" s="4">
        <v>1300000</v>
      </c>
      <c r="D114" s="4">
        <v>1278000</v>
      </c>
      <c r="E114" s="4">
        <v>1289000</v>
      </c>
      <c r="F114" s="4"/>
      <c r="G114" s="1">
        <f t="shared" si="5"/>
        <v>1291750</v>
      </c>
      <c r="H114" s="1">
        <f t="shared" si="6"/>
        <v>1.0063866847300174</v>
      </c>
      <c r="I114" s="1">
        <f t="shared" si="6"/>
        <v>1.0063866847300174</v>
      </c>
      <c r="J114" s="1">
        <f t="shared" si="6"/>
        <v>0.98935552544997096</v>
      </c>
      <c r="K114" s="1">
        <f t="shared" si="4"/>
        <v>0.99787110508999421</v>
      </c>
      <c r="M114" s="1">
        <f t="shared" si="7"/>
        <v>0.61698964897009778</v>
      </c>
      <c r="N114" s="1">
        <f t="shared" si="7"/>
        <v>0.61698964897009778</v>
      </c>
      <c r="O114" s="1">
        <f t="shared" si="7"/>
        <v>0.40164701608152054</v>
      </c>
      <c r="P114" s="1">
        <f t="shared" si="7"/>
        <v>0.50931833252580982</v>
      </c>
    </row>
    <row r="115" spans="1:16" x14ac:dyDescent="0.3">
      <c r="A115" s="5">
        <v>42303</v>
      </c>
      <c r="B115" s="4">
        <v>1298000</v>
      </c>
      <c r="C115" s="4">
        <v>1298000</v>
      </c>
      <c r="D115" s="4">
        <v>1272000</v>
      </c>
      <c r="E115" s="4">
        <v>1292000</v>
      </c>
      <c r="F115" s="4"/>
      <c r="G115" s="1">
        <f t="shared" si="5"/>
        <v>1290000</v>
      </c>
      <c r="H115" s="1">
        <f t="shared" si="6"/>
        <v>1.006201550387597</v>
      </c>
      <c r="I115" s="1">
        <f t="shared" si="6"/>
        <v>1.006201550387597</v>
      </c>
      <c r="J115" s="1">
        <f t="shared" si="6"/>
        <v>0.98604651162790702</v>
      </c>
      <c r="K115" s="1">
        <f t="shared" si="4"/>
        <v>1.0015503875968992</v>
      </c>
      <c r="M115" s="1">
        <f t="shared" si="7"/>
        <v>0.6146488032249926</v>
      </c>
      <c r="N115" s="1">
        <f t="shared" si="7"/>
        <v>0.6146488032249926</v>
      </c>
      <c r="O115" s="1">
        <f t="shared" si="7"/>
        <v>0.35980771806363465</v>
      </c>
      <c r="P115" s="1">
        <f t="shared" si="7"/>
        <v>0.55583932203390884</v>
      </c>
    </row>
    <row r="116" spans="1:16" x14ac:dyDescent="0.3">
      <c r="A116" s="5">
        <v>42304</v>
      </c>
      <c r="B116" s="4">
        <v>1282000</v>
      </c>
      <c r="C116" s="4">
        <v>1299000</v>
      </c>
      <c r="D116" s="4">
        <v>1281000</v>
      </c>
      <c r="E116" s="4">
        <v>1298000</v>
      </c>
      <c r="F116" s="4"/>
      <c r="G116" s="1">
        <f t="shared" si="5"/>
        <v>1290000</v>
      </c>
      <c r="H116" s="1">
        <f t="shared" si="6"/>
        <v>0.99379844961240305</v>
      </c>
      <c r="I116" s="1">
        <f t="shared" si="6"/>
        <v>1.0069767441860464</v>
      </c>
      <c r="J116" s="1">
        <f t="shared" si="6"/>
        <v>0.99302325581395345</v>
      </c>
      <c r="K116" s="1">
        <f t="shared" si="4"/>
        <v>1.006201550387597</v>
      </c>
      <c r="M116" s="1">
        <f t="shared" si="7"/>
        <v>0.45782352004877103</v>
      </c>
      <c r="N116" s="1">
        <f t="shared" si="7"/>
        <v>0.62445038342350467</v>
      </c>
      <c r="O116" s="1">
        <f t="shared" si="7"/>
        <v>0.44802193985025751</v>
      </c>
      <c r="P116" s="1">
        <f t="shared" si="7"/>
        <v>0.6146488032249926</v>
      </c>
    </row>
    <row r="117" spans="1:16" x14ac:dyDescent="0.3">
      <c r="A117" s="5">
        <v>42305</v>
      </c>
      <c r="B117" s="4">
        <v>1294000</v>
      </c>
      <c r="C117" s="4">
        <v>1308000</v>
      </c>
      <c r="D117" s="4">
        <v>1291000</v>
      </c>
      <c r="E117" s="4">
        <v>1308000</v>
      </c>
      <c r="F117" s="4"/>
      <c r="G117" s="1">
        <f t="shared" si="5"/>
        <v>1300250</v>
      </c>
      <c r="H117" s="1">
        <f t="shared" si="6"/>
        <v>0.99519323207075561</v>
      </c>
      <c r="I117" s="1">
        <f t="shared" si="6"/>
        <v>1.0059603922322631</v>
      </c>
      <c r="J117" s="1">
        <f t="shared" si="6"/>
        <v>0.99288598346471835</v>
      </c>
      <c r="K117" s="1">
        <f t="shared" si="4"/>
        <v>1.0059603922322631</v>
      </c>
      <c r="M117" s="1">
        <f t="shared" si="7"/>
        <v>0.47545920309005046</v>
      </c>
      <c r="N117" s="1">
        <f t="shared" si="7"/>
        <v>0.61159959023495314</v>
      </c>
      <c r="O117" s="1">
        <f t="shared" si="7"/>
        <v>0.44628626298757201</v>
      </c>
      <c r="P117" s="1">
        <f t="shared" si="7"/>
        <v>0.61159959023495314</v>
      </c>
    </row>
    <row r="118" spans="1:16" x14ac:dyDescent="0.3">
      <c r="A118" s="5">
        <v>42306</v>
      </c>
      <c r="B118" s="4">
        <v>1330000</v>
      </c>
      <c r="C118" s="4">
        <v>1392000</v>
      </c>
      <c r="D118" s="4">
        <v>1324000</v>
      </c>
      <c r="E118" s="4">
        <v>1325000</v>
      </c>
      <c r="F118" s="4"/>
      <c r="G118" s="1">
        <f t="shared" si="5"/>
        <v>1342750</v>
      </c>
      <c r="H118" s="1">
        <f t="shared" si="6"/>
        <v>0.990504561534165</v>
      </c>
      <c r="I118" s="1">
        <f t="shared" si="6"/>
        <v>1.0366784583876374</v>
      </c>
      <c r="J118" s="1">
        <f t="shared" si="6"/>
        <v>0.98603611990318374</v>
      </c>
      <c r="K118" s="1">
        <f t="shared" si="4"/>
        <v>0.98678086017501399</v>
      </c>
      <c r="M118" s="1">
        <f t="shared" si="7"/>
        <v>0.41617547251749659</v>
      </c>
      <c r="N118" s="1">
        <f t="shared" si="7"/>
        <v>1</v>
      </c>
      <c r="O118" s="1">
        <f t="shared" si="7"/>
        <v>0.35967632469660848</v>
      </c>
      <c r="P118" s="1">
        <f t="shared" si="7"/>
        <v>0.36909284933342362</v>
      </c>
    </row>
    <row r="119" spans="1:16" x14ac:dyDescent="0.3">
      <c r="A119" s="5">
        <v>42307</v>
      </c>
      <c r="B119" s="4">
        <v>1345000</v>
      </c>
      <c r="C119" s="4">
        <v>1390000</v>
      </c>
      <c r="D119" s="4">
        <v>1341000</v>
      </c>
      <c r="E119" s="4">
        <v>1372000</v>
      </c>
      <c r="F119" s="4"/>
      <c r="G119" s="1">
        <f t="shared" si="5"/>
        <v>1362000</v>
      </c>
      <c r="H119" s="1">
        <f t="shared" si="6"/>
        <v>0.98751835535976507</v>
      </c>
      <c r="I119" s="1">
        <f t="shared" si="6"/>
        <v>1.0205580029368575</v>
      </c>
      <c r="J119" s="1">
        <f t="shared" si="6"/>
        <v>0.98458149779735682</v>
      </c>
      <c r="K119" s="1">
        <f t="shared" si="4"/>
        <v>1.0073421439060206</v>
      </c>
      <c r="M119" s="1">
        <f t="shared" si="7"/>
        <v>0.37841776681059214</v>
      </c>
      <c r="N119" s="1">
        <f t="shared" si="7"/>
        <v>0.7961723413507702</v>
      </c>
      <c r="O119" s="1">
        <f t="shared" si="7"/>
        <v>0.34128402685146481</v>
      </c>
      <c r="P119" s="1">
        <f t="shared" si="7"/>
        <v>0.62907051153470006</v>
      </c>
    </row>
    <row r="120" spans="1:16" x14ac:dyDescent="0.3">
      <c r="A120" s="5">
        <v>42310</v>
      </c>
      <c r="B120" s="4">
        <v>1385000</v>
      </c>
      <c r="C120" s="4">
        <v>1393000</v>
      </c>
      <c r="D120" s="4">
        <v>1374000</v>
      </c>
      <c r="E120" s="4">
        <v>1383000</v>
      </c>
      <c r="F120" s="4"/>
      <c r="G120" s="1">
        <f t="shared" si="5"/>
        <v>1383750</v>
      </c>
      <c r="H120" s="1">
        <f t="shared" si="6"/>
        <v>1.000903342366757</v>
      </c>
      <c r="I120" s="1">
        <f t="shared" si="6"/>
        <v>1.0066847335140019</v>
      </c>
      <c r="J120" s="1">
        <f t="shared" si="6"/>
        <v>0.9929539295392954</v>
      </c>
      <c r="K120" s="1">
        <f t="shared" si="4"/>
        <v>0.99945799457994577</v>
      </c>
      <c r="M120" s="1">
        <f t="shared" si="7"/>
        <v>0.54765805726116668</v>
      </c>
      <c r="N120" s="1">
        <f t="shared" si="7"/>
        <v>0.62075818925658699</v>
      </c>
      <c r="O120" s="1">
        <f t="shared" si="7"/>
        <v>0.4471453757674641</v>
      </c>
      <c r="P120" s="1">
        <f t="shared" si="7"/>
        <v>0.52938302426231088</v>
      </c>
    </row>
    <row r="121" spans="1:16" x14ac:dyDescent="0.3">
      <c r="A121" s="5">
        <v>42311</v>
      </c>
      <c r="B121" s="4">
        <v>1381000</v>
      </c>
      <c r="C121" s="4">
        <v>1381000</v>
      </c>
      <c r="D121" s="4">
        <v>1350000</v>
      </c>
      <c r="E121" s="4">
        <v>1352000</v>
      </c>
      <c r="F121" s="4"/>
      <c r="G121" s="1">
        <f t="shared" si="5"/>
        <v>1366000</v>
      </c>
      <c r="H121" s="1">
        <f t="shared" si="6"/>
        <v>1.0109809663250366</v>
      </c>
      <c r="I121" s="1">
        <f t="shared" si="6"/>
        <v>1.0109809663250366</v>
      </c>
      <c r="J121" s="1">
        <f t="shared" si="6"/>
        <v>0.98828696925329429</v>
      </c>
      <c r="K121" s="1">
        <f t="shared" si="4"/>
        <v>0.98975109809663253</v>
      </c>
      <c r="M121" s="1">
        <f t="shared" si="7"/>
        <v>0.67507992213559487</v>
      </c>
      <c r="N121" s="1">
        <f t="shared" si="7"/>
        <v>0.67507992213559487</v>
      </c>
      <c r="O121" s="1">
        <f t="shared" si="7"/>
        <v>0.38813615043825511</v>
      </c>
      <c r="P121" s="1">
        <f t="shared" si="7"/>
        <v>0.40664865183808385</v>
      </c>
    </row>
    <row r="122" spans="1:16" x14ac:dyDescent="0.3">
      <c r="A122" s="5">
        <v>42312</v>
      </c>
      <c r="B122" s="4">
        <v>1352000</v>
      </c>
      <c r="C122" s="4">
        <v>1361000</v>
      </c>
      <c r="D122" s="4">
        <v>1326000</v>
      </c>
      <c r="E122" s="4">
        <v>1330000</v>
      </c>
      <c r="F122" s="4"/>
      <c r="G122" s="1">
        <f t="shared" si="5"/>
        <v>1342250</v>
      </c>
      <c r="H122" s="1">
        <f t="shared" si="6"/>
        <v>1.0072639225181599</v>
      </c>
      <c r="I122" s="1">
        <f t="shared" si="6"/>
        <v>1.0139690817656919</v>
      </c>
      <c r="J122" s="1">
        <f t="shared" si="6"/>
        <v>0.98789346246973364</v>
      </c>
      <c r="K122" s="1">
        <f t="shared" si="4"/>
        <v>0.99087353324641458</v>
      </c>
      <c r="M122" s="1">
        <f t="shared" si="7"/>
        <v>0.62808147729850083</v>
      </c>
      <c r="N122" s="1">
        <f t="shared" si="7"/>
        <v>0.71286176867845452</v>
      </c>
      <c r="O122" s="1">
        <f t="shared" si="7"/>
        <v>0.38316063553418489</v>
      </c>
      <c r="P122" s="1">
        <f t="shared" si="7"/>
        <v>0.42084076503638712</v>
      </c>
    </row>
    <row r="123" spans="1:16" x14ac:dyDescent="0.3">
      <c r="A123" s="5">
        <v>42313</v>
      </c>
      <c r="B123" s="4">
        <v>1330000</v>
      </c>
      <c r="C123" s="4">
        <v>1354000</v>
      </c>
      <c r="D123" s="4">
        <v>1330000</v>
      </c>
      <c r="E123" s="4">
        <v>1342000</v>
      </c>
      <c r="F123" s="4"/>
      <c r="G123" s="1">
        <f t="shared" si="5"/>
        <v>1339000</v>
      </c>
      <c r="H123" s="1">
        <f t="shared" si="6"/>
        <v>0.99327856609410003</v>
      </c>
      <c r="I123" s="1">
        <f t="shared" si="6"/>
        <v>1.0112023898431666</v>
      </c>
      <c r="J123" s="1">
        <f t="shared" si="6"/>
        <v>0.99327856609410003</v>
      </c>
      <c r="K123" s="1">
        <f t="shared" si="4"/>
        <v>1.0022404779686334</v>
      </c>
      <c r="M123" s="1">
        <f t="shared" si="7"/>
        <v>0.45125009285066414</v>
      </c>
      <c r="N123" s="1">
        <f t="shared" si="7"/>
        <v>0.67787960961391081</v>
      </c>
      <c r="O123" s="1">
        <f t="shared" si="7"/>
        <v>0.45125009285066414</v>
      </c>
      <c r="P123" s="1">
        <f t="shared" si="7"/>
        <v>0.56456485123228817</v>
      </c>
    </row>
    <row r="124" spans="1:16" x14ac:dyDescent="0.3">
      <c r="A124" s="5">
        <v>42314</v>
      </c>
      <c r="B124" s="4">
        <v>1343000</v>
      </c>
      <c r="C124" s="4">
        <v>1348000</v>
      </c>
      <c r="D124" s="4">
        <v>1330000</v>
      </c>
      <c r="E124" s="4">
        <v>1338000</v>
      </c>
      <c r="F124" s="4"/>
      <c r="G124" s="1">
        <f t="shared" si="5"/>
        <v>1339750</v>
      </c>
      <c r="H124" s="1">
        <f t="shared" si="6"/>
        <v>1.0024258257137526</v>
      </c>
      <c r="I124" s="1">
        <f t="shared" si="6"/>
        <v>1.0061578652733718</v>
      </c>
      <c r="J124" s="1">
        <f t="shared" si="6"/>
        <v>0.9927225228587423</v>
      </c>
      <c r="K124" s="1">
        <f t="shared" si="4"/>
        <v>0.99869378615413318</v>
      </c>
      <c r="M124" s="1">
        <f t="shared" si="7"/>
        <v>0.56690839524932413</v>
      </c>
      <c r="N124" s="1">
        <f t="shared" si="7"/>
        <v>0.61409644696077148</v>
      </c>
      <c r="O124" s="1">
        <f t="shared" si="7"/>
        <v>0.44421946079955621</v>
      </c>
      <c r="P124" s="1">
        <f t="shared" si="7"/>
        <v>0.519720343537874</v>
      </c>
    </row>
    <row r="125" spans="1:16" x14ac:dyDescent="0.3">
      <c r="A125" s="5">
        <v>42317</v>
      </c>
      <c r="B125" s="4">
        <v>1338000</v>
      </c>
      <c r="C125" s="4">
        <v>1344000</v>
      </c>
      <c r="D125" s="4">
        <v>1321000</v>
      </c>
      <c r="E125" s="4">
        <v>1344000</v>
      </c>
      <c r="F125" s="4"/>
      <c r="G125" s="1">
        <f t="shared" si="5"/>
        <v>1336750</v>
      </c>
      <c r="H125" s="1">
        <f t="shared" si="6"/>
        <v>1.0009351037965215</v>
      </c>
      <c r="I125" s="1">
        <f t="shared" si="6"/>
        <v>1.0054236020198242</v>
      </c>
      <c r="J125" s="1">
        <f t="shared" si="6"/>
        <v>0.98821769216383015</v>
      </c>
      <c r="K125" s="1">
        <f t="shared" si="4"/>
        <v>1.0054236020198242</v>
      </c>
      <c r="M125" s="1">
        <f t="shared" si="7"/>
        <v>0.5480596500005287</v>
      </c>
      <c r="N125" s="1">
        <f t="shared" si="7"/>
        <v>0.60481239414602672</v>
      </c>
      <c r="O125" s="1">
        <f t="shared" si="7"/>
        <v>0.38726020825494512</v>
      </c>
      <c r="P125" s="1">
        <f t="shared" si="7"/>
        <v>0.60481239414602672</v>
      </c>
    </row>
    <row r="126" spans="1:16" x14ac:dyDescent="0.3">
      <c r="A126" s="5">
        <v>42318</v>
      </c>
      <c r="B126" s="4">
        <v>1336000</v>
      </c>
      <c r="C126" s="4">
        <v>1341000</v>
      </c>
      <c r="D126" s="4">
        <v>1314000</v>
      </c>
      <c r="E126" s="4">
        <v>1321000</v>
      </c>
      <c r="F126" s="4"/>
      <c r="G126" s="1">
        <f t="shared" si="5"/>
        <v>1328000</v>
      </c>
      <c r="H126" s="1">
        <f t="shared" si="6"/>
        <v>1.0060240963855422</v>
      </c>
      <c r="I126" s="1">
        <f t="shared" si="6"/>
        <v>1.009789156626506</v>
      </c>
      <c r="J126" s="1">
        <f t="shared" si="6"/>
        <v>0.98945783132530118</v>
      </c>
      <c r="K126" s="1">
        <f t="shared" si="4"/>
        <v>0.99472891566265065</v>
      </c>
      <c r="M126" s="1">
        <f t="shared" si="7"/>
        <v>0.6124050679988271</v>
      </c>
      <c r="N126" s="1">
        <f t="shared" si="7"/>
        <v>0.66001063447504138</v>
      </c>
      <c r="O126" s="1">
        <f t="shared" si="7"/>
        <v>0.40294057550347906</v>
      </c>
      <c r="P126" s="1">
        <f t="shared" si="7"/>
        <v>0.46958836857018116</v>
      </c>
    </row>
    <row r="127" spans="1:16" x14ac:dyDescent="0.3">
      <c r="A127" s="5">
        <v>42319</v>
      </c>
      <c r="B127" s="4">
        <v>1321000</v>
      </c>
      <c r="C127" s="4">
        <v>1345000</v>
      </c>
      <c r="D127" s="4">
        <v>1321000</v>
      </c>
      <c r="E127" s="4">
        <v>1333000</v>
      </c>
      <c r="F127" s="4"/>
      <c r="G127" s="1">
        <f t="shared" si="5"/>
        <v>1330000</v>
      </c>
      <c r="H127" s="1">
        <f t="shared" si="6"/>
        <v>0.99323308270676691</v>
      </c>
      <c r="I127" s="1">
        <f t="shared" si="6"/>
        <v>1.0112781954887218</v>
      </c>
      <c r="J127" s="1">
        <f t="shared" si="6"/>
        <v>0.99323308270676691</v>
      </c>
      <c r="K127" s="1">
        <f t="shared" si="4"/>
        <v>1.0022556390977444</v>
      </c>
      <c r="M127" s="1">
        <f t="shared" si="7"/>
        <v>0.45067499915211123</v>
      </c>
      <c r="N127" s="1">
        <f t="shared" si="7"/>
        <v>0.67883809911149895</v>
      </c>
      <c r="O127" s="1">
        <f t="shared" si="7"/>
        <v>0.45067499915211123</v>
      </c>
      <c r="P127" s="1">
        <f t="shared" si="7"/>
        <v>0.56475654913180584</v>
      </c>
    </row>
    <row r="128" spans="1:16" x14ac:dyDescent="0.3">
      <c r="A128" s="5">
        <v>42320</v>
      </c>
      <c r="B128" s="4">
        <v>1333000</v>
      </c>
      <c r="C128" s="4">
        <v>1334000</v>
      </c>
      <c r="D128" s="4">
        <v>1317000</v>
      </c>
      <c r="E128" s="4">
        <v>1317000</v>
      </c>
      <c r="F128" s="4"/>
      <c r="G128" s="1">
        <f t="shared" si="5"/>
        <v>1325250</v>
      </c>
      <c r="H128" s="1">
        <f t="shared" si="6"/>
        <v>1.0058479532163742</v>
      </c>
      <c r="I128" s="1">
        <f t="shared" si="6"/>
        <v>1.0066025278249386</v>
      </c>
      <c r="J128" s="1">
        <f t="shared" si="6"/>
        <v>0.99377475947934357</v>
      </c>
      <c r="K128" s="1">
        <f t="shared" si="4"/>
        <v>0.99377475947934357</v>
      </c>
      <c r="M128" s="1">
        <f t="shared" si="7"/>
        <v>0.61017790699409025</v>
      </c>
      <c r="N128" s="1">
        <f t="shared" si="7"/>
        <v>0.61971877736276237</v>
      </c>
      <c r="O128" s="1">
        <f t="shared" si="7"/>
        <v>0.45752398109533732</v>
      </c>
      <c r="P128" s="1">
        <f t="shared" si="7"/>
        <v>0.45752398109533732</v>
      </c>
    </row>
    <row r="129" spans="1:16" x14ac:dyDescent="0.3">
      <c r="A129" s="5">
        <v>42321</v>
      </c>
      <c r="B129" s="4">
        <v>1317000</v>
      </c>
      <c r="C129" s="4">
        <v>1317000</v>
      </c>
      <c r="D129" s="4">
        <v>1300000</v>
      </c>
      <c r="E129" s="4">
        <v>1300000</v>
      </c>
      <c r="F129" s="4"/>
      <c r="G129" s="1">
        <f t="shared" si="5"/>
        <v>1308500</v>
      </c>
      <c r="H129" s="1">
        <f t="shared" si="6"/>
        <v>1.0064959877722583</v>
      </c>
      <c r="I129" s="1">
        <f t="shared" si="6"/>
        <v>1.0064959877722583</v>
      </c>
      <c r="J129" s="1">
        <f t="shared" si="6"/>
        <v>0.99350401222774165</v>
      </c>
      <c r="K129" s="1">
        <f t="shared" si="4"/>
        <v>0.99350401222774165</v>
      </c>
      <c r="M129" s="1">
        <f t="shared" si="7"/>
        <v>0.61837168083955973</v>
      </c>
      <c r="N129" s="1">
        <f t="shared" si="7"/>
        <v>0.61837168083955973</v>
      </c>
      <c r="O129" s="1">
        <f t="shared" si="7"/>
        <v>0.45410064243420395</v>
      </c>
      <c r="P129" s="1">
        <f t="shared" si="7"/>
        <v>0.45410064243420395</v>
      </c>
    </row>
    <row r="130" spans="1:16" x14ac:dyDescent="0.3">
      <c r="A130" s="5">
        <v>42324</v>
      </c>
      <c r="B130" s="4">
        <v>1291000</v>
      </c>
      <c r="C130" s="4">
        <v>1291000</v>
      </c>
      <c r="D130" s="4">
        <v>1263000</v>
      </c>
      <c r="E130" s="4">
        <v>1263000</v>
      </c>
      <c r="F130" s="4"/>
      <c r="G130" s="1">
        <f t="shared" si="5"/>
        <v>1277000</v>
      </c>
      <c r="H130" s="1">
        <f t="shared" si="6"/>
        <v>1.0109631949882538</v>
      </c>
      <c r="I130" s="1">
        <f t="shared" si="6"/>
        <v>1.0109631949882538</v>
      </c>
      <c r="J130" s="1">
        <f t="shared" si="6"/>
        <v>0.98903680501174629</v>
      </c>
      <c r="K130" s="1">
        <f t="shared" si="4"/>
        <v>0.98903680501174629</v>
      </c>
      <c r="M130" s="1">
        <f t="shared" si="7"/>
        <v>0.67485522066989689</v>
      </c>
      <c r="N130" s="1">
        <f t="shared" si="7"/>
        <v>0.67485522066989689</v>
      </c>
      <c r="O130" s="1">
        <f t="shared" si="7"/>
        <v>0.39761710260386818</v>
      </c>
      <c r="P130" s="1">
        <f t="shared" si="7"/>
        <v>0.39761710260386818</v>
      </c>
    </row>
    <row r="131" spans="1:16" x14ac:dyDescent="0.3">
      <c r="A131" s="5">
        <v>42325</v>
      </c>
      <c r="B131" s="4">
        <v>1275000</v>
      </c>
      <c r="C131" s="4">
        <v>1290000</v>
      </c>
      <c r="D131" s="4">
        <v>1270000</v>
      </c>
      <c r="E131" s="4">
        <v>1270000</v>
      </c>
      <c r="F131" s="4"/>
      <c r="G131" s="1">
        <f t="shared" si="5"/>
        <v>1276250</v>
      </c>
      <c r="H131" s="1">
        <f t="shared" si="6"/>
        <v>0.99902056807051909</v>
      </c>
      <c r="I131" s="1">
        <f t="shared" si="6"/>
        <v>1.0107737512242898</v>
      </c>
      <c r="J131" s="1">
        <f t="shared" si="6"/>
        <v>0.99510284035259544</v>
      </c>
      <c r="K131" s="1">
        <f t="shared" si="4"/>
        <v>0.99510284035259544</v>
      </c>
      <c r="M131" s="1">
        <f t="shared" si="7"/>
        <v>0.52385218665540989</v>
      </c>
      <c r="N131" s="1">
        <f t="shared" si="7"/>
        <v>0.67245988643307075</v>
      </c>
      <c r="O131" s="1">
        <f t="shared" si="7"/>
        <v>0.47431628672952192</v>
      </c>
      <c r="P131" s="1">
        <f t="shared" si="7"/>
        <v>0.47431628672952192</v>
      </c>
    </row>
    <row r="132" spans="1:16" x14ac:dyDescent="0.3">
      <c r="A132" s="5">
        <v>42326</v>
      </c>
      <c r="B132" s="4">
        <v>1272000</v>
      </c>
      <c r="C132" s="4">
        <v>1290000</v>
      </c>
      <c r="D132" s="4">
        <v>1272000</v>
      </c>
      <c r="E132" s="4">
        <v>1281000</v>
      </c>
      <c r="F132" s="4"/>
      <c r="G132" s="1">
        <f t="shared" si="5"/>
        <v>1278750</v>
      </c>
      <c r="H132" s="1">
        <f t="shared" si="6"/>
        <v>0.99472140762463346</v>
      </c>
      <c r="I132" s="1">
        <f t="shared" si="6"/>
        <v>1.0087976539589443</v>
      </c>
      <c r="J132" s="1">
        <f t="shared" si="6"/>
        <v>0.99472140762463346</v>
      </c>
      <c r="K132" s="1">
        <f t="shared" si="6"/>
        <v>1.0017595307917888</v>
      </c>
      <c r="M132" s="1">
        <f t="shared" si="7"/>
        <v>0.46949343664876209</v>
      </c>
      <c r="N132" s="1">
        <f t="shared" si="7"/>
        <v>0.64747403661708192</v>
      </c>
      <c r="O132" s="1">
        <f t="shared" si="7"/>
        <v>0.46949343664876209</v>
      </c>
      <c r="P132" s="1">
        <f t="shared" si="7"/>
        <v>0.55848373663292128</v>
      </c>
    </row>
    <row r="133" spans="1:16" x14ac:dyDescent="0.3">
      <c r="A133" s="5">
        <v>42327</v>
      </c>
      <c r="B133" s="4">
        <v>1290000</v>
      </c>
      <c r="C133" s="4">
        <v>1290000</v>
      </c>
      <c r="D133" s="4">
        <v>1271000</v>
      </c>
      <c r="E133" s="4">
        <v>1289000</v>
      </c>
      <c r="F133" s="4"/>
      <c r="G133" s="1">
        <f t="shared" ref="G133:G196" si="8">AVERAGE(B133:E133)</f>
        <v>1285000</v>
      </c>
      <c r="H133" s="1">
        <f t="shared" ref="H133:K196" si="9">B133/$G133</f>
        <v>1.0038910505836576</v>
      </c>
      <c r="I133" s="1">
        <f t="shared" si="9"/>
        <v>1.0038910505836576</v>
      </c>
      <c r="J133" s="1">
        <f t="shared" si="9"/>
        <v>0.98910505836575879</v>
      </c>
      <c r="K133" s="1">
        <f t="shared" si="9"/>
        <v>1.0031128404669261</v>
      </c>
      <c r="M133" s="1">
        <f t="shared" si="7"/>
        <v>0.58543475485121144</v>
      </c>
      <c r="N133" s="1">
        <f t="shared" si="7"/>
        <v>0.58543475485121144</v>
      </c>
      <c r="O133" s="1">
        <f t="shared" si="7"/>
        <v>0.39848010063675893</v>
      </c>
      <c r="P133" s="1">
        <f t="shared" ref="P133:P196" si="10">(K133 - $K$1) / ($K$2 - $K$1)</f>
        <v>0.57559503620834551</v>
      </c>
    </row>
    <row r="134" spans="1:16" x14ac:dyDescent="0.3">
      <c r="A134" s="5">
        <v>42328</v>
      </c>
      <c r="B134" s="4">
        <v>1289000</v>
      </c>
      <c r="C134" s="4">
        <v>1296000</v>
      </c>
      <c r="D134" s="4">
        <v>1278000</v>
      </c>
      <c r="E134" s="4">
        <v>1285000</v>
      </c>
      <c r="F134" s="4"/>
      <c r="G134" s="1">
        <f t="shared" si="8"/>
        <v>1287000</v>
      </c>
      <c r="H134" s="1">
        <f t="shared" si="9"/>
        <v>1.0015540015540016</v>
      </c>
      <c r="I134" s="1">
        <f t="shared" si="9"/>
        <v>1.0069930069930071</v>
      </c>
      <c r="J134" s="1">
        <f t="shared" si="9"/>
        <v>0.99300699300699302</v>
      </c>
      <c r="K134" s="1">
        <f t="shared" si="9"/>
        <v>0.99844599844599846</v>
      </c>
      <c r="M134" s="1">
        <f t="shared" ref="M134:P197" si="11">(H134 - $K$1) / ($K$2 - $K$1)</f>
        <v>0.55588501704649107</v>
      </c>
      <c r="N134" s="1">
        <f t="shared" si="11"/>
        <v>0.62465601098011903</v>
      </c>
      <c r="O134" s="1">
        <f t="shared" si="11"/>
        <v>0.44781631229364599</v>
      </c>
      <c r="P134" s="1">
        <f t="shared" si="10"/>
        <v>0.516587306227274</v>
      </c>
    </row>
    <row r="135" spans="1:16" x14ac:dyDescent="0.3">
      <c r="A135" s="5">
        <v>42331</v>
      </c>
      <c r="B135" s="4">
        <v>1285000</v>
      </c>
      <c r="C135" s="4">
        <v>1302000</v>
      </c>
      <c r="D135" s="4">
        <v>1281000</v>
      </c>
      <c r="E135" s="4">
        <v>1282000</v>
      </c>
      <c r="F135" s="4"/>
      <c r="G135" s="1">
        <f t="shared" si="8"/>
        <v>1287500</v>
      </c>
      <c r="H135" s="1">
        <f t="shared" si="9"/>
        <v>0.99805825242718449</v>
      </c>
      <c r="I135" s="1">
        <f t="shared" si="9"/>
        <v>1.0112621359223302</v>
      </c>
      <c r="J135" s="1">
        <f t="shared" si="9"/>
        <v>0.99495145631067961</v>
      </c>
      <c r="K135" s="1">
        <f t="shared" si="9"/>
        <v>0.99572815533980585</v>
      </c>
      <c r="M135" s="1">
        <f t="shared" si="11"/>
        <v>0.51168463065419711</v>
      </c>
      <c r="N135" s="1">
        <f t="shared" si="11"/>
        <v>0.67863504133645536</v>
      </c>
      <c r="O135" s="1">
        <f t="shared" si="11"/>
        <v>0.47240218108190085</v>
      </c>
      <c r="P135" s="1">
        <f t="shared" si="10"/>
        <v>0.48222279347497526</v>
      </c>
    </row>
    <row r="136" spans="1:16" x14ac:dyDescent="0.3">
      <c r="A136" s="5">
        <v>42332</v>
      </c>
      <c r="B136" s="4">
        <v>1282000</v>
      </c>
      <c r="C136" s="4">
        <v>1305000</v>
      </c>
      <c r="D136" s="4">
        <v>1282000</v>
      </c>
      <c r="E136" s="4">
        <v>1299000</v>
      </c>
      <c r="F136" s="4"/>
      <c r="G136" s="1">
        <f t="shared" si="8"/>
        <v>1292000</v>
      </c>
      <c r="H136" s="1">
        <f t="shared" si="9"/>
        <v>0.99226006191950467</v>
      </c>
      <c r="I136" s="1">
        <f t="shared" si="9"/>
        <v>1.0100619195046439</v>
      </c>
      <c r="J136" s="1">
        <f t="shared" si="9"/>
        <v>0.99226006191950467</v>
      </c>
      <c r="K136" s="1">
        <f t="shared" si="9"/>
        <v>1.0054179566563468</v>
      </c>
      <c r="M136" s="1">
        <f t="shared" si="11"/>
        <v>0.43837208689939949</v>
      </c>
      <c r="N136" s="1">
        <f t="shared" si="11"/>
        <v>0.66345945879560786</v>
      </c>
      <c r="O136" s="1">
        <f t="shared" si="11"/>
        <v>0.43837208689939949</v>
      </c>
      <c r="P136" s="1">
        <f t="shared" si="10"/>
        <v>0.60474101395312041</v>
      </c>
    </row>
    <row r="137" spans="1:16" x14ac:dyDescent="0.3">
      <c r="A137" s="5">
        <v>42333</v>
      </c>
      <c r="B137" s="4">
        <v>1300000</v>
      </c>
      <c r="C137" s="4">
        <v>1310000</v>
      </c>
      <c r="D137" s="4">
        <v>1299000</v>
      </c>
      <c r="E137" s="4">
        <v>1299000</v>
      </c>
      <c r="F137" s="4"/>
      <c r="G137" s="1">
        <f t="shared" si="8"/>
        <v>1302000</v>
      </c>
      <c r="H137" s="1">
        <f t="shared" si="9"/>
        <v>0.99846390168970811</v>
      </c>
      <c r="I137" s="1">
        <f t="shared" si="9"/>
        <v>1.0061443932411673</v>
      </c>
      <c r="J137" s="1">
        <f t="shared" si="9"/>
        <v>0.99769585253456217</v>
      </c>
      <c r="K137" s="1">
        <f t="shared" si="9"/>
        <v>0.99769585253456217</v>
      </c>
      <c r="M137" s="1">
        <f t="shared" si="11"/>
        <v>0.51681367552922741</v>
      </c>
      <c r="N137" s="1">
        <f t="shared" si="11"/>
        <v>0.61392610606749654</v>
      </c>
      <c r="O137" s="1">
        <f t="shared" si="11"/>
        <v>0.50710243247540021</v>
      </c>
      <c r="P137" s="1">
        <f t="shared" si="10"/>
        <v>0.50710243247540021</v>
      </c>
    </row>
    <row r="138" spans="1:16" x14ac:dyDescent="0.3">
      <c r="A138" s="5">
        <v>42334</v>
      </c>
      <c r="B138" s="4">
        <v>1299000</v>
      </c>
      <c r="C138" s="4">
        <v>1340000</v>
      </c>
      <c r="D138" s="4">
        <v>1299000</v>
      </c>
      <c r="E138" s="4">
        <v>1335000</v>
      </c>
      <c r="F138" s="4"/>
      <c r="G138" s="1">
        <f t="shared" si="8"/>
        <v>1318250</v>
      </c>
      <c r="H138" s="1">
        <f t="shared" si="9"/>
        <v>0.98539730703584294</v>
      </c>
      <c r="I138" s="1">
        <f t="shared" si="9"/>
        <v>1.0164991465958657</v>
      </c>
      <c r="J138" s="1">
        <f t="shared" si="9"/>
        <v>0.98539730703584294</v>
      </c>
      <c r="K138" s="1">
        <f t="shared" si="9"/>
        <v>1.0127062393324484</v>
      </c>
      <c r="M138" s="1">
        <f t="shared" si="11"/>
        <v>0.35159915023571092</v>
      </c>
      <c r="N138" s="1">
        <f t="shared" si="11"/>
        <v>0.74485200568755472</v>
      </c>
      <c r="O138" s="1">
        <f t="shared" si="11"/>
        <v>0.35159915023571092</v>
      </c>
      <c r="P138" s="1">
        <f t="shared" si="10"/>
        <v>0.6968943403885508</v>
      </c>
    </row>
    <row r="139" spans="1:16" x14ac:dyDescent="0.3">
      <c r="A139" s="5">
        <v>42335</v>
      </c>
      <c r="B139" s="4">
        <v>1345000</v>
      </c>
      <c r="C139" s="4">
        <v>1349000</v>
      </c>
      <c r="D139" s="4">
        <v>1327000</v>
      </c>
      <c r="E139" s="4">
        <v>1327000</v>
      </c>
      <c r="F139" s="4"/>
      <c r="G139" s="1">
        <f t="shared" si="8"/>
        <v>1337000</v>
      </c>
      <c r="H139" s="1">
        <f t="shared" si="9"/>
        <v>1.005983545250561</v>
      </c>
      <c r="I139" s="1">
        <f t="shared" si="9"/>
        <v>1.0089753178758414</v>
      </c>
      <c r="J139" s="1">
        <f t="shared" si="9"/>
        <v>0.99252056843679881</v>
      </c>
      <c r="K139" s="1">
        <f t="shared" si="9"/>
        <v>0.99252056843679881</v>
      </c>
      <c r="M139" s="1">
        <f t="shared" si="11"/>
        <v>0.61189233788868636</v>
      </c>
      <c r="N139" s="1">
        <f t="shared" si="11"/>
        <v>0.64972042601458724</v>
      </c>
      <c r="O139" s="1">
        <f t="shared" si="11"/>
        <v>0.44166594132212683</v>
      </c>
      <c r="P139" s="1">
        <f t="shared" si="10"/>
        <v>0.44166594132212683</v>
      </c>
    </row>
    <row r="140" spans="1:16" x14ac:dyDescent="0.3">
      <c r="A140" s="5">
        <v>42338</v>
      </c>
      <c r="B140" s="4">
        <v>1325000</v>
      </c>
      <c r="C140" s="4">
        <v>1325000</v>
      </c>
      <c r="D140" s="4">
        <v>1284000</v>
      </c>
      <c r="E140" s="4">
        <v>1284000</v>
      </c>
      <c r="F140" s="4"/>
      <c r="G140" s="1">
        <f t="shared" si="8"/>
        <v>1304500</v>
      </c>
      <c r="H140" s="1">
        <f t="shared" si="9"/>
        <v>1.0157148332694519</v>
      </c>
      <c r="I140" s="1">
        <f t="shared" si="9"/>
        <v>1.0157148332694519</v>
      </c>
      <c r="J140" s="1">
        <f t="shared" si="9"/>
        <v>0.98428516673054811</v>
      </c>
      <c r="K140" s="1">
        <f t="shared" si="9"/>
        <v>0.98428516673054811</v>
      </c>
      <c r="M140" s="1">
        <f t="shared" si="11"/>
        <v>0.73493511782676013</v>
      </c>
      <c r="N140" s="1">
        <f t="shared" si="11"/>
        <v>0.73493511782676013</v>
      </c>
      <c r="O140" s="1">
        <f t="shared" si="11"/>
        <v>0.3375372054470035</v>
      </c>
      <c r="P140" s="1">
        <f t="shared" si="10"/>
        <v>0.3375372054470035</v>
      </c>
    </row>
    <row r="141" spans="1:16" x14ac:dyDescent="0.3">
      <c r="A141" s="5">
        <v>42339</v>
      </c>
      <c r="B141" s="4">
        <v>1294000</v>
      </c>
      <c r="C141" s="4">
        <v>1322000</v>
      </c>
      <c r="D141" s="4">
        <v>1288000</v>
      </c>
      <c r="E141" s="4">
        <v>1321000</v>
      </c>
      <c r="F141" s="4"/>
      <c r="G141" s="1">
        <f t="shared" si="8"/>
        <v>1306250</v>
      </c>
      <c r="H141" s="1">
        <f t="shared" si="9"/>
        <v>0.99062200956937796</v>
      </c>
      <c r="I141" s="1">
        <f t="shared" si="9"/>
        <v>1.0120574162679425</v>
      </c>
      <c r="J141" s="1">
        <f t="shared" si="9"/>
        <v>0.98602870813397125</v>
      </c>
      <c r="K141" s="1">
        <f t="shared" si="9"/>
        <v>1.0112918660287082</v>
      </c>
      <c r="M141" s="1">
        <f t="shared" si="11"/>
        <v>0.41766048999132066</v>
      </c>
      <c r="N141" s="1">
        <f t="shared" si="11"/>
        <v>0.68869059660974519</v>
      </c>
      <c r="O141" s="1">
        <f t="shared" si="11"/>
        <v>0.3595826100016582</v>
      </c>
      <c r="P141" s="1">
        <f t="shared" si="10"/>
        <v>0.67901094994480327</v>
      </c>
    </row>
    <row r="142" spans="1:16" x14ac:dyDescent="0.3">
      <c r="A142" s="5">
        <v>42340</v>
      </c>
      <c r="B142" s="4">
        <v>1321000</v>
      </c>
      <c r="C142" s="4">
        <v>1322000</v>
      </c>
      <c r="D142" s="4">
        <v>1294000</v>
      </c>
      <c r="E142" s="4">
        <v>1300000</v>
      </c>
      <c r="F142" s="4"/>
      <c r="G142" s="1">
        <f t="shared" si="8"/>
        <v>1309250</v>
      </c>
      <c r="H142" s="1">
        <f t="shared" si="9"/>
        <v>1.0089746037807905</v>
      </c>
      <c r="I142" s="1">
        <f t="shared" si="9"/>
        <v>1.0097383998472409</v>
      </c>
      <c r="J142" s="1">
        <f t="shared" si="9"/>
        <v>0.98835210998663359</v>
      </c>
      <c r="K142" s="1">
        <f t="shared" si="9"/>
        <v>0.99293488638533511</v>
      </c>
      <c r="M142" s="1">
        <f t="shared" si="11"/>
        <v>0.64971139696930269</v>
      </c>
      <c r="N142" s="1">
        <f t="shared" si="11"/>
        <v>0.65936886380610615</v>
      </c>
      <c r="O142" s="1">
        <f t="shared" si="11"/>
        <v>0.38895979237565464</v>
      </c>
      <c r="P142" s="1">
        <f t="shared" si="10"/>
        <v>0.44690459339646516</v>
      </c>
    </row>
    <row r="143" spans="1:16" x14ac:dyDescent="0.3">
      <c r="A143" s="5">
        <v>42341</v>
      </c>
      <c r="B143" s="4">
        <v>1295000</v>
      </c>
      <c r="C143" s="4">
        <v>1297000</v>
      </c>
      <c r="D143" s="4">
        <v>1286000</v>
      </c>
      <c r="E143" s="4">
        <v>1290000</v>
      </c>
      <c r="F143" s="4"/>
      <c r="G143" s="1">
        <f t="shared" si="8"/>
        <v>1292000</v>
      </c>
      <c r="H143" s="1">
        <f t="shared" si="9"/>
        <v>1.0023219814241486</v>
      </c>
      <c r="I143" s="1">
        <f t="shared" si="9"/>
        <v>1.0038699690402477</v>
      </c>
      <c r="J143" s="1">
        <f t="shared" si="9"/>
        <v>0.99535603715170273</v>
      </c>
      <c r="K143" s="1">
        <f t="shared" si="9"/>
        <v>0.99845201238390091</v>
      </c>
      <c r="M143" s="1">
        <f t="shared" si="11"/>
        <v>0.56559538405812693</v>
      </c>
      <c r="N143" s="1">
        <f t="shared" si="11"/>
        <v>0.58516819900562367</v>
      </c>
      <c r="O143" s="1">
        <f t="shared" si="11"/>
        <v>0.47751771679439159</v>
      </c>
      <c r="P143" s="1">
        <f t="shared" si="10"/>
        <v>0.51666334668938507</v>
      </c>
    </row>
    <row r="144" spans="1:16" x14ac:dyDescent="0.3">
      <c r="A144" s="5">
        <v>42342</v>
      </c>
      <c r="B144" s="4">
        <v>1275000</v>
      </c>
      <c r="C144" s="4">
        <v>1280000</v>
      </c>
      <c r="D144" s="4">
        <v>1267000</v>
      </c>
      <c r="E144" s="4">
        <v>1269000</v>
      </c>
      <c r="F144" s="4"/>
      <c r="G144" s="1">
        <f t="shared" si="8"/>
        <v>1272750</v>
      </c>
      <c r="H144" s="1">
        <f t="shared" si="9"/>
        <v>1.0017678255745432</v>
      </c>
      <c r="I144" s="1">
        <f t="shared" si="9"/>
        <v>1.0056963268513062</v>
      </c>
      <c r="J144" s="1">
        <f t="shared" si="9"/>
        <v>0.99548222353172267</v>
      </c>
      <c r="K144" s="1">
        <f t="shared" si="9"/>
        <v>0.99705362404242781</v>
      </c>
      <c r="M144" s="1">
        <f t="shared" si="11"/>
        <v>0.55858861618505318</v>
      </c>
      <c r="N144" s="1">
        <f t="shared" si="11"/>
        <v>0.60826073740321374</v>
      </c>
      <c r="O144" s="1">
        <f t="shared" si="11"/>
        <v>0.4791132222359975</v>
      </c>
      <c r="P144" s="1">
        <f t="shared" si="10"/>
        <v>0.49898207072326139</v>
      </c>
    </row>
    <row r="145" spans="1:16" x14ac:dyDescent="0.3">
      <c r="A145" s="5">
        <v>42345</v>
      </c>
      <c r="B145" s="4">
        <v>1269000</v>
      </c>
      <c r="C145" s="4">
        <v>1275000</v>
      </c>
      <c r="D145" s="4">
        <v>1262000</v>
      </c>
      <c r="E145" s="4">
        <v>1262000</v>
      </c>
      <c r="F145" s="4"/>
      <c r="G145" s="1">
        <f t="shared" si="8"/>
        <v>1267000</v>
      </c>
      <c r="H145" s="1">
        <f t="shared" si="9"/>
        <v>1.0015785319652724</v>
      </c>
      <c r="I145" s="1">
        <f t="shared" si="9"/>
        <v>1.0063141278610892</v>
      </c>
      <c r="J145" s="1">
        <f t="shared" si="9"/>
        <v>0.99605367008681922</v>
      </c>
      <c r="K145" s="1">
        <f t="shared" si="9"/>
        <v>0.99605367008681922</v>
      </c>
      <c r="M145" s="1">
        <f t="shared" si="11"/>
        <v>0.55619518050994132</v>
      </c>
      <c r="N145" s="1">
        <f t="shared" si="11"/>
        <v>0.61607223712911718</v>
      </c>
      <c r="O145" s="1">
        <f t="shared" si="11"/>
        <v>0.48633861445423432</v>
      </c>
      <c r="P145" s="1">
        <f t="shared" si="10"/>
        <v>0.48633861445423432</v>
      </c>
    </row>
    <row r="146" spans="1:16" x14ac:dyDescent="0.3">
      <c r="A146" s="5">
        <v>42346</v>
      </c>
      <c r="B146" s="4">
        <v>1262000</v>
      </c>
      <c r="C146" s="4">
        <v>1272000</v>
      </c>
      <c r="D146" s="4">
        <v>1262000</v>
      </c>
      <c r="E146" s="4">
        <v>1262000</v>
      </c>
      <c r="F146" s="4"/>
      <c r="G146" s="1">
        <f t="shared" si="8"/>
        <v>1264500</v>
      </c>
      <c r="H146" s="1">
        <f t="shared" si="9"/>
        <v>0.99802293396599451</v>
      </c>
      <c r="I146" s="1">
        <f t="shared" si="9"/>
        <v>1.0059311981020167</v>
      </c>
      <c r="J146" s="1">
        <f t="shared" si="9"/>
        <v>0.99802293396599451</v>
      </c>
      <c r="K146" s="1">
        <f t="shared" si="9"/>
        <v>0.99802293396599451</v>
      </c>
      <c r="M146" s="1">
        <f t="shared" si="11"/>
        <v>0.51123806267270133</v>
      </c>
      <c r="N146" s="1">
        <f t="shared" si="11"/>
        <v>0.61123045852942604</v>
      </c>
      <c r="O146" s="1">
        <f t="shared" si="11"/>
        <v>0.51123806267270133</v>
      </c>
      <c r="P146" s="1">
        <f t="shared" si="10"/>
        <v>0.51123806267270133</v>
      </c>
    </row>
    <row r="147" spans="1:16" x14ac:dyDescent="0.3">
      <c r="A147" s="5">
        <v>42347</v>
      </c>
      <c r="B147" s="4">
        <v>1262000</v>
      </c>
      <c r="C147" s="4">
        <v>1275000</v>
      </c>
      <c r="D147" s="4">
        <v>1262000</v>
      </c>
      <c r="E147" s="4">
        <v>1263000</v>
      </c>
      <c r="F147" s="4"/>
      <c r="G147" s="1">
        <f t="shared" si="8"/>
        <v>1265500</v>
      </c>
      <c r="H147" s="1">
        <f t="shared" si="9"/>
        <v>0.99723429474516001</v>
      </c>
      <c r="I147" s="1">
        <f t="shared" si="9"/>
        <v>1.0075069142631372</v>
      </c>
      <c r="J147" s="1">
        <f t="shared" si="9"/>
        <v>0.99723429474516001</v>
      </c>
      <c r="K147" s="1">
        <f t="shared" si="9"/>
        <v>0.99802449624654288</v>
      </c>
      <c r="M147" s="1">
        <f t="shared" si="11"/>
        <v>0.50126647803649482</v>
      </c>
      <c r="N147" s="1">
        <f t="shared" si="11"/>
        <v>0.63115387426650482</v>
      </c>
      <c r="O147" s="1">
        <f t="shared" si="11"/>
        <v>0.50126647803649482</v>
      </c>
      <c r="P147" s="1">
        <f t="shared" si="10"/>
        <v>0.51125781620803423</v>
      </c>
    </row>
    <row r="148" spans="1:16" x14ac:dyDescent="0.3">
      <c r="A148" s="5">
        <v>42348</v>
      </c>
      <c r="B148" s="4">
        <v>1263000</v>
      </c>
      <c r="C148" s="4">
        <v>1293000</v>
      </c>
      <c r="D148" s="4">
        <v>1263000</v>
      </c>
      <c r="E148" s="4">
        <v>1283000</v>
      </c>
      <c r="F148" s="4"/>
      <c r="G148" s="1">
        <f t="shared" si="8"/>
        <v>1275500</v>
      </c>
      <c r="H148" s="1">
        <f t="shared" si="9"/>
        <v>0.99019992159937276</v>
      </c>
      <c r="I148" s="1">
        <f t="shared" si="9"/>
        <v>1.0137201097608781</v>
      </c>
      <c r="J148" s="1">
        <f t="shared" si="9"/>
        <v>0.99019992159937276</v>
      </c>
      <c r="K148" s="1">
        <f t="shared" si="9"/>
        <v>1.0058800470403764</v>
      </c>
      <c r="M148" s="1">
        <f t="shared" si="11"/>
        <v>0.41232359346672498</v>
      </c>
      <c r="N148" s="1">
        <f t="shared" si="11"/>
        <v>0.70971375707510109</v>
      </c>
      <c r="O148" s="1">
        <f t="shared" si="11"/>
        <v>0.41232359346672498</v>
      </c>
      <c r="P148" s="1">
        <f t="shared" si="10"/>
        <v>0.6105837025389762</v>
      </c>
    </row>
    <row r="149" spans="1:16" x14ac:dyDescent="0.3">
      <c r="A149" s="5">
        <v>42349</v>
      </c>
      <c r="B149" s="4">
        <v>1283000</v>
      </c>
      <c r="C149" s="4">
        <v>1295000</v>
      </c>
      <c r="D149" s="4">
        <v>1272000</v>
      </c>
      <c r="E149" s="4">
        <v>1284000</v>
      </c>
      <c r="F149" s="4"/>
      <c r="G149" s="1">
        <f t="shared" si="8"/>
        <v>1283500</v>
      </c>
      <c r="H149" s="1">
        <f t="shared" si="9"/>
        <v>0.99961044020257106</v>
      </c>
      <c r="I149" s="1">
        <f t="shared" si="9"/>
        <v>1.0089598753408648</v>
      </c>
      <c r="J149" s="1">
        <f t="shared" si="9"/>
        <v>0.99104012465913516</v>
      </c>
      <c r="K149" s="1">
        <f t="shared" si="9"/>
        <v>1.0003895597974288</v>
      </c>
      <c r="M149" s="1">
        <f t="shared" si="11"/>
        <v>0.53131055257724646</v>
      </c>
      <c r="N149" s="1">
        <f t="shared" si="11"/>
        <v>0.64952517000848442</v>
      </c>
      <c r="O149" s="1">
        <f t="shared" si="11"/>
        <v>0.42294715326527921</v>
      </c>
      <c r="P149" s="1">
        <f t="shared" si="10"/>
        <v>0.54116177069651572</v>
      </c>
    </row>
    <row r="150" spans="1:16" x14ac:dyDescent="0.3">
      <c r="A150" s="5">
        <v>42352</v>
      </c>
      <c r="B150" s="4">
        <v>1273000</v>
      </c>
      <c r="C150" s="4">
        <v>1273000</v>
      </c>
      <c r="D150" s="4">
        <v>1255000</v>
      </c>
      <c r="E150" s="4">
        <v>1261000</v>
      </c>
      <c r="F150" s="4"/>
      <c r="G150" s="1">
        <f t="shared" si="8"/>
        <v>1265500</v>
      </c>
      <c r="H150" s="1">
        <f t="shared" si="9"/>
        <v>1.0059265112603715</v>
      </c>
      <c r="I150" s="1">
        <f t="shared" si="9"/>
        <v>1.0059265112603715</v>
      </c>
      <c r="J150" s="1">
        <f t="shared" si="9"/>
        <v>0.99170288423548003</v>
      </c>
      <c r="K150" s="1">
        <f t="shared" si="9"/>
        <v>0.99644409324377714</v>
      </c>
      <c r="M150" s="1">
        <f t="shared" si="11"/>
        <v>0.61117119792342611</v>
      </c>
      <c r="N150" s="1">
        <f t="shared" si="11"/>
        <v>0.61117119792342611</v>
      </c>
      <c r="O150" s="1">
        <f t="shared" si="11"/>
        <v>0.43132711083572089</v>
      </c>
      <c r="P150" s="1">
        <f t="shared" si="10"/>
        <v>0.49127513986495552</v>
      </c>
    </row>
    <row r="151" spans="1:16" x14ac:dyDescent="0.3">
      <c r="A151" s="5">
        <v>42353</v>
      </c>
      <c r="B151" s="4">
        <v>1261000</v>
      </c>
      <c r="C151" s="4">
        <v>1280000</v>
      </c>
      <c r="D151" s="4">
        <v>1260000</v>
      </c>
      <c r="E151" s="4">
        <v>1277000</v>
      </c>
      <c r="F151" s="4"/>
      <c r="G151" s="1">
        <f t="shared" si="8"/>
        <v>1269500</v>
      </c>
      <c r="H151" s="1">
        <f t="shared" si="9"/>
        <v>0.99330445057109096</v>
      </c>
      <c r="I151" s="1">
        <f t="shared" si="9"/>
        <v>1.0082709728239465</v>
      </c>
      <c r="J151" s="1">
        <f t="shared" si="9"/>
        <v>0.99251673887357228</v>
      </c>
      <c r="K151" s="1">
        <f t="shared" si="9"/>
        <v>1.0059078377313904</v>
      </c>
      <c r="M151" s="1">
        <f t="shared" si="11"/>
        <v>0.45157737717315299</v>
      </c>
      <c r="N151" s="1">
        <f t="shared" si="11"/>
        <v>0.64081466009207688</v>
      </c>
      <c r="O151" s="1">
        <f t="shared" si="11"/>
        <v>0.44161752017742056</v>
      </c>
      <c r="P151" s="1">
        <f t="shared" si="10"/>
        <v>0.61093508910487826</v>
      </c>
    </row>
    <row r="152" spans="1:16" x14ac:dyDescent="0.3">
      <c r="A152" s="5">
        <v>42354</v>
      </c>
      <c r="B152" s="4">
        <v>1278000</v>
      </c>
      <c r="C152" s="4">
        <v>1310000</v>
      </c>
      <c r="D152" s="4">
        <v>1278000</v>
      </c>
      <c r="E152" s="4">
        <v>1299000</v>
      </c>
      <c r="F152" s="4"/>
      <c r="G152" s="1">
        <f t="shared" si="8"/>
        <v>1291250</v>
      </c>
      <c r="H152" s="1">
        <f t="shared" si="9"/>
        <v>0.98973862536302037</v>
      </c>
      <c r="I152" s="1">
        <f t="shared" si="9"/>
        <v>1.0145208131655372</v>
      </c>
      <c r="J152" s="1">
        <f t="shared" si="9"/>
        <v>0.98973862536302037</v>
      </c>
      <c r="K152" s="1">
        <f t="shared" si="9"/>
        <v>1.006001936108422</v>
      </c>
      <c r="M152" s="1">
        <f t="shared" si="11"/>
        <v>0.40649094611463926</v>
      </c>
      <c r="N152" s="1">
        <f t="shared" si="11"/>
        <v>0.71983788171552709</v>
      </c>
      <c r="O152" s="1">
        <f t="shared" si="11"/>
        <v>0.40649094611463926</v>
      </c>
      <c r="P152" s="1">
        <f t="shared" si="10"/>
        <v>0.61212487260272164</v>
      </c>
    </row>
    <row r="153" spans="1:16" x14ac:dyDescent="0.3">
      <c r="A153" s="5">
        <v>42355</v>
      </c>
      <c r="B153" s="4">
        <v>1301000</v>
      </c>
      <c r="C153" s="4">
        <v>1308000</v>
      </c>
      <c r="D153" s="4">
        <v>1275000</v>
      </c>
      <c r="E153" s="4">
        <v>1290000</v>
      </c>
      <c r="F153" s="4"/>
      <c r="G153" s="1">
        <f t="shared" si="8"/>
        <v>1293500</v>
      </c>
      <c r="H153" s="1">
        <f t="shared" si="9"/>
        <v>1.0057982218786239</v>
      </c>
      <c r="I153" s="1">
        <f t="shared" si="9"/>
        <v>1.0112098956320061</v>
      </c>
      <c r="J153" s="1">
        <f t="shared" si="9"/>
        <v>0.9856977193660611</v>
      </c>
      <c r="K153" s="1">
        <f t="shared" si="9"/>
        <v>0.99729416312330887</v>
      </c>
      <c r="M153" s="1">
        <f t="shared" si="11"/>
        <v>0.60954910204710266</v>
      </c>
      <c r="N153" s="1">
        <f t="shared" si="11"/>
        <v>0.67797451309664147</v>
      </c>
      <c r="O153" s="1">
        <f t="shared" si="11"/>
        <v>0.35539757529167071</v>
      </c>
      <c r="P153" s="1">
        <f t="shared" si="10"/>
        <v>0.50202345611211241</v>
      </c>
    </row>
    <row r="154" spans="1:16" x14ac:dyDescent="0.3">
      <c r="A154" s="5">
        <v>42356</v>
      </c>
      <c r="B154" s="4">
        <v>1265000</v>
      </c>
      <c r="C154" s="4">
        <v>1288000</v>
      </c>
      <c r="D154" s="4">
        <v>1264000</v>
      </c>
      <c r="E154" s="4">
        <v>1278000</v>
      </c>
      <c r="F154" s="4"/>
      <c r="G154" s="1">
        <f t="shared" si="8"/>
        <v>1273750</v>
      </c>
      <c r="H154" s="1">
        <f t="shared" si="9"/>
        <v>0.99313052011776248</v>
      </c>
      <c r="I154" s="1">
        <f t="shared" si="9"/>
        <v>1.0111874386653581</v>
      </c>
      <c r="J154" s="1">
        <f t="shared" si="9"/>
        <v>0.99234543670264963</v>
      </c>
      <c r="K154" s="1">
        <f t="shared" si="9"/>
        <v>1.0033366045142296</v>
      </c>
      <c r="M154" s="1">
        <f t="shared" si="11"/>
        <v>0.44937819383258382</v>
      </c>
      <c r="N154" s="1">
        <f t="shared" si="11"/>
        <v>0.67769056634673674</v>
      </c>
      <c r="O154" s="1">
        <f t="shared" si="11"/>
        <v>0.43945156894066417</v>
      </c>
      <c r="P154" s="1">
        <f t="shared" si="10"/>
        <v>0.57842431742753975</v>
      </c>
    </row>
    <row r="155" spans="1:16" x14ac:dyDescent="0.3">
      <c r="A155" s="5">
        <v>42359</v>
      </c>
      <c r="B155" s="4">
        <v>1278000</v>
      </c>
      <c r="C155" s="4">
        <v>1285000</v>
      </c>
      <c r="D155" s="4">
        <v>1261000</v>
      </c>
      <c r="E155" s="4">
        <v>1280000</v>
      </c>
      <c r="F155" s="4"/>
      <c r="G155" s="1">
        <f t="shared" si="8"/>
        <v>1276000</v>
      </c>
      <c r="H155" s="1">
        <f t="shared" si="9"/>
        <v>1.0015673981191222</v>
      </c>
      <c r="I155" s="1">
        <f t="shared" si="9"/>
        <v>1.0070532915360502</v>
      </c>
      <c r="J155" s="1">
        <f t="shared" si="9"/>
        <v>0.98824451410658309</v>
      </c>
      <c r="K155" s="1">
        <f t="shared" si="9"/>
        <v>1.0031347962382444</v>
      </c>
      <c r="M155" s="1">
        <f t="shared" si="11"/>
        <v>0.55605440373105486</v>
      </c>
      <c r="N155" s="1">
        <f t="shared" si="11"/>
        <v>0.62541825106066307</v>
      </c>
      <c r="O155" s="1">
        <f t="shared" si="11"/>
        <v>0.38759934593058015</v>
      </c>
      <c r="P155" s="1">
        <f t="shared" si="10"/>
        <v>0.57587264582522779</v>
      </c>
    </row>
    <row r="156" spans="1:16" x14ac:dyDescent="0.3">
      <c r="A156" s="5">
        <v>42360</v>
      </c>
      <c r="B156" s="4">
        <v>1280000</v>
      </c>
      <c r="C156" s="4">
        <v>1292000</v>
      </c>
      <c r="D156" s="4">
        <v>1267000</v>
      </c>
      <c r="E156" s="4">
        <v>1292000</v>
      </c>
      <c r="F156" s="4"/>
      <c r="G156" s="1">
        <f t="shared" si="8"/>
        <v>1282750</v>
      </c>
      <c r="H156" s="1">
        <f t="shared" si="9"/>
        <v>0.99785616838822844</v>
      </c>
      <c r="I156" s="1">
        <f t="shared" si="9"/>
        <v>1.0072110699668682</v>
      </c>
      <c r="J156" s="1">
        <f t="shared" si="9"/>
        <v>0.98772169167803547</v>
      </c>
      <c r="K156" s="1">
        <f t="shared" si="9"/>
        <v>1.0072110699668682</v>
      </c>
      <c r="M156" s="1">
        <f t="shared" si="11"/>
        <v>0.5091294722942763</v>
      </c>
      <c r="N156" s="1">
        <f t="shared" si="11"/>
        <v>0.62741320760746622</v>
      </c>
      <c r="O156" s="1">
        <f t="shared" si="11"/>
        <v>0.38098875903832147</v>
      </c>
      <c r="P156" s="1">
        <f t="shared" si="10"/>
        <v>0.62741320760746622</v>
      </c>
    </row>
    <row r="157" spans="1:16" x14ac:dyDescent="0.3">
      <c r="A157" s="5">
        <v>42361</v>
      </c>
      <c r="B157" s="4">
        <v>1292000</v>
      </c>
      <c r="C157" s="4">
        <v>1299000</v>
      </c>
      <c r="D157" s="4">
        <v>1282000</v>
      </c>
      <c r="E157" s="4">
        <v>1295000</v>
      </c>
      <c r="F157" s="4"/>
      <c r="G157" s="1">
        <f t="shared" si="8"/>
        <v>1292000</v>
      </c>
      <c r="H157" s="1">
        <f t="shared" si="9"/>
        <v>1</v>
      </c>
      <c r="I157" s="1">
        <f t="shared" si="9"/>
        <v>1.0054179566563468</v>
      </c>
      <c r="J157" s="1">
        <f t="shared" si="9"/>
        <v>0.99226006191950467</v>
      </c>
      <c r="K157" s="1">
        <f t="shared" si="9"/>
        <v>1.0023219814241486</v>
      </c>
      <c r="M157" s="1">
        <f t="shared" si="11"/>
        <v>0.53623616163688181</v>
      </c>
      <c r="N157" s="1">
        <f t="shared" si="11"/>
        <v>0.60474101395312041</v>
      </c>
      <c r="O157" s="1">
        <f t="shared" si="11"/>
        <v>0.43837208689939949</v>
      </c>
      <c r="P157" s="1">
        <f t="shared" si="10"/>
        <v>0.56559538405812693</v>
      </c>
    </row>
    <row r="158" spans="1:16" x14ac:dyDescent="0.3">
      <c r="A158" s="5">
        <v>42362</v>
      </c>
      <c r="B158" s="4">
        <v>1295000</v>
      </c>
      <c r="C158" s="4">
        <v>1300000</v>
      </c>
      <c r="D158" s="4">
        <v>1285000</v>
      </c>
      <c r="E158" s="4">
        <v>1285000</v>
      </c>
      <c r="F158" s="4"/>
      <c r="G158" s="1">
        <f t="shared" si="8"/>
        <v>1291250</v>
      </c>
      <c r="H158" s="1">
        <f t="shared" si="9"/>
        <v>1.0029041626331074</v>
      </c>
      <c r="I158" s="1">
        <f t="shared" si="9"/>
        <v>1.0067763794772506</v>
      </c>
      <c r="J158" s="1">
        <f t="shared" si="9"/>
        <v>0.99515972894482096</v>
      </c>
      <c r="K158" s="1">
        <f t="shared" si="9"/>
        <v>0.99515972894482096</v>
      </c>
      <c r="M158" s="1">
        <f t="shared" si="11"/>
        <v>0.57295650565261091</v>
      </c>
      <c r="N158" s="1">
        <f t="shared" si="11"/>
        <v>0.62191696434024868</v>
      </c>
      <c r="O158" s="1">
        <f t="shared" si="11"/>
        <v>0.47503558827733383</v>
      </c>
      <c r="P158" s="1">
        <f t="shared" si="10"/>
        <v>0.47503558827733383</v>
      </c>
    </row>
    <row r="159" spans="1:16" x14ac:dyDescent="0.3">
      <c r="A159" s="5">
        <v>42366</v>
      </c>
      <c r="B159" s="4">
        <v>1285000</v>
      </c>
      <c r="C159" s="4">
        <v>1289000</v>
      </c>
      <c r="D159" s="4">
        <v>1266000</v>
      </c>
      <c r="E159" s="4">
        <v>1266000</v>
      </c>
      <c r="F159" s="4"/>
      <c r="G159" s="1">
        <f t="shared" si="8"/>
        <v>1276500</v>
      </c>
      <c r="H159" s="1">
        <f t="shared" si="9"/>
        <v>1.0066588327457893</v>
      </c>
      <c r="I159" s="1">
        <f t="shared" si="9"/>
        <v>1.0097924010967489</v>
      </c>
      <c r="J159" s="1">
        <f t="shared" si="9"/>
        <v>0.99177438307873089</v>
      </c>
      <c r="K159" s="1">
        <f t="shared" si="9"/>
        <v>0.99177438307873089</v>
      </c>
      <c r="M159" s="1">
        <f t="shared" si="11"/>
        <v>0.62043069894726444</v>
      </c>
      <c r="N159" s="1">
        <f t="shared" si="11"/>
        <v>0.66005165768156249</v>
      </c>
      <c r="O159" s="1">
        <f t="shared" si="11"/>
        <v>0.43223114495935022</v>
      </c>
      <c r="P159" s="1">
        <f t="shared" si="10"/>
        <v>0.43223114495935022</v>
      </c>
    </row>
    <row r="160" spans="1:16" x14ac:dyDescent="0.3">
      <c r="A160" s="5">
        <v>42367</v>
      </c>
      <c r="B160" s="4">
        <v>1265000</v>
      </c>
      <c r="C160" s="4">
        <v>1266000</v>
      </c>
      <c r="D160" s="4">
        <v>1241000</v>
      </c>
      <c r="E160" s="4">
        <v>1254000</v>
      </c>
      <c r="F160" s="4"/>
      <c r="G160" s="1">
        <f t="shared" si="8"/>
        <v>1256500</v>
      </c>
      <c r="H160" s="1">
        <f t="shared" si="9"/>
        <v>1.0067648229208117</v>
      </c>
      <c r="I160" s="1">
        <f t="shared" si="9"/>
        <v>1.0075606844409073</v>
      </c>
      <c r="J160" s="1">
        <f t="shared" si="9"/>
        <v>0.98766414643851974</v>
      </c>
      <c r="K160" s="1">
        <f t="shared" si="9"/>
        <v>0.99801034619976126</v>
      </c>
      <c r="M160" s="1">
        <f t="shared" si="11"/>
        <v>0.62177084279621508</v>
      </c>
      <c r="N160" s="1">
        <f t="shared" si="11"/>
        <v>0.63183374646202017</v>
      </c>
      <c r="O160" s="1">
        <f t="shared" si="11"/>
        <v>0.38026115481692002</v>
      </c>
      <c r="P160" s="1">
        <f t="shared" si="10"/>
        <v>0.51107890247237198</v>
      </c>
    </row>
    <row r="161" spans="1:16" x14ac:dyDescent="0.3">
      <c r="A161" s="5">
        <v>42368</v>
      </c>
      <c r="B161" s="4">
        <v>1260000</v>
      </c>
      <c r="C161" s="4">
        <v>1272000</v>
      </c>
      <c r="D161" s="4">
        <v>1254000</v>
      </c>
      <c r="E161" s="4">
        <v>1260000</v>
      </c>
      <c r="F161" s="4"/>
      <c r="G161" s="1">
        <f t="shared" si="8"/>
        <v>1261500</v>
      </c>
      <c r="H161" s="1">
        <f t="shared" si="9"/>
        <v>0.99881093935790721</v>
      </c>
      <c r="I161" s="1">
        <f t="shared" si="9"/>
        <v>1.0083234244946493</v>
      </c>
      <c r="J161" s="1">
        <f t="shared" si="9"/>
        <v>0.99405469678953629</v>
      </c>
      <c r="K161" s="1">
        <f t="shared" si="9"/>
        <v>0.99881093935790721</v>
      </c>
      <c r="M161" s="1">
        <f t="shared" si="11"/>
        <v>0.52120163315164614</v>
      </c>
      <c r="N161" s="1">
        <f t="shared" si="11"/>
        <v>0.64147786103352855</v>
      </c>
      <c r="O161" s="1">
        <f t="shared" si="11"/>
        <v>0.46106351921070637</v>
      </c>
      <c r="P161" s="1">
        <f t="shared" si="10"/>
        <v>0.52120163315164614</v>
      </c>
    </row>
    <row r="162" spans="1:16" x14ac:dyDescent="0.3">
      <c r="A162" s="5">
        <v>42373</v>
      </c>
      <c r="B162" s="4">
        <v>1260000</v>
      </c>
      <c r="C162" s="4">
        <v>1260000</v>
      </c>
      <c r="D162" s="4">
        <v>1205000</v>
      </c>
      <c r="E162" s="4">
        <v>1205000</v>
      </c>
      <c r="F162" s="4"/>
      <c r="G162" s="1">
        <f t="shared" si="8"/>
        <v>1232500</v>
      </c>
      <c r="H162" s="1">
        <f t="shared" si="9"/>
        <v>1.0223123732251522</v>
      </c>
      <c r="I162" s="1">
        <f t="shared" si="9"/>
        <v>1.0223123732251522</v>
      </c>
      <c r="J162" s="1">
        <f t="shared" si="9"/>
        <v>0.97768762677484788</v>
      </c>
      <c r="K162" s="1">
        <f t="shared" si="9"/>
        <v>0.97768762677484788</v>
      </c>
      <c r="M162" s="1">
        <f t="shared" si="11"/>
        <v>0.81835466674217772</v>
      </c>
      <c r="N162" s="1">
        <f t="shared" si="11"/>
        <v>0.81835466674217772</v>
      </c>
      <c r="O162" s="1">
        <f t="shared" si="11"/>
        <v>0.2541176565315873</v>
      </c>
      <c r="P162" s="1">
        <f t="shared" si="10"/>
        <v>0.2541176565315873</v>
      </c>
    </row>
    <row r="163" spans="1:16" x14ac:dyDescent="0.3">
      <c r="A163" s="5">
        <v>42374</v>
      </c>
      <c r="B163" s="4">
        <v>1202000</v>
      </c>
      <c r="C163" s="4">
        <v>1218000</v>
      </c>
      <c r="D163" s="4">
        <v>1186000</v>
      </c>
      <c r="E163" s="4">
        <v>1208000</v>
      </c>
      <c r="F163" s="4"/>
      <c r="G163" s="1">
        <f t="shared" si="8"/>
        <v>1203500</v>
      </c>
      <c r="H163" s="1">
        <f t="shared" si="9"/>
        <v>0.99875363523057747</v>
      </c>
      <c r="I163" s="1">
        <f t="shared" si="9"/>
        <v>1.0120481927710843</v>
      </c>
      <c r="J163" s="1">
        <f t="shared" si="9"/>
        <v>0.98545907769007057</v>
      </c>
      <c r="K163" s="1">
        <f t="shared" si="9"/>
        <v>1.0037390943082676</v>
      </c>
      <c r="M163" s="1">
        <f t="shared" si="11"/>
        <v>0.52047707756199668</v>
      </c>
      <c r="N163" s="1">
        <f t="shared" si="11"/>
        <v>0.6885739743607695</v>
      </c>
      <c r="O163" s="1">
        <f t="shared" si="11"/>
        <v>0.35238018076322247</v>
      </c>
      <c r="P163" s="1">
        <f t="shared" si="10"/>
        <v>0.58351341386153721</v>
      </c>
    </row>
    <row r="164" spans="1:16" x14ac:dyDescent="0.3">
      <c r="A164" s="5">
        <v>42375</v>
      </c>
      <c r="B164" s="4">
        <v>1208000</v>
      </c>
      <c r="C164" s="4">
        <v>1208000</v>
      </c>
      <c r="D164" s="4">
        <v>1168000</v>
      </c>
      <c r="E164" s="4">
        <v>1175000</v>
      </c>
      <c r="F164" s="4"/>
      <c r="G164" s="1">
        <f t="shared" si="8"/>
        <v>1189750</v>
      </c>
      <c r="H164" s="1">
        <f t="shared" si="9"/>
        <v>1.0153393570077747</v>
      </c>
      <c r="I164" s="1">
        <f t="shared" si="9"/>
        <v>1.0153393570077747</v>
      </c>
      <c r="J164" s="1">
        <f t="shared" si="9"/>
        <v>0.98171884849758351</v>
      </c>
      <c r="K164" s="1">
        <f t="shared" si="9"/>
        <v>0.98760243748686694</v>
      </c>
      <c r="M164" s="1">
        <f t="shared" si="11"/>
        <v>0.73018758153476715</v>
      </c>
      <c r="N164" s="1">
        <f t="shared" si="11"/>
        <v>0.73018758153476715</v>
      </c>
      <c r="O164" s="1">
        <f t="shared" si="11"/>
        <v>0.30508857901885267</v>
      </c>
      <c r="P164" s="1">
        <f t="shared" si="10"/>
        <v>0.3794809044591374</v>
      </c>
    </row>
    <row r="165" spans="1:16" x14ac:dyDescent="0.3">
      <c r="A165" s="5">
        <v>42376</v>
      </c>
      <c r="B165" s="4">
        <v>1166000</v>
      </c>
      <c r="C165" s="4">
        <v>1183000</v>
      </c>
      <c r="D165" s="4">
        <v>1151000</v>
      </c>
      <c r="E165" s="4">
        <v>1163000</v>
      </c>
      <c r="F165" s="4"/>
      <c r="G165" s="1">
        <f t="shared" si="8"/>
        <v>1165750</v>
      </c>
      <c r="H165" s="1">
        <f t="shared" si="9"/>
        <v>1.0002144542140252</v>
      </c>
      <c r="I165" s="1">
        <f t="shared" si="9"/>
        <v>1.0147973407677462</v>
      </c>
      <c r="J165" s="1">
        <f t="shared" si="9"/>
        <v>0.98734720137250698</v>
      </c>
      <c r="K165" s="1">
        <f t="shared" si="9"/>
        <v>0.99764100364572161</v>
      </c>
      <c r="M165" s="1">
        <f t="shared" si="11"/>
        <v>0.53894772896608567</v>
      </c>
      <c r="N165" s="1">
        <f t="shared" si="11"/>
        <v>0.72333430735202575</v>
      </c>
      <c r="O165" s="1">
        <f t="shared" si="11"/>
        <v>0.37625368921378899</v>
      </c>
      <c r="P165" s="1">
        <f t="shared" si="10"/>
        <v>0.50640892101562685</v>
      </c>
    </row>
    <row r="166" spans="1:16" x14ac:dyDescent="0.3">
      <c r="A166" s="5">
        <v>42377</v>
      </c>
      <c r="B166" s="4">
        <v>1163000</v>
      </c>
      <c r="C166" s="4">
        <v>1186000</v>
      </c>
      <c r="D166" s="4">
        <v>1163000</v>
      </c>
      <c r="E166" s="4">
        <v>1171000</v>
      </c>
      <c r="F166" s="4"/>
      <c r="G166" s="1">
        <f t="shared" si="8"/>
        <v>1170750</v>
      </c>
      <c r="H166" s="1">
        <f t="shared" si="9"/>
        <v>0.99338031176596198</v>
      </c>
      <c r="I166" s="1">
        <f t="shared" si="9"/>
        <v>1.0130258381379458</v>
      </c>
      <c r="J166" s="1">
        <f t="shared" si="9"/>
        <v>0.99338031176596198</v>
      </c>
      <c r="K166" s="1">
        <f t="shared" si="9"/>
        <v>1.0002135383301303</v>
      </c>
      <c r="M166" s="1">
        <f t="shared" si="11"/>
        <v>0.45253656903842654</v>
      </c>
      <c r="N166" s="1">
        <f t="shared" si="11"/>
        <v>0.70093535997577761</v>
      </c>
      <c r="O166" s="1">
        <f t="shared" si="11"/>
        <v>0.45253656903842654</v>
      </c>
      <c r="P166" s="1">
        <f t="shared" si="10"/>
        <v>0.53893614849489668</v>
      </c>
    </row>
    <row r="167" spans="1:16" x14ac:dyDescent="0.3">
      <c r="A167" s="5">
        <v>42380</v>
      </c>
      <c r="B167" s="4">
        <v>1156000</v>
      </c>
      <c r="C167" s="4">
        <v>1166000</v>
      </c>
      <c r="D167" s="4">
        <v>1146000</v>
      </c>
      <c r="E167" s="4">
        <v>1152000</v>
      </c>
      <c r="F167" s="4"/>
      <c r="G167" s="1">
        <f t="shared" si="8"/>
        <v>1155000</v>
      </c>
      <c r="H167" s="1">
        <f t="shared" si="9"/>
        <v>1.0008658008658009</v>
      </c>
      <c r="I167" s="1">
        <f t="shared" si="9"/>
        <v>1.0095238095238095</v>
      </c>
      <c r="J167" s="1">
        <f t="shared" si="9"/>
        <v>0.99220779220779221</v>
      </c>
      <c r="K167" s="1">
        <f t="shared" si="9"/>
        <v>0.9974025974025974</v>
      </c>
      <c r="M167" s="1">
        <f t="shared" si="11"/>
        <v>0.54718338107937814</v>
      </c>
      <c r="N167" s="1">
        <f t="shared" si="11"/>
        <v>0.65665557550433618</v>
      </c>
      <c r="O167" s="1">
        <f t="shared" si="11"/>
        <v>0.43771118665441877</v>
      </c>
      <c r="P167" s="1">
        <f t="shared" si="10"/>
        <v>0.50339450330939417</v>
      </c>
    </row>
    <row r="168" spans="1:16" x14ac:dyDescent="0.3">
      <c r="A168" s="5">
        <v>42381</v>
      </c>
      <c r="B168" s="4">
        <v>1148000</v>
      </c>
      <c r="C168" s="4">
        <v>1166000</v>
      </c>
      <c r="D168" s="4">
        <v>1144000</v>
      </c>
      <c r="E168" s="4">
        <v>1146000</v>
      </c>
      <c r="F168" s="4"/>
      <c r="G168" s="1">
        <f t="shared" si="8"/>
        <v>1151000</v>
      </c>
      <c r="H168" s="1">
        <f t="shared" si="9"/>
        <v>0.99739357080799307</v>
      </c>
      <c r="I168" s="1">
        <f t="shared" si="9"/>
        <v>1.0130321459600347</v>
      </c>
      <c r="J168" s="1">
        <f t="shared" si="9"/>
        <v>0.99391833188531709</v>
      </c>
      <c r="K168" s="1">
        <f t="shared" si="9"/>
        <v>0.99565595134665508</v>
      </c>
      <c r="M168" s="1">
        <f t="shared" si="11"/>
        <v>0.50328037070008946</v>
      </c>
      <c r="N168" s="1">
        <f t="shared" si="11"/>
        <v>0.70101511632084357</v>
      </c>
      <c r="O168" s="1">
        <f t="shared" si="11"/>
        <v>0.45933931611769874</v>
      </c>
      <c r="P168" s="1">
        <f t="shared" si="10"/>
        <v>0.4813098434088941</v>
      </c>
    </row>
    <row r="169" spans="1:16" x14ac:dyDescent="0.3">
      <c r="A169" s="5">
        <v>42382</v>
      </c>
      <c r="B169" s="4">
        <v>1153000</v>
      </c>
      <c r="C169" s="4">
        <v>1159000</v>
      </c>
      <c r="D169" s="4">
        <v>1148000</v>
      </c>
      <c r="E169" s="4">
        <v>1148000</v>
      </c>
      <c r="F169" s="4"/>
      <c r="G169" s="1">
        <f t="shared" si="8"/>
        <v>1152000</v>
      </c>
      <c r="H169" s="1">
        <f t="shared" si="9"/>
        <v>1.0008680555555556</v>
      </c>
      <c r="I169" s="1">
        <f t="shared" si="9"/>
        <v>1.0060763888888888</v>
      </c>
      <c r="J169" s="1">
        <f t="shared" si="9"/>
        <v>0.99652777777777779</v>
      </c>
      <c r="K169" s="1">
        <f t="shared" si="9"/>
        <v>0.99652777777777779</v>
      </c>
      <c r="M169" s="1">
        <f t="shared" si="11"/>
        <v>0.54721188946334287</v>
      </c>
      <c r="N169" s="1">
        <f t="shared" si="11"/>
        <v>0.61306625642210621</v>
      </c>
      <c r="O169" s="1">
        <f t="shared" si="11"/>
        <v>0.49233325033103909</v>
      </c>
      <c r="P169" s="1">
        <f t="shared" si="10"/>
        <v>0.49233325033103909</v>
      </c>
    </row>
    <row r="170" spans="1:16" x14ac:dyDescent="0.3">
      <c r="A170" s="5">
        <v>42383</v>
      </c>
      <c r="B170" s="4">
        <v>1131000</v>
      </c>
      <c r="C170" s="4">
        <v>1142000</v>
      </c>
      <c r="D170" s="4">
        <v>1131000</v>
      </c>
      <c r="E170" s="4">
        <v>1138000</v>
      </c>
      <c r="F170" s="4"/>
      <c r="G170" s="1">
        <f t="shared" si="8"/>
        <v>1135500</v>
      </c>
      <c r="H170" s="1">
        <f t="shared" si="9"/>
        <v>0.99603698811096431</v>
      </c>
      <c r="I170" s="1">
        <f t="shared" si="9"/>
        <v>1.0057243505063849</v>
      </c>
      <c r="J170" s="1">
        <f t="shared" si="9"/>
        <v>0.99603698811096431</v>
      </c>
      <c r="K170" s="1">
        <f t="shared" si="9"/>
        <v>1.0022016732716865</v>
      </c>
      <c r="M170" s="1">
        <f t="shared" si="11"/>
        <v>0.48612768691000136</v>
      </c>
      <c r="N170" s="1">
        <f t="shared" si="11"/>
        <v>0.60861506957570888</v>
      </c>
      <c r="O170" s="1">
        <f t="shared" si="11"/>
        <v>0.48612768691000136</v>
      </c>
      <c r="P170" s="1">
        <f t="shared" si="10"/>
        <v>0.56407420315181578</v>
      </c>
    </row>
    <row r="171" spans="1:16" x14ac:dyDescent="0.3">
      <c r="A171" s="5">
        <v>42384</v>
      </c>
      <c r="B171" s="4">
        <v>1140000</v>
      </c>
      <c r="C171" s="4">
        <v>1152000</v>
      </c>
      <c r="D171" s="4">
        <v>1124000</v>
      </c>
      <c r="E171" s="4">
        <v>1132000</v>
      </c>
      <c r="F171" s="4"/>
      <c r="G171" s="1">
        <f t="shared" si="8"/>
        <v>1137000</v>
      </c>
      <c r="H171" s="1">
        <f t="shared" si="9"/>
        <v>1.0026385224274406</v>
      </c>
      <c r="I171" s="1">
        <f t="shared" si="9"/>
        <v>1.0131926121372032</v>
      </c>
      <c r="J171" s="1">
        <f t="shared" si="9"/>
        <v>0.98856640281442387</v>
      </c>
      <c r="K171" s="1">
        <f t="shared" si="9"/>
        <v>0.99560246262093233</v>
      </c>
      <c r="M171" s="1">
        <f t="shared" si="11"/>
        <v>0.56959774067667712</v>
      </c>
      <c r="N171" s="1">
        <f t="shared" si="11"/>
        <v>0.70304405683586368</v>
      </c>
      <c r="O171" s="1">
        <f t="shared" si="11"/>
        <v>0.39166931913109776</v>
      </c>
      <c r="P171" s="1">
        <f t="shared" si="10"/>
        <v>0.4806335299038888</v>
      </c>
    </row>
    <row r="172" spans="1:16" x14ac:dyDescent="0.3">
      <c r="A172" s="5">
        <v>42387</v>
      </c>
      <c r="B172" s="4">
        <v>1088000</v>
      </c>
      <c r="C172" s="4">
        <v>1133000</v>
      </c>
      <c r="D172" s="4">
        <v>1088000</v>
      </c>
      <c r="E172" s="4">
        <v>1126000</v>
      </c>
      <c r="F172" s="4"/>
      <c r="G172" s="1">
        <f t="shared" si="8"/>
        <v>1108750</v>
      </c>
      <c r="H172" s="1">
        <f t="shared" si="9"/>
        <v>0.98128523111612176</v>
      </c>
      <c r="I172" s="1">
        <f t="shared" si="9"/>
        <v>1.0218714768883879</v>
      </c>
      <c r="J172" s="1">
        <f t="shared" si="9"/>
        <v>0.98128523111612176</v>
      </c>
      <c r="K172" s="1">
        <f t="shared" si="9"/>
        <v>1.0155580608793686</v>
      </c>
      <c r="M172" s="1">
        <f t="shared" si="11"/>
        <v>0.29960590417242444</v>
      </c>
      <c r="N172" s="1">
        <f t="shared" si="11"/>
        <v>0.81277995650498314</v>
      </c>
      <c r="O172" s="1">
        <f t="shared" si="11"/>
        <v>0.29960590417242444</v>
      </c>
      <c r="P172" s="1">
        <f t="shared" si="10"/>
        <v>0.73295288169769524</v>
      </c>
    </row>
    <row r="173" spans="1:16" x14ac:dyDescent="0.3">
      <c r="A173" s="5">
        <v>42388</v>
      </c>
      <c r="B173" s="4">
        <v>1128000</v>
      </c>
      <c r="C173" s="4">
        <v>1171000</v>
      </c>
      <c r="D173" s="4">
        <v>1128000</v>
      </c>
      <c r="E173" s="4">
        <v>1171000</v>
      </c>
      <c r="F173" s="4"/>
      <c r="G173" s="1">
        <f t="shared" si="8"/>
        <v>1149500</v>
      </c>
      <c r="H173" s="1">
        <f t="shared" si="9"/>
        <v>0.98129621574597647</v>
      </c>
      <c r="I173" s="1">
        <f t="shared" si="9"/>
        <v>1.0187037842540234</v>
      </c>
      <c r="J173" s="1">
        <f t="shared" si="9"/>
        <v>0.98129621574597647</v>
      </c>
      <c r="K173" s="1">
        <f t="shared" si="9"/>
        <v>1.0187037842540234</v>
      </c>
      <c r="M173" s="1">
        <f t="shared" si="11"/>
        <v>0.29974479425473333</v>
      </c>
      <c r="N173" s="1">
        <f t="shared" si="11"/>
        <v>0.77272752901902897</v>
      </c>
      <c r="O173" s="1">
        <f t="shared" si="11"/>
        <v>0.29974479425473333</v>
      </c>
      <c r="P173" s="1">
        <f t="shared" si="10"/>
        <v>0.77272752901902897</v>
      </c>
    </row>
    <row r="174" spans="1:16" x14ac:dyDescent="0.3">
      <c r="A174" s="5">
        <v>42389</v>
      </c>
      <c r="B174" s="4">
        <v>1160000</v>
      </c>
      <c r="C174" s="4">
        <v>1160000</v>
      </c>
      <c r="D174" s="4">
        <v>1132000</v>
      </c>
      <c r="E174" s="4">
        <v>1138000</v>
      </c>
      <c r="F174" s="4"/>
      <c r="G174" s="1">
        <f t="shared" si="8"/>
        <v>1147500</v>
      </c>
      <c r="H174" s="1">
        <f t="shared" si="9"/>
        <v>1.0108932461873639</v>
      </c>
      <c r="I174" s="1">
        <f t="shared" si="9"/>
        <v>1.0108932461873639</v>
      </c>
      <c r="J174" s="1">
        <f t="shared" si="9"/>
        <v>0.98649237472766882</v>
      </c>
      <c r="K174" s="1">
        <f t="shared" si="9"/>
        <v>0.99172113289760344</v>
      </c>
      <c r="M174" s="1">
        <f t="shared" si="11"/>
        <v>0.67397078534148747</v>
      </c>
      <c r="N174" s="1">
        <f t="shared" si="11"/>
        <v>0.67397078534148747</v>
      </c>
      <c r="O174" s="1">
        <f t="shared" si="11"/>
        <v>0.36544522824317111</v>
      </c>
      <c r="P174" s="1">
        <f t="shared" si="10"/>
        <v>0.43155784762138133</v>
      </c>
    </row>
    <row r="175" spans="1:16" x14ac:dyDescent="0.3">
      <c r="A175" s="5">
        <v>42390</v>
      </c>
      <c r="B175" s="4">
        <v>1133000</v>
      </c>
      <c r="C175" s="4">
        <v>1155000</v>
      </c>
      <c r="D175" s="4">
        <v>1125000</v>
      </c>
      <c r="E175" s="4">
        <v>1131000</v>
      </c>
      <c r="F175" s="4"/>
      <c r="G175" s="1">
        <f t="shared" si="8"/>
        <v>1136000</v>
      </c>
      <c r="H175" s="1">
        <f t="shared" si="9"/>
        <v>0.9973591549295775</v>
      </c>
      <c r="I175" s="1">
        <f t="shared" si="9"/>
        <v>1.016725352112676</v>
      </c>
      <c r="J175" s="1">
        <f t="shared" si="9"/>
        <v>0.99031690140845074</v>
      </c>
      <c r="K175" s="1">
        <f t="shared" si="9"/>
        <v>0.99559859154929575</v>
      </c>
      <c r="M175" s="1">
        <f t="shared" si="11"/>
        <v>0.50284521500990309</v>
      </c>
      <c r="N175" s="1">
        <f t="shared" si="11"/>
        <v>0.74771215694108217</v>
      </c>
      <c r="O175" s="1">
        <f t="shared" si="11"/>
        <v>0.41380269067129233</v>
      </c>
      <c r="P175" s="1">
        <f t="shared" si="10"/>
        <v>0.48058458392524972</v>
      </c>
    </row>
    <row r="176" spans="1:16" x14ac:dyDescent="0.3">
      <c r="A176" s="5">
        <v>42391</v>
      </c>
      <c r="B176" s="4">
        <v>1145000</v>
      </c>
      <c r="C176" s="4">
        <v>1168000</v>
      </c>
      <c r="D176" s="4">
        <v>1145000</v>
      </c>
      <c r="E176" s="4">
        <v>1168000</v>
      </c>
      <c r="F176" s="4"/>
      <c r="G176" s="1">
        <f t="shared" si="8"/>
        <v>1156500</v>
      </c>
      <c r="H176" s="1">
        <f t="shared" si="9"/>
        <v>0.9900562040639862</v>
      </c>
      <c r="I176" s="1">
        <f t="shared" si="9"/>
        <v>1.0099437959360138</v>
      </c>
      <c r="J176" s="1">
        <f t="shared" si="9"/>
        <v>0.9900562040639862</v>
      </c>
      <c r="K176" s="1">
        <f t="shared" si="9"/>
        <v>1.0099437959360138</v>
      </c>
      <c r="M176" s="1">
        <f t="shared" si="11"/>
        <v>0.41050642342248395</v>
      </c>
      <c r="N176" s="1">
        <f t="shared" si="11"/>
        <v>0.66196589985127974</v>
      </c>
      <c r="O176" s="1">
        <f t="shared" si="11"/>
        <v>0.41050642342248395</v>
      </c>
      <c r="P176" s="1">
        <f t="shared" si="10"/>
        <v>0.66196589985127974</v>
      </c>
    </row>
    <row r="177" spans="1:16" x14ac:dyDescent="0.3">
      <c r="A177" s="5">
        <v>42394</v>
      </c>
      <c r="B177" s="4">
        <v>1172000</v>
      </c>
      <c r="C177" s="4">
        <v>1176000</v>
      </c>
      <c r="D177" s="4">
        <v>1156000</v>
      </c>
      <c r="E177" s="4">
        <v>1162000</v>
      </c>
      <c r="F177" s="4"/>
      <c r="G177" s="1">
        <f t="shared" si="8"/>
        <v>1166500</v>
      </c>
      <c r="H177" s="1">
        <f t="shared" si="9"/>
        <v>1.0047149592798972</v>
      </c>
      <c r="I177" s="1">
        <f t="shared" si="9"/>
        <v>1.0081440205743677</v>
      </c>
      <c r="J177" s="1">
        <f t="shared" si="9"/>
        <v>0.99099871410201457</v>
      </c>
      <c r="K177" s="1">
        <f t="shared" si="9"/>
        <v>0.99614230604372056</v>
      </c>
      <c r="M177" s="1">
        <f t="shared" si="11"/>
        <v>0.59585228809076596</v>
      </c>
      <c r="N177" s="1">
        <f t="shared" si="11"/>
        <v>0.63920947096631608</v>
      </c>
      <c r="O177" s="1">
        <f t="shared" si="11"/>
        <v>0.42242355658855862</v>
      </c>
      <c r="P177" s="1">
        <f t="shared" si="10"/>
        <v>0.48745933090188659</v>
      </c>
    </row>
    <row r="178" spans="1:16" x14ac:dyDescent="0.3">
      <c r="A178" s="5">
        <v>42395</v>
      </c>
      <c r="B178" s="4">
        <v>1155000</v>
      </c>
      <c r="C178" s="4">
        <v>1157000</v>
      </c>
      <c r="D178" s="4">
        <v>1136000</v>
      </c>
      <c r="E178" s="4">
        <v>1137000</v>
      </c>
      <c r="F178" s="4"/>
      <c r="G178" s="1">
        <f t="shared" si="8"/>
        <v>1146250</v>
      </c>
      <c r="H178" s="1">
        <f t="shared" si="9"/>
        <v>1.0076335877862594</v>
      </c>
      <c r="I178" s="1">
        <f t="shared" si="9"/>
        <v>1.0093784078516903</v>
      </c>
      <c r="J178" s="1">
        <f t="shared" si="9"/>
        <v>0.99105779716466735</v>
      </c>
      <c r="K178" s="1">
        <f t="shared" si="9"/>
        <v>0.99193020719738279</v>
      </c>
      <c r="M178" s="1">
        <f t="shared" si="11"/>
        <v>0.63275553916422989</v>
      </c>
      <c r="N178" s="1">
        <f t="shared" si="11"/>
        <v>0.65481711117048247</v>
      </c>
      <c r="O178" s="1">
        <f t="shared" si="11"/>
        <v>0.42317060510484361</v>
      </c>
      <c r="P178" s="1">
        <f t="shared" si="10"/>
        <v>0.43420139110796996</v>
      </c>
    </row>
    <row r="179" spans="1:16" x14ac:dyDescent="0.3">
      <c r="A179" s="5">
        <v>42396</v>
      </c>
      <c r="B179" s="4">
        <v>1126000</v>
      </c>
      <c r="C179" s="4">
        <v>1175000</v>
      </c>
      <c r="D179" s="4">
        <v>1126000</v>
      </c>
      <c r="E179" s="4">
        <v>1175000</v>
      </c>
      <c r="F179" s="4"/>
      <c r="G179" s="1">
        <f t="shared" si="8"/>
        <v>1150500</v>
      </c>
      <c r="H179" s="1">
        <f t="shared" si="9"/>
        <v>0.9787049109083007</v>
      </c>
      <c r="I179" s="1">
        <f t="shared" si="9"/>
        <v>1.0212950890916992</v>
      </c>
      <c r="J179" s="1">
        <f t="shared" si="9"/>
        <v>0.9787049109083007</v>
      </c>
      <c r="K179" s="1">
        <f t="shared" si="9"/>
        <v>1.0212950890916992</v>
      </c>
      <c r="M179" s="1">
        <f t="shared" si="11"/>
        <v>0.26698023623572747</v>
      </c>
      <c r="N179" s="1">
        <f t="shared" si="11"/>
        <v>0.80549208703803477</v>
      </c>
      <c r="O179" s="1">
        <f t="shared" si="11"/>
        <v>0.26698023623572747</v>
      </c>
      <c r="P179" s="1">
        <f t="shared" si="10"/>
        <v>0.80549208703803477</v>
      </c>
    </row>
    <row r="180" spans="1:16" x14ac:dyDescent="0.3">
      <c r="A180" s="5">
        <v>42397</v>
      </c>
      <c r="B180" s="4">
        <v>1164000</v>
      </c>
      <c r="C180" s="4">
        <v>1168000</v>
      </c>
      <c r="D180" s="4">
        <v>1139000</v>
      </c>
      <c r="E180" s="4">
        <v>1145000</v>
      </c>
      <c r="F180" s="4"/>
      <c r="G180" s="1">
        <f t="shared" si="8"/>
        <v>1154000</v>
      </c>
      <c r="H180" s="1">
        <f t="shared" si="9"/>
        <v>1.0086655112651646</v>
      </c>
      <c r="I180" s="1">
        <f t="shared" si="9"/>
        <v>1.0121317157712304</v>
      </c>
      <c r="J180" s="1">
        <f t="shared" si="9"/>
        <v>0.98700173310225303</v>
      </c>
      <c r="K180" s="1">
        <f t="shared" si="9"/>
        <v>0.99220103986135177</v>
      </c>
      <c r="M180" s="1">
        <f t="shared" si="11"/>
        <v>0.64580321931524098</v>
      </c>
      <c r="N180" s="1">
        <f t="shared" si="11"/>
        <v>0.68963004238658465</v>
      </c>
      <c r="O180" s="1">
        <f t="shared" si="11"/>
        <v>0.37188557511934167</v>
      </c>
      <c r="P180" s="1">
        <f t="shared" si="10"/>
        <v>0.43762580972635717</v>
      </c>
    </row>
    <row r="181" spans="1:16" x14ac:dyDescent="0.3">
      <c r="A181" s="5">
        <v>42398</v>
      </c>
      <c r="B181" s="4">
        <v>1140000</v>
      </c>
      <c r="C181" s="4">
        <v>1150000</v>
      </c>
      <c r="D181" s="4">
        <v>1116000</v>
      </c>
      <c r="E181" s="4">
        <v>1150000</v>
      </c>
      <c r="F181" s="4"/>
      <c r="G181" s="1">
        <f t="shared" si="8"/>
        <v>1139000</v>
      </c>
      <c r="H181" s="1">
        <f t="shared" si="9"/>
        <v>1.0008779631255487</v>
      </c>
      <c r="I181" s="1">
        <f t="shared" si="9"/>
        <v>1.009657594381036</v>
      </c>
      <c r="J181" s="1">
        <f t="shared" si="9"/>
        <v>0.97980684811237928</v>
      </c>
      <c r="K181" s="1">
        <f t="shared" si="9"/>
        <v>1.009657594381036</v>
      </c>
      <c r="M181" s="1">
        <f t="shared" si="11"/>
        <v>0.54733716115934172</v>
      </c>
      <c r="N181" s="1">
        <f t="shared" si="11"/>
        <v>0.65834715638394936</v>
      </c>
      <c r="O181" s="1">
        <f t="shared" si="11"/>
        <v>0.28091317262028542</v>
      </c>
      <c r="P181" s="1">
        <f t="shared" si="10"/>
        <v>0.65834715638394936</v>
      </c>
    </row>
    <row r="182" spans="1:16" x14ac:dyDescent="0.3">
      <c r="A182" s="5">
        <v>42401</v>
      </c>
      <c r="B182" s="4">
        <v>1152000</v>
      </c>
      <c r="C182" s="4">
        <v>1163000</v>
      </c>
      <c r="D182" s="4">
        <v>1151000</v>
      </c>
      <c r="E182" s="4">
        <v>1163000</v>
      </c>
      <c r="F182" s="4"/>
      <c r="G182" s="1">
        <f t="shared" si="8"/>
        <v>1157250</v>
      </c>
      <c r="H182" s="1">
        <f t="shared" si="9"/>
        <v>0.99546338302009074</v>
      </c>
      <c r="I182" s="1">
        <f t="shared" si="9"/>
        <v>1.0049686757399006</v>
      </c>
      <c r="J182" s="1">
        <f t="shared" si="9"/>
        <v>0.99459926550010802</v>
      </c>
      <c r="K182" s="1">
        <f t="shared" si="9"/>
        <v>1.0049686757399006</v>
      </c>
      <c r="M182" s="1">
        <f t="shared" si="11"/>
        <v>0.47887500208239114</v>
      </c>
      <c r="N182" s="1">
        <f t="shared" si="11"/>
        <v>0.59906028876799</v>
      </c>
      <c r="O182" s="1">
        <f t="shared" si="11"/>
        <v>0.46794906692915478</v>
      </c>
      <c r="P182" s="1">
        <f t="shared" si="10"/>
        <v>0.59906028876799</v>
      </c>
    </row>
    <row r="183" spans="1:16" x14ac:dyDescent="0.3">
      <c r="A183" s="5">
        <v>42402</v>
      </c>
      <c r="B183" s="4">
        <v>1161000</v>
      </c>
      <c r="C183" s="4">
        <v>1166000</v>
      </c>
      <c r="D183" s="4">
        <v>1147000</v>
      </c>
      <c r="E183" s="4">
        <v>1156000</v>
      </c>
      <c r="F183" s="4"/>
      <c r="G183" s="1">
        <f t="shared" si="8"/>
        <v>1157500</v>
      </c>
      <c r="H183" s="1">
        <f t="shared" si="9"/>
        <v>1.003023758099352</v>
      </c>
      <c r="I183" s="1">
        <f t="shared" si="9"/>
        <v>1.0073434125269978</v>
      </c>
      <c r="J183" s="1">
        <f t="shared" si="9"/>
        <v>0.99092872570194379</v>
      </c>
      <c r="K183" s="1">
        <f t="shared" si="9"/>
        <v>0.99870410367170626</v>
      </c>
      <c r="M183" s="1">
        <f t="shared" si="11"/>
        <v>0.57446867532697965</v>
      </c>
      <c r="N183" s="1">
        <f t="shared" si="11"/>
        <v>0.62908655202712149</v>
      </c>
      <c r="O183" s="1">
        <f t="shared" si="11"/>
        <v>0.42153862056658403</v>
      </c>
      <c r="P183" s="1">
        <f t="shared" si="10"/>
        <v>0.51985079862683925</v>
      </c>
    </row>
    <row r="184" spans="1:16" x14ac:dyDescent="0.3">
      <c r="A184" s="5">
        <v>42403</v>
      </c>
      <c r="B184" s="4">
        <v>1150000</v>
      </c>
      <c r="C184" s="4">
        <v>1152000</v>
      </c>
      <c r="D184" s="4">
        <v>1137000</v>
      </c>
      <c r="E184" s="4">
        <v>1146000</v>
      </c>
      <c r="F184" s="4"/>
      <c r="G184" s="1">
        <f t="shared" si="8"/>
        <v>1146250</v>
      </c>
      <c r="H184" s="1">
        <f t="shared" si="9"/>
        <v>1.0032715376226826</v>
      </c>
      <c r="I184" s="1">
        <f t="shared" si="9"/>
        <v>1.0050163576881135</v>
      </c>
      <c r="J184" s="1">
        <f t="shared" si="9"/>
        <v>0.99193020719738279</v>
      </c>
      <c r="K184" s="1">
        <f t="shared" si="9"/>
        <v>0.99978189749182111</v>
      </c>
      <c r="M184" s="1">
        <f t="shared" si="11"/>
        <v>0.57760160914860237</v>
      </c>
      <c r="N184" s="1">
        <f t="shared" si="11"/>
        <v>0.59966318115485506</v>
      </c>
      <c r="O184" s="1">
        <f t="shared" si="11"/>
        <v>0.43420139110796996</v>
      </c>
      <c r="P184" s="1">
        <f t="shared" si="10"/>
        <v>0.53347846513609987</v>
      </c>
    </row>
    <row r="185" spans="1:16" x14ac:dyDescent="0.3">
      <c r="A185" s="5">
        <v>42404</v>
      </c>
      <c r="B185" s="4">
        <v>1150000</v>
      </c>
      <c r="C185" s="4">
        <v>1161000</v>
      </c>
      <c r="D185" s="4">
        <v>1148000</v>
      </c>
      <c r="E185" s="4">
        <v>1156000</v>
      </c>
      <c r="F185" s="4"/>
      <c r="G185" s="1">
        <f t="shared" si="8"/>
        <v>1153750</v>
      </c>
      <c r="H185" s="1">
        <f t="shared" si="9"/>
        <v>0.99674972914409532</v>
      </c>
      <c r="I185" s="1">
        <f t="shared" si="9"/>
        <v>1.0062838569880823</v>
      </c>
      <c r="J185" s="1">
        <f t="shared" si="9"/>
        <v>0.99501625135427951</v>
      </c>
      <c r="K185" s="1">
        <f t="shared" si="9"/>
        <v>1.0019501625135427</v>
      </c>
      <c r="M185" s="1">
        <f t="shared" si="11"/>
        <v>0.49513961194213807</v>
      </c>
      <c r="N185" s="1">
        <f t="shared" si="11"/>
        <v>0.615689491046719</v>
      </c>
      <c r="O185" s="1">
        <f t="shared" si="11"/>
        <v>0.47322145210494165</v>
      </c>
      <c r="P185" s="1">
        <f t="shared" si="10"/>
        <v>0.56089409145372726</v>
      </c>
    </row>
    <row r="186" spans="1:16" x14ac:dyDescent="0.3">
      <c r="A186" s="5">
        <v>42405</v>
      </c>
      <c r="B186" s="4">
        <v>1156000</v>
      </c>
      <c r="C186" s="4">
        <v>1169000</v>
      </c>
      <c r="D186" s="4">
        <v>1156000</v>
      </c>
      <c r="E186" s="4">
        <v>1164000</v>
      </c>
      <c r="F186" s="4"/>
      <c r="G186" s="1">
        <f t="shared" si="8"/>
        <v>1161250</v>
      </c>
      <c r="H186" s="1">
        <f t="shared" si="9"/>
        <v>0.99547900968783642</v>
      </c>
      <c r="I186" s="1">
        <f t="shared" si="9"/>
        <v>1.0066738428417654</v>
      </c>
      <c r="J186" s="1">
        <f t="shared" si="9"/>
        <v>0.99547900968783642</v>
      </c>
      <c r="K186" s="1">
        <f t="shared" si="9"/>
        <v>1.002368137782562</v>
      </c>
      <c r="M186" s="1">
        <f t="shared" si="11"/>
        <v>0.47907258627030802</v>
      </c>
      <c r="N186" s="1">
        <f t="shared" si="11"/>
        <v>0.62062048717801643</v>
      </c>
      <c r="O186" s="1">
        <f t="shared" si="11"/>
        <v>0.47907258627030802</v>
      </c>
      <c r="P186" s="1">
        <f t="shared" si="10"/>
        <v>0.56617898682889767</v>
      </c>
    </row>
    <row r="187" spans="1:16" x14ac:dyDescent="0.3">
      <c r="A187" s="5">
        <v>42411</v>
      </c>
      <c r="B187" s="4">
        <v>1118000</v>
      </c>
      <c r="C187" s="4">
        <v>1137000</v>
      </c>
      <c r="D187" s="4">
        <v>1118000</v>
      </c>
      <c r="E187" s="4">
        <v>1130000</v>
      </c>
      <c r="F187" s="4"/>
      <c r="G187" s="1">
        <f t="shared" si="8"/>
        <v>1125750</v>
      </c>
      <c r="H187" s="1">
        <f t="shared" si="9"/>
        <v>0.99311570064401511</v>
      </c>
      <c r="I187" s="1">
        <f t="shared" si="9"/>
        <v>1.0099933377748167</v>
      </c>
      <c r="J187" s="1">
        <f t="shared" si="9"/>
        <v>0.99311570064401511</v>
      </c>
      <c r="K187" s="1">
        <f t="shared" si="9"/>
        <v>1.0037752609371531</v>
      </c>
      <c r="M187" s="1">
        <f t="shared" si="11"/>
        <v>0.44919081583662313</v>
      </c>
      <c r="N187" s="1">
        <f t="shared" si="11"/>
        <v>0.66259230876628861</v>
      </c>
      <c r="O187" s="1">
        <f t="shared" si="11"/>
        <v>0.44919081583662313</v>
      </c>
      <c r="P187" s="1">
        <f t="shared" si="10"/>
        <v>0.5839707061079924</v>
      </c>
    </row>
    <row r="188" spans="1:16" x14ac:dyDescent="0.3">
      <c r="A188" s="5">
        <v>42412</v>
      </c>
      <c r="B188" s="4">
        <v>1130000</v>
      </c>
      <c r="C188" s="4">
        <v>1151000</v>
      </c>
      <c r="D188" s="4">
        <v>1122000</v>
      </c>
      <c r="E188" s="4">
        <v>1130000</v>
      </c>
      <c r="F188" s="4"/>
      <c r="G188" s="1">
        <f t="shared" si="8"/>
        <v>1133250</v>
      </c>
      <c r="H188" s="1">
        <f t="shared" si="9"/>
        <v>0.99713214206926981</v>
      </c>
      <c r="I188" s="1">
        <f t="shared" si="9"/>
        <v>1.015662916390911</v>
      </c>
      <c r="J188" s="1">
        <f t="shared" si="9"/>
        <v>0.99007279947054927</v>
      </c>
      <c r="K188" s="1">
        <f t="shared" si="9"/>
        <v>0.99713214206926981</v>
      </c>
      <c r="M188" s="1">
        <f t="shared" si="11"/>
        <v>0.4999748556741474</v>
      </c>
      <c r="N188" s="1">
        <f t="shared" si="11"/>
        <v>0.73427867881796938</v>
      </c>
      <c r="O188" s="1">
        <f t="shared" si="11"/>
        <v>0.41071625638126175</v>
      </c>
      <c r="P188" s="1">
        <f t="shared" si="10"/>
        <v>0.4999748556741474</v>
      </c>
    </row>
    <row r="189" spans="1:16" x14ac:dyDescent="0.3">
      <c r="A189" s="5">
        <v>42415</v>
      </c>
      <c r="B189" s="4">
        <v>1154000</v>
      </c>
      <c r="C189" s="4">
        <v>1160000</v>
      </c>
      <c r="D189" s="4">
        <v>1144000</v>
      </c>
      <c r="E189" s="4">
        <v>1154000</v>
      </c>
      <c r="F189" s="4"/>
      <c r="G189" s="1">
        <f t="shared" si="8"/>
        <v>1153000</v>
      </c>
      <c r="H189" s="1">
        <f t="shared" si="9"/>
        <v>1.0008673026886383</v>
      </c>
      <c r="I189" s="1">
        <f t="shared" si="9"/>
        <v>1.0060711188204683</v>
      </c>
      <c r="J189" s="1">
        <f t="shared" si="9"/>
        <v>0.99219427580225494</v>
      </c>
      <c r="K189" s="1">
        <f t="shared" si="9"/>
        <v>1.0008673026886383</v>
      </c>
      <c r="M189" s="1">
        <f t="shared" si="11"/>
        <v>0.54720237018508877</v>
      </c>
      <c r="N189" s="1">
        <f t="shared" si="11"/>
        <v>0.61299962147433062</v>
      </c>
      <c r="O189" s="1">
        <f t="shared" si="11"/>
        <v>0.43754028470301765</v>
      </c>
      <c r="P189" s="1">
        <f t="shared" si="10"/>
        <v>0.54720237018508877</v>
      </c>
    </row>
    <row r="190" spans="1:16" x14ac:dyDescent="0.3">
      <c r="A190" s="5">
        <v>42416</v>
      </c>
      <c r="B190" s="4">
        <v>1158000</v>
      </c>
      <c r="C190" s="4">
        <v>1179000</v>
      </c>
      <c r="D190" s="4">
        <v>1157000</v>
      </c>
      <c r="E190" s="4">
        <v>1168000</v>
      </c>
      <c r="F190" s="4"/>
      <c r="G190" s="1">
        <f t="shared" si="8"/>
        <v>1165500</v>
      </c>
      <c r="H190" s="1">
        <f t="shared" si="9"/>
        <v>0.99356499356499361</v>
      </c>
      <c r="I190" s="1">
        <f t="shared" si="9"/>
        <v>1.0115830115830116</v>
      </c>
      <c r="J190" s="1">
        <f t="shared" si="9"/>
        <v>0.9927069927069927</v>
      </c>
      <c r="K190" s="1">
        <f t="shared" si="9"/>
        <v>1.0021450021450022</v>
      </c>
      <c r="M190" s="1">
        <f t="shared" si="11"/>
        <v>0.4548716928075211</v>
      </c>
      <c r="N190" s="1">
        <f t="shared" si="11"/>
        <v>0.68269220552973198</v>
      </c>
      <c r="O190" s="1">
        <f t="shared" si="11"/>
        <v>0.44402309696360548</v>
      </c>
      <c r="P190" s="1">
        <f t="shared" si="10"/>
        <v>0.56335765124667014</v>
      </c>
    </row>
    <row r="191" spans="1:16" x14ac:dyDescent="0.3">
      <c r="A191" s="5">
        <v>42417</v>
      </c>
      <c r="B191" s="4">
        <v>1179000</v>
      </c>
      <c r="C191" s="4">
        <v>1201000</v>
      </c>
      <c r="D191" s="4">
        <v>1169000</v>
      </c>
      <c r="E191" s="4">
        <v>1185000</v>
      </c>
      <c r="F191" s="4"/>
      <c r="G191" s="1">
        <f t="shared" si="8"/>
        <v>1183500</v>
      </c>
      <c r="H191" s="1">
        <f t="shared" si="9"/>
        <v>0.99619771863117867</v>
      </c>
      <c r="I191" s="1">
        <f t="shared" si="9"/>
        <v>1.0147866497676383</v>
      </c>
      <c r="J191" s="1">
        <f t="shared" si="9"/>
        <v>0.98774820447824252</v>
      </c>
      <c r="K191" s="1">
        <f t="shared" si="9"/>
        <v>1.0012674271229405</v>
      </c>
      <c r="M191" s="1">
        <f t="shared" si="11"/>
        <v>0.488159969788658</v>
      </c>
      <c r="N191" s="1">
        <f t="shared" si="11"/>
        <v>0.72319912993552793</v>
      </c>
      <c r="O191" s="1">
        <f t="shared" si="11"/>
        <v>0.3813239879037178</v>
      </c>
      <c r="P191" s="1">
        <f t="shared" si="10"/>
        <v>0.55226155891962359</v>
      </c>
    </row>
    <row r="192" spans="1:16" x14ac:dyDescent="0.3">
      <c r="A192" s="5">
        <v>42418</v>
      </c>
      <c r="B192" s="4">
        <v>1203000</v>
      </c>
      <c r="C192" s="4">
        <v>1203000</v>
      </c>
      <c r="D192" s="4">
        <v>1178000</v>
      </c>
      <c r="E192" s="4">
        <v>1187000</v>
      </c>
      <c r="F192" s="4"/>
      <c r="G192" s="1">
        <f t="shared" si="8"/>
        <v>1192750</v>
      </c>
      <c r="H192" s="1">
        <f t="shared" si="9"/>
        <v>1.008593586250262</v>
      </c>
      <c r="I192" s="1">
        <f t="shared" si="9"/>
        <v>1.008593586250262</v>
      </c>
      <c r="J192" s="1">
        <f t="shared" si="9"/>
        <v>0.98763361978620834</v>
      </c>
      <c r="K192" s="1">
        <f t="shared" si="9"/>
        <v>0.99517920771326762</v>
      </c>
      <c r="M192" s="1">
        <f t="shared" si="11"/>
        <v>0.64489379666085811</v>
      </c>
      <c r="N192" s="1">
        <f t="shared" si="11"/>
        <v>0.64489379666085811</v>
      </c>
      <c r="O192" s="1">
        <f t="shared" si="11"/>
        <v>0.37987517465115922</v>
      </c>
      <c r="P192" s="1">
        <f t="shared" si="10"/>
        <v>0.47528187857465054</v>
      </c>
    </row>
    <row r="193" spans="1:16" x14ac:dyDescent="0.3">
      <c r="A193" s="5">
        <v>42419</v>
      </c>
      <c r="B193" s="4">
        <v>1187000</v>
      </c>
      <c r="C193" s="4">
        <v>1195000</v>
      </c>
      <c r="D193" s="4">
        <v>1174000</v>
      </c>
      <c r="E193" s="4">
        <v>1190000</v>
      </c>
      <c r="F193" s="4"/>
      <c r="G193" s="1">
        <f t="shared" si="8"/>
        <v>1186500</v>
      </c>
      <c r="H193" s="1">
        <f t="shared" si="9"/>
        <v>1.0004214075010536</v>
      </c>
      <c r="I193" s="1">
        <f t="shared" si="9"/>
        <v>1.0071639275179098</v>
      </c>
      <c r="J193" s="1">
        <f t="shared" si="9"/>
        <v>0.98946481247366203</v>
      </c>
      <c r="K193" s="1">
        <f t="shared" si="9"/>
        <v>1.0029498525073746</v>
      </c>
      <c r="M193" s="1">
        <f t="shared" si="11"/>
        <v>0.54156445428588496</v>
      </c>
      <c r="N193" s="1">
        <f t="shared" si="11"/>
        <v>0.62681713666992334</v>
      </c>
      <c r="O193" s="1">
        <f t="shared" si="11"/>
        <v>0.40302884541182116</v>
      </c>
      <c r="P193" s="1">
        <f t="shared" si="10"/>
        <v>0.57353421017989792</v>
      </c>
    </row>
    <row r="194" spans="1:16" x14ac:dyDescent="0.3">
      <c r="A194" s="5">
        <v>42422</v>
      </c>
      <c r="B194" s="4">
        <v>1190000</v>
      </c>
      <c r="C194" s="4">
        <v>1192000</v>
      </c>
      <c r="D194" s="4">
        <v>1166000</v>
      </c>
      <c r="E194" s="4">
        <v>1175000</v>
      </c>
      <c r="F194" s="4"/>
      <c r="G194" s="1">
        <f t="shared" si="8"/>
        <v>1180750</v>
      </c>
      <c r="H194" s="1">
        <f t="shared" si="9"/>
        <v>1.0078340038111371</v>
      </c>
      <c r="I194" s="1">
        <f t="shared" si="9"/>
        <v>1.0095278424730045</v>
      </c>
      <c r="J194" s="1">
        <f t="shared" si="9"/>
        <v>0.98750793986872754</v>
      </c>
      <c r="K194" s="1">
        <f t="shared" si="9"/>
        <v>0.99513021384713107</v>
      </c>
      <c r="M194" s="1">
        <f t="shared" si="11"/>
        <v>0.63528960708999793</v>
      </c>
      <c r="N194" s="1">
        <f t="shared" si="11"/>
        <v>0.65670656826904972</v>
      </c>
      <c r="O194" s="1">
        <f t="shared" si="11"/>
        <v>0.37828607294137462</v>
      </c>
      <c r="P194" s="1">
        <f t="shared" si="10"/>
        <v>0.47466239824710782</v>
      </c>
    </row>
    <row r="195" spans="1:16" x14ac:dyDescent="0.3">
      <c r="A195" s="5">
        <v>42423</v>
      </c>
      <c r="B195" s="4">
        <v>1179000</v>
      </c>
      <c r="C195" s="4">
        <v>1189000</v>
      </c>
      <c r="D195" s="4">
        <v>1173000</v>
      </c>
      <c r="E195" s="4">
        <v>1181000</v>
      </c>
      <c r="F195" s="4"/>
      <c r="G195" s="1">
        <f t="shared" si="8"/>
        <v>1180500</v>
      </c>
      <c r="H195" s="1">
        <f t="shared" si="9"/>
        <v>0.99872935196950441</v>
      </c>
      <c r="I195" s="1">
        <f t="shared" si="9"/>
        <v>1.0072003388394748</v>
      </c>
      <c r="J195" s="1">
        <f t="shared" si="9"/>
        <v>0.99364675984752227</v>
      </c>
      <c r="K195" s="1">
        <f t="shared" si="9"/>
        <v>1.0004235493434985</v>
      </c>
      <c r="M195" s="1">
        <f t="shared" si="11"/>
        <v>0.5201700390751498</v>
      </c>
      <c r="N195" s="1">
        <f t="shared" si="11"/>
        <v>0.62727752282002736</v>
      </c>
      <c r="O195" s="1">
        <f t="shared" si="11"/>
        <v>0.45590554882822432</v>
      </c>
      <c r="P195" s="1">
        <f t="shared" si="10"/>
        <v>0.54159153582412589</v>
      </c>
    </row>
    <row r="196" spans="1:16" x14ac:dyDescent="0.3">
      <c r="A196" s="5">
        <v>42424</v>
      </c>
      <c r="B196" s="4">
        <v>1178000</v>
      </c>
      <c r="C196" s="4">
        <v>1179000</v>
      </c>
      <c r="D196" s="4">
        <v>1161000</v>
      </c>
      <c r="E196" s="4">
        <v>1172000</v>
      </c>
      <c r="F196" s="4"/>
      <c r="G196" s="1">
        <f t="shared" si="8"/>
        <v>1172500</v>
      </c>
      <c r="H196" s="1">
        <f t="shared" si="9"/>
        <v>1.0046908315565033</v>
      </c>
      <c r="I196" s="1">
        <f t="shared" si="9"/>
        <v>1.005543710021322</v>
      </c>
      <c r="J196" s="1">
        <f t="shared" si="9"/>
        <v>0.99019189765458426</v>
      </c>
      <c r="K196" s="1">
        <f t="shared" ref="K196:K249" si="12">E196/$G196</f>
        <v>0.99957356076759063</v>
      </c>
      <c r="M196" s="1">
        <f t="shared" si="11"/>
        <v>0.59554721622831597</v>
      </c>
      <c r="N196" s="1">
        <f t="shared" si="11"/>
        <v>0.60633104433584895</v>
      </c>
      <c r="O196" s="1">
        <f t="shared" si="11"/>
        <v>0.41222213840024979</v>
      </c>
      <c r="P196" s="1">
        <f t="shared" si="10"/>
        <v>0.53084424758311533</v>
      </c>
    </row>
    <row r="197" spans="1:16" x14ac:dyDescent="0.3">
      <c r="A197" s="5">
        <v>42425</v>
      </c>
      <c r="B197" s="4">
        <v>1172000</v>
      </c>
      <c r="C197" s="4">
        <v>1187000</v>
      </c>
      <c r="D197" s="4">
        <v>1172000</v>
      </c>
      <c r="E197" s="4">
        <v>1179000</v>
      </c>
      <c r="F197" s="4"/>
      <c r="G197" s="1">
        <f t="shared" ref="G197:G249" si="13">AVERAGE(B197:E197)</f>
        <v>1177500</v>
      </c>
      <c r="H197" s="1">
        <f t="shared" ref="H197:J249" si="14">B197/$G197</f>
        <v>0.99532908704883227</v>
      </c>
      <c r="I197" s="1">
        <f t="shared" si="14"/>
        <v>1.008067940552017</v>
      </c>
      <c r="J197" s="1">
        <f t="shared" si="14"/>
        <v>0.99532908704883227</v>
      </c>
      <c r="K197" s="1">
        <f t="shared" si="12"/>
        <v>1.0012738853503185</v>
      </c>
      <c r="M197" s="1">
        <f t="shared" si="11"/>
        <v>0.47717695865730209</v>
      </c>
      <c r="N197" s="1">
        <f t="shared" si="11"/>
        <v>0.63824751223797405</v>
      </c>
      <c r="O197" s="1">
        <f t="shared" si="11"/>
        <v>0.47717695865730209</v>
      </c>
      <c r="P197" s="1">
        <f t="shared" si="11"/>
        <v>0.55234321699494904</v>
      </c>
    </row>
    <row r="198" spans="1:16" x14ac:dyDescent="0.3">
      <c r="A198" s="5">
        <v>42426</v>
      </c>
      <c r="B198" s="4">
        <v>1180000</v>
      </c>
      <c r="C198" s="4">
        <v>1187000</v>
      </c>
      <c r="D198" s="4">
        <v>1172000</v>
      </c>
      <c r="E198" s="4">
        <v>1172000</v>
      </c>
      <c r="F198" s="4"/>
      <c r="G198" s="1">
        <f t="shared" si="13"/>
        <v>1177750</v>
      </c>
      <c r="H198" s="1">
        <f t="shared" si="14"/>
        <v>1.001910422415623</v>
      </c>
      <c r="I198" s="1">
        <f t="shared" si="14"/>
        <v>1.0078539588197835</v>
      </c>
      <c r="J198" s="1">
        <f t="shared" si="14"/>
        <v>0.99511780938229677</v>
      </c>
      <c r="K198" s="1">
        <f t="shared" si="12"/>
        <v>0.99511780938229677</v>
      </c>
      <c r="M198" s="1">
        <f t="shared" ref="M198:P249" si="15">(H198 - $K$1) / ($K$2 - $K$1)</f>
        <v>0.56039161612738153</v>
      </c>
      <c r="N198" s="1">
        <f t="shared" si="15"/>
        <v>0.63554191898671419</v>
      </c>
      <c r="O198" s="1">
        <f t="shared" si="15"/>
        <v>0.47450555571671577</v>
      </c>
      <c r="P198" s="1">
        <f t="shared" si="15"/>
        <v>0.47450555571671577</v>
      </c>
    </row>
    <row r="199" spans="1:16" x14ac:dyDescent="0.3">
      <c r="A199" s="5">
        <v>42429</v>
      </c>
      <c r="B199" s="4">
        <v>1179000</v>
      </c>
      <c r="C199" s="4">
        <v>1194000</v>
      </c>
      <c r="D199" s="4">
        <v>1176000</v>
      </c>
      <c r="E199" s="4">
        <v>1178000</v>
      </c>
      <c r="F199" s="4"/>
      <c r="G199" s="1">
        <f t="shared" si="13"/>
        <v>1181750</v>
      </c>
      <c r="H199" s="1">
        <f t="shared" si="14"/>
        <v>0.99767294266976936</v>
      </c>
      <c r="I199" s="1">
        <f t="shared" si="14"/>
        <v>1.0103659826528453</v>
      </c>
      <c r="J199" s="1">
        <f t="shared" si="14"/>
        <v>0.99513433467315426</v>
      </c>
      <c r="K199" s="1">
        <f t="shared" si="12"/>
        <v>0.99682674000423099</v>
      </c>
      <c r="M199" s="1">
        <f t="shared" si="15"/>
        <v>0.50681275926393632</v>
      </c>
      <c r="N199" s="1">
        <f t="shared" si="15"/>
        <v>0.6673040449345442</v>
      </c>
      <c r="O199" s="1">
        <f t="shared" si="15"/>
        <v>0.47471450212981586</v>
      </c>
      <c r="P199" s="1">
        <f t="shared" si="15"/>
        <v>0.49611334021922948</v>
      </c>
    </row>
    <row r="200" spans="1:16" x14ac:dyDescent="0.3">
      <c r="A200" s="5">
        <v>42431</v>
      </c>
      <c r="B200" s="4">
        <v>1200000</v>
      </c>
      <c r="C200" s="4">
        <v>1207000</v>
      </c>
      <c r="D200" s="4">
        <v>1196000</v>
      </c>
      <c r="E200" s="4">
        <v>1197000</v>
      </c>
      <c r="F200" s="4"/>
      <c r="G200" s="1">
        <f t="shared" si="13"/>
        <v>1200000</v>
      </c>
      <c r="H200" s="1">
        <f t="shared" si="14"/>
        <v>1</v>
      </c>
      <c r="I200" s="1">
        <f t="shared" si="14"/>
        <v>1.0058333333333334</v>
      </c>
      <c r="J200" s="1">
        <f t="shared" si="14"/>
        <v>0.9966666666666667</v>
      </c>
      <c r="K200" s="1">
        <f t="shared" si="12"/>
        <v>0.99750000000000005</v>
      </c>
      <c r="M200" s="1">
        <f t="shared" si="15"/>
        <v>0.53623616163688181</v>
      </c>
      <c r="N200" s="1">
        <f t="shared" si="15"/>
        <v>0.60999305263069814</v>
      </c>
      <c r="O200" s="1">
        <f t="shared" si="15"/>
        <v>0.49408936678327309</v>
      </c>
      <c r="P200" s="1">
        <f t="shared" si="15"/>
        <v>0.50462606549667566</v>
      </c>
    </row>
    <row r="201" spans="1:16" x14ac:dyDescent="0.3">
      <c r="A201" s="5">
        <v>42432</v>
      </c>
      <c r="B201" s="4">
        <v>1213000</v>
      </c>
      <c r="C201" s="4">
        <v>1220000</v>
      </c>
      <c r="D201" s="4">
        <v>1202000</v>
      </c>
      <c r="E201" s="4">
        <v>1220000</v>
      </c>
      <c r="F201" s="4"/>
      <c r="G201" s="1">
        <f t="shared" si="13"/>
        <v>1213750</v>
      </c>
      <c r="H201" s="1">
        <f t="shared" si="14"/>
        <v>0.99938208032955711</v>
      </c>
      <c r="I201" s="1">
        <f t="shared" si="14"/>
        <v>1.0051493305870236</v>
      </c>
      <c r="J201" s="1">
        <f t="shared" si="14"/>
        <v>0.99031925849639546</v>
      </c>
      <c r="K201" s="1">
        <f t="shared" si="12"/>
        <v>1.0051493305870236</v>
      </c>
      <c r="M201" s="1">
        <f t="shared" si="15"/>
        <v>0.52842316156103197</v>
      </c>
      <c r="N201" s="1">
        <f t="shared" si="15"/>
        <v>0.60134449560229142</v>
      </c>
      <c r="O201" s="1">
        <f t="shared" si="15"/>
        <v>0.41383249378190967</v>
      </c>
      <c r="P201" s="1">
        <f t="shared" si="15"/>
        <v>0.60134449560229142</v>
      </c>
    </row>
    <row r="202" spans="1:16" x14ac:dyDescent="0.3">
      <c r="A202" s="5">
        <v>42433</v>
      </c>
      <c r="B202" s="4">
        <v>1220000</v>
      </c>
      <c r="C202" s="4">
        <v>1228000</v>
      </c>
      <c r="D202" s="4">
        <v>1202000</v>
      </c>
      <c r="E202" s="4">
        <v>1215000</v>
      </c>
      <c r="F202" s="4"/>
      <c r="G202" s="1">
        <f t="shared" si="13"/>
        <v>1216250</v>
      </c>
      <c r="H202" s="1">
        <f t="shared" si="14"/>
        <v>1.0030832476875642</v>
      </c>
      <c r="I202" s="1">
        <f t="shared" si="14"/>
        <v>1.0096608427543678</v>
      </c>
      <c r="J202" s="1">
        <f t="shared" si="14"/>
        <v>0.98828365878725588</v>
      </c>
      <c r="K202" s="1">
        <f t="shared" si="12"/>
        <v>0.99897225077081198</v>
      </c>
      <c r="M202" s="1">
        <f t="shared" si="15"/>
        <v>0.57522086396807159</v>
      </c>
      <c r="N202" s="1">
        <f t="shared" si="15"/>
        <v>0.65838822894127735</v>
      </c>
      <c r="O202" s="1">
        <f t="shared" si="15"/>
        <v>0.38809429277835794</v>
      </c>
      <c r="P202" s="1">
        <f t="shared" si="15"/>
        <v>0.52324126085981904</v>
      </c>
    </row>
    <row r="203" spans="1:16" x14ac:dyDescent="0.3">
      <c r="A203" s="5">
        <v>42436</v>
      </c>
      <c r="B203" s="4">
        <v>1220000</v>
      </c>
      <c r="C203" s="4">
        <v>1231000</v>
      </c>
      <c r="D203" s="4">
        <v>1215000</v>
      </c>
      <c r="E203" s="4">
        <v>1223000</v>
      </c>
      <c r="F203" s="4"/>
      <c r="G203" s="1">
        <f t="shared" si="13"/>
        <v>1222250</v>
      </c>
      <c r="H203" s="1">
        <f t="shared" si="14"/>
        <v>0.99815913274698298</v>
      </c>
      <c r="I203" s="1">
        <f t="shared" si="14"/>
        <v>1.007158928206177</v>
      </c>
      <c r="J203" s="1">
        <f t="shared" si="14"/>
        <v>0.9940683166291675</v>
      </c>
      <c r="K203" s="1">
        <f t="shared" si="12"/>
        <v>1.0006136224176723</v>
      </c>
      <c r="M203" s="1">
        <f t="shared" si="15"/>
        <v>0.51296016529719124</v>
      </c>
      <c r="N203" s="1">
        <f t="shared" si="15"/>
        <v>0.62675392518011974</v>
      </c>
      <c r="O203" s="1">
        <f t="shared" si="15"/>
        <v>0.46123572898676918</v>
      </c>
      <c r="P203" s="1">
        <f t="shared" si="15"/>
        <v>0.54399482708344438</v>
      </c>
    </row>
    <row r="204" spans="1:16" x14ac:dyDescent="0.3">
      <c r="A204" s="5">
        <v>42437</v>
      </c>
      <c r="B204" s="4">
        <v>1223000</v>
      </c>
      <c r="C204" s="4">
        <v>1224000</v>
      </c>
      <c r="D204" s="4">
        <v>1186000</v>
      </c>
      <c r="E204" s="4">
        <v>1192000</v>
      </c>
      <c r="F204" s="4"/>
      <c r="G204" s="1">
        <f t="shared" si="13"/>
        <v>1206250</v>
      </c>
      <c r="H204" s="1">
        <f t="shared" si="14"/>
        <v>1.0138860103626943</v>
      </c>
      <c r="I204" s="1">
        <f t="shared" si="14"/>
        <v>1.0147150259067357</v>
      </c>
      <c r="J204" s="1">
        <f t="shared" si="14"/>
        <v>0.9832124352331606</v>
      </c>
      <c r="K204" s="1">
        <f t="shared" si="12"/>
        <v>0.98818652849740929</v>
      </c>
      <c r="M204" s="1">
        <f t="shared" si="15"/>
        <v>0.7118114106643525</v>
      </c>
      <c r="N204" s="1">
        <f t="shared" si="15"/>
        <v>0.72229351508390172</v>
      </c>
      <c r="O204" s="1">
        <f t="shared" si="15"/>
        <v>0.32397354714098453</v>
      </c>
      <c r="P204" s="1">
        <f t="shared" si="15"/>
        <v>0.38686617365828718</v>
      </c>
    </row>
    <row r="205" spans="1:16" x14ac:dyDescent="0.3">
      <c r="A205" s="5">
        <v>42438</v>
      </c>
      <c r="B205" s="4">
        <v>1188000</v>
      </c>
      <c r="C205" s="4">
        <v>1199000</v>
      </c>
      <c r="D205" s="4">
        <v>1177000</v>
      </c>
      <c r="E205" s="4">
        <v>1194000</v>
      </c>
      <c r="F205" s="4"/>
      <c r="G205" s="1">
        <f t="shared" si="13"/>
        <v>1189500</v>
      </c>
      <c r="H205" s="1">
        <f t="shared" si="14"/>
        <v>0.99873896595208067</v>
      </c>
      <c r="I205" s="1">
        <f t="shared" si="14"/>
        <v>1.0079865489701556</v>
      </c>
      <c r="J205" s="1">
        <f t="shared" si="14"/>
        <v>0.98949138293400585</v>
      </c>
      <c r="K205" s="1">
        <f t="shared" si="12"/>
        <v>1.003783102143758</v>
      </c>
      <c r="M205" s="1">
        <f t="shared" si="15"/>
        <v>0.52029159864056007</v>
      </c>
      <c r="N205" s="1">
        <f t="shared" si="15"/>
        <v>0.63721839394691737</v>
      </c>
      <c r="O205" s="1">
        <f t="shared" si="15"/>
        <v>0.40336480333420427</v>
      </c>
      <c r="P205" s="1">
        <f t="shared" si="15"/>
        <v>0.58406985062584693</v>
      </c>
    </row>
    <row r="206" spans="1:16" x14ac:dyDescent="0.3">
      <c r="A206" s="5">
        <v>42439</v>
      </c>
      <c r="B206" s="4">
        <v>1208000</v>
      </c>
      <c r="C206" s="4">
        <v>1236000</v>
      </c>
      <c r="D206" s="4">
        <v>1201000</v>
      </c>
      <c r="E206" s="4">
        <v>1225000</v>
      </c>
      <c r="F206" s="4"/>
      <c r="G206" s="1">
        <f t="shared" si="13"/>
        <v>1217500</v>
      </c>
      <c r="H206" s="1">
        <f t="shared" si="14"/>
        <v>0.99219712525667347</v>
      </c>
      <c r="I206" s="1">
        <f t="shared" si="14"/>
        <v>1.0151950718685832</v>
      </c>
      <c r="J206" s="1">
        <f t="shared" si="14"/>
        <v>0.98644763860369611</v>
      </c>
      <c r="K206" s="1">
        <f t="shared" si="12"/>
        <v>1.0061601642710472</v>
      </c>
      <c r="M206" s="1">
        <f t="shared" si="15"/>
        <v>0.43757631331426439</v>
      </c>
      <c r="N206" s="1">
        <f t="shared" si="15"/>
        <v>0.72836323468618847</v>
      </c>
      <c r="O206" s="1">
        <f t="shared" si="15"/>
        <v>0.36487958297128409</v>
      </c>
      <c r="P206" s="1">
        <f t="shared" si="15"/>
        <v>0.61412551557578898</v>
      </c>
    </row>
    <row r="207" spans="1:16" x14ac:dyDescent="0.3">
      <c r="A207" s="5">
        <v>42440</v>
      </c>
      <c r="B207" s="4">
        <v>1225000</v>
      </c>
      <c r="C207" s="4">
        <v>1253000</v>
      </c>
      <c r="D207" s="4">
        <v>1216000</v>
      </c>
      <c r="E207" s="4">
        <v>1249000</v>
      </c>
      <c r="F207" s="4"/>
      <c r="G207" s="1">
        <f t="shared" si="13"/>
        <v>1235750</v>
      </c>
      <c r="H207" s="1">
        <f t="shared" si="14"/>
        <v>0.99130082945579612</v>
      </c>
      <c r="I207" s="1">
        <f t="shared" si="14"/>
        <v>1.0139591341290715</v>
      </c>
      <c r="J207" s="1">
        <f t="shared" si="14"/>
        <v>0.98401780295367181</v>
      </c>
      <c r="K207" s="1">
        <f t="shared" si="12"/>
        <v>1.0107222334614607</v>
      </c>
      <c r="M207" s="1">
        <f t="shared" si="15"/>
        <v>0.42624351473994559</v>
      </c>
      <c r="N207" s="1">
        <f t="shared" si="15"/>
        <v>0.71273599037847857</v>
      </c>
      <c r="O207" s="1">
        <f t="shared" si="15"/>
        <v>0.33415664757041597</v>
      </c>
      <c r="P207" s="1">
        <f t="shared" si="15"/>
        <v>0.67180849385868857</v>
      </c>
    </row>
    <row r="208" spans="1:16" x14ac:dyDescent="0.3">
      <c r="A208" s="5">
        <v>42443</v>
      </c>
      <c r="B208" s="4">
        <v>1267000</v>
      </c>
      <c r="C208" s="4">
        <v>1273000</v>
      </c>
      <c r="D208" s="4">
        <v>1249000</v>
      </c>
      <c r="E208" s="4">
        <v>1255000</v>
      </c>
      <c r="F208" s="4"/>
      <c r="G208" s="1">
        <f t="shared" si="13"/>
        <v>1261000</v>
      </c>
      <c r="H208" s="1">
        <f t="shared" si="14"/>
        <v>1.0047581284694687</v>
      </c>
      <c r="I208" s="1">
        <f t="shared" si="14"/>
        <v>1.0095162569389373</v>
      </c>
      <c r="J208" s="1">
        <f t="shared" si="14"/>
        <v>0.99048374306106268</v>
      </c>
      <c r="K208" s="1">
        <f t="shared" si="12"/>
        <v>0.99524187153053134</v>
      </c>
      <c r="M208" s="1">
        <f t="shared" si="15"/>
        <v>0.59639812098382572</v>
      </c>
      <c r="N208" s="1">
        <f t="shared" si="15"/>
        <v>0.65656008033076962</v>
      </c>
      <c r="O208" s="1">
        <f t="shared" si="15"/>
        <v>0.41591224294299406</v>
      </c>
      <c r="P208" s="1">
        <f t="shared" si="15"/>
        <v>0.47607420228993791</v>
      </c>
    </row>
    <row r="209" spans="1:16" x14ac:dyDescent="0.3">
      <c r="A209" s="5">
        <v>42444</v>
      </c>
      <c r="B209" s="4">
        <v>1255000</v>
      </c>
      <c r="C209" s="4">
        <v>1264000</v>
      </c>
      <c r="D209" s="4">
        <v>1246000</v>
      </c>
      <c r="E209" s="4">
        <v>1253000</v>
      </c>
      <c r="F209" s="4"/>
      <c r="G209" s="1">
        <f t="shared" si="13"/>
        <v>1254500</v>
      </c>
      <c r="H209" s="1">
        <f t="shared" si="14"/>
        <v>1.0003985651654046</v>
      </c>
      <c r="I209" s="1">
        <f t="shared" si="14"/>
        <v>1.0075727381426862</v>
      </c>
      <c r="J209" s="1">
        <f t="shared" si="14"/>
        <v>0.99322439218812275</v>
      </c>
      <c r="K209" s="1">
        <f t="shared" si="12"/>
        <v>0.99880430450378632</v>
      </c>
      <c r="M209" s="1">
        <f t="shared" si="15"/>
        <v>0.54127563491551256</v>
      </c>
      <c r="N209" s="1">
        <f t="shared" si="15"/>
        <v>0.63198615393085111</v>
      </c>
      <c r="O209" s="1">
        <f t="shared" si="15"/>
        <v>0.45056511590017118</v>
      </c>
      <c r="P209" s="1">
        <f t="shared" si="15"/>
        <v>0.52111774180099113</v>
      </c>
    </row>
    <row r="210" spans="1:16" x14ac:dyDescent="0.3">
      <c r="A210" s="5">
        <v>42445</v>
      </c>
      <c r="B210" s="4">
        <v>1256000</v>
      </c>
      <c r="C210" s="4">
        <v>1263000</v>
      </c>
      <c r="D210" s="4">
        <v>1253000</v>
      </c>
      <c r="E210" s="4">
        <v>1256000</v>
      </c>
      <c r="F210" s="4"/>
      <c r="G210" s="1">
        <f t="shared" si="13"/>
        <v>1257000</v>
      </c>
      <c r="H210" s="1">
        <f t="shared" si="14"/>
        <v>0.99920445505171041</v>
      </c>
      <c r="I210" s="1">
        <f t="shared" si="14"/>
        <v>1.0047732696897376</v>
      </c>
      <c r="J210" s="1">
        <f t="shared" si="14"/>
        <v>0.99681782020684173</v>
      </c>
      <c r="K210" s="1">
        <f t="shared" si="12"/>
        <v>0.99920445505171041</v>
      </c>
      <c r="M210" s="1">
        <f t="shared" si="15"/>
        <v>0.52617726071716586</v>
      </c>
      <c r="N210" s="1">
        <f t="shared" si="15"/>
        <v>0.59658956715517786</v>
      </c>
      <c r="O210" s="1">
        <f t="shared" si="15"/>
        <v>0.49600055795801923</v>
      </c>
      <c r="P210" s="1">
        <f t="shared" si="15"/>
        <v>0.52617726071716586</v>
      </c>
    </row>
    <row r="211" spans="1:16" x14ac:dyDescent="0.3">
      <c r="A211" s="5">
        <v>42446</v>
      </c>
      <c r="B211" s="4">
        <v>1265000</v>
      </c>
      <c r="C211" s="4">
        <v>1296000</v>
      </c>
      <c r="D211" s="4">
        <v>1257000</v>
      </c>
      <c r="E211" s="4">
        <v>1263000</v>
      </c>
      <c r="F211" s="4"/>
      <c r="G211" s="1">
        <f t="shared" si="13"/>
        <v>1270250</v>
      </c>
      <c r="H211" s="1">
        <f t="shared" si="14"/>
        <v>0.99586695532375513</v>
      </c>
      <c r="I211" s="1">
        <f t="shared" si="14"/>
        <v>1.0202716000787246</v>
      </c>
      <c r="J211" s="1">
        <f t="shared" si="14"/>
        <v>0.98956898248376302</v>
      </c>
      <c r="K211" s="1">
        <f t="shared" si="12"/>
        <v>0.9942924621137571</v>
      </c>
      <c r="M211" s="1">
        <f t="shared" si="15"/>
        <v>0.48397778580973361</v>
      </c>
      <c r="N211" s="1">
        <f t="shared" si="15"/>
        <v>0.79255105259860636</v>
      </c>
      <c r="O211" s="1">
        <f t="shared" si="15"/>
        <v>0.40434597502550856</v>
      </c>
      <c r="P211" s="1">
        <f t="shared" si="15"/>
        <v>0.46406983311367739</v>
      </c>
    </row>
    <row r="212" spans="1:16" x14ac:dyDescent="0.3">
      <c r="A212" s="5">
        <v>42447</v>
      </c>
      <c r="B212" s="4">
        <v>1278000</v>
      </c>
      <c r="C212" s="4">
        <v>1278000</v>
      </c>
      <c r="D212" s="4">
        <v>1263000</v>
      </c>
      <c r="E212" s="4">
        <v>1273000</v>
      </c>
      <c r="F212" s="4"/>
      <c r="G212" s="1">
        <f t="shared" si="13"/>
        <v>1273000</v>
      </c>
      <c r="H212" s="1">
        <f t="shared" si="14"/>
        <v>1.0039277297721916</v>
      </c>
      <c r="I212" s="1">
        <f t="shared" si="14"/>
        <v>1.0039277297721916</v>
      </c>
      <c r="J212" s="1">
        <f t="shared" si="14"/>
        <v>0.99214454045561662</v>
      </c>
      <c r="K212" s="1">
        <f t="shared" si="12"/>
        <v>1</v>
      </c>
      <c r="M212" s="1">
        <f t="shared" si="15"/>
        <v>0.58589852792157326</v>
      </c>
      <c r="N212" s="1">
        <f t="shared" si="15"/>
        <v>0.58589852792157326</v>
      </c>
      <c r="O212" s="1">
        <f t="shared" si="15"/>
        <v>0.43691142906749608</v>
      </c>
      <c r="P212" s="1">
        <f t="shared" si="15"/>
        <v>0.53623616163688181</v>
      </c>
    </row>
    <row r="213" spans="1:16" x14ac:dyDescent="0.3">
      <c r="A213" s="5">
        <v>42450</v>
      </c>
      <c r="B213" s="4">
        <v>1274000</v>
      </c>
      <c r="C213" s="4">
        <v>1279000</v>
      </c>
      <c r="D213" s="4">
        <v>1258000</v>
      </c>
      <c r="E213" s="4">
        <v>1267000</v>
      </c>
      <c r="F213" s="4"/>
      <c r="G213" s="1">
        <f t="shared" si="13"/>
        <v>1269500</v>
      </c>
      <c r="H213" s="1">
        <f t="shared" si="14"/>
        <v>1.0035447026388342</v>
      </c>
      <c r="I213" s="1">
        <f t="shared" si="14"/>
        <v>1.0074832611264277</v>
      </c>
      <c r="J213" s="1">
        <f t="shared" si="14"/>
        <v>0.99094131547853481</v>
      </c>
      <c r="K213" s="1">
        <f t="shared" si="12"/>
        <v>0.99803072075620325</v>
      </c>
      <c r="M213" s="1">
        <f t="shared" si="15"/>
        <v>0.58105551811767975</v>
      </c>
      <c r="N213" s="1">
        <f t="shared" si="15"/>
        <v>0.63085480309634301</v>
      </c>
      <c r="O213" s="1">
        <f t="shared" si="15"/>
        <v>0.42169780618595437</v>
      </c>
      <c r="P213" s="1">
        <f t="shared" si="15"/>
        <v>0.51133651914755018</v>
      </c>
    </row>
    <row r="214" spans="1:16" x14ac:dyDescent="0.3">
      <c r="A214" s="5">
        <v>42451</v>
      </c>
      <c r="B214" s="4">
        <v>1267000</v>
      </c>
      <c r="C214" s="4">
        <v>1279000</v>
      </c>
      <c r="D214" s="4">
        <v>1262000</v>
      </c>
      <c r="E214" s="4">
        <v>1269000</v>
      </c>
      <c r="F214" s="4"/>
      <c r="G214" s="1">
        <f t="shared" si="13"/>
        <v>1269250</v>
      </c>
      <c r="H214" s="1">
        <f t="shared" si="14"/>
        <v>0.99822729958636991</v>
      </c>
      <c r="I214" s="1">
        <f t="shared" si="14"/>
        <v>1.0076817017923971</v>
      </c>
      <c r="J214" s="1">
        <f t="shared" si="14"/>
        <v>0.99428796533385855</v>
      </c>
      <c r="K214" s="1">
        <f t="shared" si="12"/>
        <v>0.99980303328737441</v>
      </c>
      <c r="M214" s="1">
        <f t="shared" si="15"/>
        <v>0.5138220694358292</v>
      </c>
      <c r="N214" s="1">
        <f t="shared" si="15"/>
        <v>0.63336389450811104</v>
      </c>
      <c r="O214" s="1">
        <f t="shared" si="15"/>
        <v>0.46401297565571148</v>
      </c>
      <c r="P214" s="1">
        <f t="shared" si="15"/>
        <v>0.53374570694787571</v>
      </c>
    </row>
    <row r="215" spans="1:16" x14ac:dyDescent="0.3">
      <c r="A215" s="5">
        <v>42452</v>
      </c>
      <c r="B215" s="4">
        <v>1269000</v>
      </c>
      <c r="C215" s="4">
        <v>1279000</v>
      </c>
      <c r="D215" s="4">
        <v>1262000</v>
      </c>
      <c r="E215" s="4">
        <v>1279000</v>
      </c>
      <c r="F215" s="4"/>
      <c r="G215" s="1">
        <f t="shared" si="13"/>
        <v>1272250</v>
      </c>
      <c r="H215" s="1">
        <f t="shared" si="14"/>
        <v>0.99744547062291211</v>
      </c>
      <c r="I215" s="1">
        <f t="shared" si="14"/>
        <v>1.0053055610139516</v>
      </c>
      <c r="J215" s="1">
        <f t="shared" si="14"/>
        <v>0.99194340734918451</v>
      </c>
      <c r="K215" s="1">
        <f t="shared" si="12"/>
        <v>1.0053055610139516</v>
      </c>
      <c r="M215" s="1">
        <f t="shared" si="15"/>
        <v>0.50393659395578949</v>
      </c>
      <c r="N215" s="1">
        <f t="shared" si="15"/>
        <v>0.6033198791283797</v>
      </c>
      <c r="O215" s="1">
        <f t="shared" si="15"/>
        <v>0.43436829433497715</v>
      </c>
      <c r="P215" s="1">
        <f t="shared" si="15"/>
        <v>0.6033198791283797</v>
      </c>
    </row>
    <row r="216" spans="1:16" x14ac:dyDescent="0.3">
      <c r="A216" s="5">
        <v>42453</v>
      </c>
      <c r="B216" s="4">
        <v>1279000</v>
      </c>
      <c r="C216" s="4">
        <v>1290000</v>
      </c>
      <c r="D216" s="4">
        <v>1266000</v>
      </c>
      <c r="E216" s="4">
        <v>1282000</v>
      </c>
      <c r="F216" s="4"/>
      <c r="G216" s="1">
        <f t="shared" si="13"/>
        <v>1279250</v>
      </c>
      <c r="H216" s="1">
        <f t="shared" si="14"/>
        <v>0.99980457299198744</v>
      </c>
      <c r="I216" s="1">
        <f t="shared" si="14"/>
        <v>1.0084033613445378</v>
      </c>
      <c r="J216" s="1">
        <f t="shared" si="14"/>
        <v>0.98964236857533716</v>
      </c>
      <c r="K216" s="1">
        <f t="shared" si="12"/>
        <v>1.0021496970881376</v>
      </c>
      <c r="M216" s="1">
        <f t="shared" si="15"/>
        <v>0.53376517503221377</v>
      </c>
      <c r="N216" s="1">
        <f t="shared" si="15"/>
        <v>0.64248858563757683</v>
      </c>
      <c r="O216" s="1">
        <f t="shared" si="15"/>
        <v>0.40527387158951372</v>
      </c>
      <c r="P216" s="1">
        <f t="shared" si="15"/>
        <v>0.56341701428822288</v>
      </c>
    </row>
    <row r="217" spans="1:16" x14ac:dyDescent="0.3">
      <c r="A217" s="5">
        <v>42454</v>
      </c>
      <c r="B217" s="4">
        <v>1283000</v>
      </c>
      <c r="C217" s="4">
        <v>1290000</v>
      </c>
      <c r="D217" s="4">
        <v>1278000</v>
      </c>
      <c r="E217" s="4">
        <v>1288000</v>
      </c>
      <c r="F217" s="4"/>
      <c r="G217" s="1">
        <f t="shared" si="13"/>
        <v>1284750</v>
      </c>
      <c r="H217" s="1">
        <f t="shared" si="14"/>
        <v>0.99863786728935588</v>
      </c>
      <c r="I217" s="1">
        <f t="shared" si="14"/>
        <v>1.0040863981319323</v>
      </c>
      <c r="J217" s="1">
        <f t="shared" si="14"/>
        <v>0.99474605954465845</v>
      </c>
      <c r="K217" s="1">
        <f t="shared" si="12"/>
        <v>1.0025296750340533</v>
      </c>
      <c r="M217" s="1">
        <f t="shared" si="15"/>
        <v>0.51901330326120942</v>
      </c>
      <c r="N217" s="1">
        <f t="shared" si="15"/>
        <v>0.58790473676389909</v>
      </c>
      <c r="O217" s="1">
        <f t="shared" si="15"/>
        <v>0.4698051364735743</v>
      </c>
      <c r="P217" s="1">
        <f t="shared" si="15"/>
        <v>0.56822147004884449</v>
      </c>
    </row>
    <row r="218" spans="1:16" x14ac:dyDescent="0.3">
      <c r="A218" s="5">
        <v>42457</v>
      </c>
      <c r="B218" s="4">
        <v>1288000</v>
      </c>
      <c r="C218" s="4">
        <v>1300000</v>
      </c>
      <c r="D218" s="4">
        <v>1288000</v>
      </c>
      <c r="E218" s="4">
        <v>1294000</v>
      </c>
      <c r="F218" s="4"/>
      <c r="G218" s="1">
        <f t="shared" si="13"/>
        <v>1292500</v>
      </c>
      <c r="H218" s="1">
        <f t="shared" si="14"/>
        <v>0.99651837524177944</v>
      </c>
      <c r="I218" s="1">
        <f t="shared" si="14"/>
        <v>1.0058027079303675</v>
      </c>
      <c r="J218" s="1">
        <f t="shared" si="14"/>
        <v>0.99651837524177944</v>
      </c>
      <c r="K218" s="1">
        <f t="shared" si="12"/>
        <v>1.0011605415860736</v>
      </c>
      <c r="M218" s="1">
        <f t="shared" si="15"/>
        <v>0.49221436430429127</v>
      </c>
      <c r="N218" s="1">
        <f t="shared" si="15"/>
        <v>0.6096058238578651</v>
      </c>
      <c r="O218" s="1">
        <f t="shared" si="15"/>
        <v>0.49221436430429127</v>
      </c>
      <c r="P218" s="1">
        <f t="shared" si="15"/>
        <v>0.5509100940810796</v>
      </c>
    </row>
    <row r="219" spans="1:16" x14ac:dyDescent="0.3">
      <c r="A219" s="5">
        <v>42458</v>
      </c>
      <c r="B219" s="4">
        <v>1294000</v>
      </c>
      <c r="C219" s="4">
        <v>1300000</v>
      </c>
      <c r="D219" s="4">
        <v>1285000</v>
      </c>
      <c r="E219" s="4">
        <v>1290000</v>
      </c>
      <c r="F219" s="4"/>
      <c r="G219" s="1">
        <f t="shared" si="13"/>
        <v>1292250</v>
      </c>
      <c r="H219" s="1">
        <f t="shared" si="14"/>
        <v>1.0013542271232347</v>
      </c>
      <c r="I219" s="1">
        <f t="shared" si="14"/>
        <v>1.0059972915457536</v>
      </c>
      <c r="J219" s="1">
        <f t="shared" si="14"/>
        <v>0.99438963048945639</v>
      </c>
      <c r="K219" s="1">
        <f t="shared" si="12"/>
        <v>0.99825885084155541</v>
      </c>
      <c r="M219" s="1">
        <f t="shared" si="15"/>
        <v>0.55335906146133218</v>
      </c>
      <c r="N219" s="1">
        <f t="shared" si="15"/>
        <v>0.61206614657372993</v>
      </c>
      <c r="O219" s="1">
        <f t="shared" si="15"/>
        <v>0.46529843379273422</v>
      </c>
      <c r="P219" s="1">
        <f t="shared" si="15"/>
        <v>0.51422100471973231</v>
      </c>
    </row>
    <row r="220" spans="1:16" x14ac:dyDescent="0.3">
      <c r="A220" s="5">
        <v>42459</v>
      </c>
      <c r="B220" s="4">
        <v>1310000</v>
      </c>
      <c r="C220" s="4">
        <v>1321000</v>
      </c>
      <c r="D220" s="4">
        <v>1302000</v>
      </c>
      <c r="E220" s="4">
        <v>1308000</v>
      </c>
      <c r="F220" s="4"/>
      <c r="G220" s="1">
        <f t="shared" si="13"/>
        <v>1310250</v>
      </c>
      <c r="H220" s="1">
        <f t="shared" si="14"/>
        <v>0.99980919671818358</v>
      </c>
      <c r="I220" s="1">
        <f t="shared" si="14"/>
        <v>1.0082045411181073</v>
      </c>
      <c r="J220" s="1">
        <f t="shared" si="14"/>
        <v>0.99370349170005723</v>
      </c>
      <c r="K220" s="1">
        <f t="shared" si="12"/>
        <v>0.99828277046365199</v>
      </c>
      <c r="M220" s="1">
        <f t="shared" si="15"/>
        <v>0.53382363760404816</v>
      </c>
      <c r="N220" s="1">
        <f t="shared" si="15"/>
        <v>0.63997469504874283</v>
      </c>
      <c r="O220" s="1">
        <f t="shared" si="15"/>
        <v>0.45662286855336121</v>
      </c>
      <c r="P220" s="1">
        <f t="shared" si="15"/>
        <v>0.5145234453413764</v>
      </c>
    </row>
    <row r="221" spans="1:16" x14ac:dyDescent="0.3">
      <c r="A221" s="5">
        <v>42460</v>
      </c>
      <c r="B221" s="4">
        <v>1306000</v>
      </c>
      <c r="C221" s="4">
        <v>1314000</v>
      </c>
      <c r="D221" s="4">
        <v>1298000</v>
      </c>
      <c r="E221" s="4">
        <v>1312000</v>
      </c>
      <c r="F221" s="4"/>
      <c r="G221" s="1">
        <f t="shared" si="13"/>
        <v>1307500</v>
      </c>
      <c r="H221" s="1">
        <f t="shared" si="14"/>
        <v>0.99885277246653925</v>
      </c>
      <c r="I221" s="1">
        <f t="shared" si="14"/>
        <v>1.0049713193116634</v>
      </c>
      <c r="J221" s="1">
        <f t="shared" si="14"/>
        <v>0.99273422562141489</v>
      </c>
      <c r="K221" s="1">
        <f t="shared" si="12"/>
        <v>1.0034416826003825</v>
      </c>
      <c r="M221" s="1">
        <f t="shared" si="15"/>
        <v>0.52173057258592714</v>
      </c>
      <c r="N221" s="1">
        <f t="shared" si="15"/>
        <v>0.59909371419102053</v>
      </c>
      <c r="O221" s="1">
        <f t="shared" si="15"/>
        <v>0.44436743098083092</v>
      </c>
      <c r="P221" s="1">
        <f t="shared" si="15"/>
        <v>0.5797529287897486</v>
      </c>
    </row>
    <row r="222" spans="1:16" x14ac:dyDescent="0.3">
      <c r="A222" s="5">
        <v>42461</v>
      </c>
      <c r="B222" s="4">
        <v>1299000</v>
      </c>
      <c r="C222" s="4">
        <v>1309000</v>
      </c>
      <c r="D222" s="4">
        <v>1271000</v>
      </c>
      <c r="E222" s="4">
        <v>1279000</v>
      </c>
      <c r="F222" s="4"/>
      <c r="G222" s="1">
        <f t="shared" si="13"/>
        <v>1289500</v>
      </c>
      <c r="H222" s="1">
        <f t="shared" si="14"/>
        <v>1.0073671965878248</v>
      </c>
      <c r="I222" s="1">
        <f t="shared" si="14"/>
        <v>1.0151221403644823</v>
      </c>
      <c r="J222" s="1">
        <f t="shared" si="14"/>
        <v>0.98565335401318344</v>
      </c>
      <c r="K222" s="1">
        <f t="shared" si="12"/>
        <v>0.99185730903450953</v>
      </c>
      <c r="M222" s="1">
        <f t="shared" si="15"/>
        <v>0.62938727860686039</v>
      </c>
      <c r="N222" s="1">
        <f t="shared" si="15"/>
        <v>0.72744108594367773</v>
      </c>
      <c r="O222" s="1">
        <f t="shared" si="15"/>
        <v>0.35483661806376787</v>
      </c>
      <c r="P222" s="1">
        <f t="shared" si="15"/>
        <v>0.4332796639332227</v>
      </c>
    </row>
    <row r="223" spans="1:16" x14ac:dyDescent="0.3">
      <c r="A223" s="5">
        <v>42464</v>
      </c>
      <c r="B223" s="4">
        <v>1279000</v>
      </c>
      <c r="C223" s="4">
        <v>1305000</v>
      </c>
      <c r="D223" s="4">
        <v>1279000</v>
      </c>
      <c r="E223" s="4">
        <v>1305000</v>
      </c>
      <c r="F223" s="4"/>
      <c r="G223" s="1">
        <f t="shared" si="13"/>
        <v>1292000</v>
      </c>
      <c r="H223" s="1">
        <f t="shared" si="14"/>
        <v>0.98993808049535603</v>
      </c>
      <c r="I223" s="1">
        <f t="shared" si="14"/>
        <v>1.0100619195046439</v>
      </c>
      <c r="J223" s="1">
        <f t="shared" si="14"/>
        <v>0.98993808049535603</v>
      </c>
      <c r="K223" s="1">
        <f t="shared" si="12"/>
        <v>1.0100619195046439</v>
      </c>
      <c r="M223" s="1">
        <f t="shared" si="15"/>
        <v>0.40901286447815438</v>
      </c>
      <c r="N223" s="1">
        <f t="shared" si="15"/>
        <v>0.66345945879560786</v>
      </c>
      <c r="O223" s="1">
        <f t="shared" si="15"/>
        <v>0.40901286447815438</v>
      </c>
      <c r="P223" s="1">
        <f t="shared" si="15"/>
        <v>0.66345945879560786</v>
      </c>
    </row>
    <row r="224" spans="1:16" x14ac:dyDescent="0.3">
      <c r="A224" s="5">
        <v>42465</v>
      </c>
      <c r="B224" s="4">
        <v>1299000</v>
      </c>
      <c r="C224" s="4">
        <v>1299000</v>
      </c>
      <c r="D224" s="4">
        <v>1260000</v>
      </c>
      <c r="E224" s="4">
        <v>1260000</v>
      </c>
      <c r="F224" s="4"/>
      <c r="G224" s="1">
        <f t="shared" si="13"/>
        <v>1279500</v>
      </c>
      <c r="H224" s="1">
        <f t="shared" si="14"/>
        <v>1.0152403282532239</v>
      </c>
      <c r="I224" s="1">
        <f t="shared" si="14"/>
        <v>1.0152403282532239</v>
      </c>
      <c r="J224" s="1">
        <f t="shared" si="14"/>
        <v>0.98475967174677603</v>
      </c>
      <c r="K224" s="1">
        <f t="shared" si="12"/>
        <v>0.98475967174677603</v>
      </c>
      <c r="M224" s="1">
        <f t="shared" si="15"/>
        <v>0.72893545815396876</v>
      </c>
      <c r="N224" s="1">
        <f t="shared" si="15"/>
        <v>0.72893545815396876</v>
      </c>
      <c r="O224" s="1">
        <f t="shared" si="15"/>
        <v>0.34353686511979348</v>
      </c>
      <c r="P224" s="1">
        <f t="shared" si="15"/>
        <v>0.34353686511979348</v>
      </c>
    </row>
    <row r="225" spans="1:16" x14ac:dyDescent="0.3">
      <c r="A225" s="5">
        <v>42466</v>
      </c>
      <c r="B225" s="4">
        <v>1269000</v>
      </c>
      <c r="C225" s="4">
        <v>1291000</v>
      </c>
      <c r="D225" s="4">
        <v>1268000</v>
      </c>
      <c r="E225" s="4">
        <v>1285000</v>
      </c>
      <c r="F225" s="4"/>
      <c r="G225" s="1">
        <f t="shared" si="13"/>
        <v>1278250</v>
      </c>
      <c r="H225" s="1">
        <f t="shared" si="14"/>
        <v>0.99276354390768629</v>
      </c>
      <c r="I225" s="1">
        <f t="shared" si="14"/>
        <v>1.0099745746137296</v>
      </c>
      <c r="J225" s="1">
        <f t="shared" si="14"/>
        <v>0.99198122433013891</v>
      </c>
      <c r="K225" s="1">
        <f t="shared" si="12"/>
        <v>1.0052806571484452</v>
      </c>
      <c r="M225" s="1">
        <f t="shared" si="15"/>
        <v>0.4447381325199129</v>
      </c>
      <c r="N225" s="1">
        <f t="shared" si="15"/>
        <v>0.66235506663594612</v>
      </c>
      <c r="O225" s="1">
        <f t="shared" si="15"/>
        <v>0.43484645369645747</v>
      </c>
      <c r="P225" s="1">
        <f t="shared" si="15"/>
        <v>0.60300499369521077</v>
      </c>
    </row>
    <row r="226" spans="1:16" x14ac:dyDescent="0.3">
      <c r="A226" s="5">
        <v>42467</v>
      </c>
      <c r="B226" s="4">
        <v>1300000</v>
      </c>
      <c r="C226" s="4">
        <v>1300000</v>
      </c>
      <c r="D226" s="4">
        <v>1258000</v>
      </c>
      <c r="E226" s="4">
        <v>1269000</v>
      </c>
      <c r="F226" s="4"/>
      <c r="G226" s="1">
        <f t="shared" si="13"/>
        <v>1281750</v>
      </c>
      <c r="H226" s="1">
        <f t="shared" si="14"/>
        <v>1.0142383460113127</v>
      </c>
      <c r="I226" s="1">
        <f t="shared" si="14"/>
        <v>1.0142383460113127</v>
      </c>
      <c r="J226" s="1">
        <f t="shared" si="14"/>
        <v>0.98147064560171637</v>
      </c>
      <c r="K226" s="1">
        <f t="shared" si="12"/>
        <v>0.99005266237565825</v>
      </c>
      <c r="M226" s="1">
        <f t="shared" si="15"/>
        <v>0.71626635615493195</v>
      </c>
      <c r="N226" s="1">
        <f t="shared" si="15"/>
        <v>0.71626635615493195</v>
      </c>
      <c r="O226" s="1">
        <f t="shared" si="15"/>
        <v>0.30195029205859758</v>
      </c>
      <c r="P226" s="1">
        <f t="shared" si="15"/>
        <v>0.41046164217906594</v>
      </c>
    </row>
    <row r="227" spans="1:16" x14ac:dyDescent="0.3">
      <c r="A227" s="5">
        <v>42468</v>
      </c>
      <c r="B227" s="4">
        <v>1269000</v>
      </c>
      <c r="C227" s="4">
        <v>1269000</v>
      </c>
      <c r="D227" s="4">
        <v>1240000</v>
      </c>
      <c r="E227" s="4">
        <v>1246000</v>
      </c>
      <c r="F227" s="4"/>
      <c r="G227" s="1">
        <f t="shared" si="13"/>
        <v>1256000</v>
      </c>
      <c r="H227" s="1">
        <f t="shared" si="14"/>
        <v>1.0103503184713376</v>
      </c>
      <c r="I227" s="1">
        <f t="shared" si="14"/>
        <v>1.0103503184713376</v>
      </c>
      <c r="J227" s="1">
        <f t="shared" si="14"/>
        <v>0.98726114649681529</v>
      </c>
      <c r="K227" s="1">
        <f t="shared" si="12"/>
        <v>0.9920382165605095</v>
      </c>
      <c r="M227" s="1">
        <f t="shared" si="15"/>
        <v>0.66710598642117813</v>
      </c>
      <c r="N227" s="1">
        <f t="shared" si="15"/>
        <v>0.66710598642117813</v>
      </c>
      <c r="O227" s="1">
        <f t="shared" si="15"/>
        <v>0.37516560805620985</v>
      </c>
      <c r="P227" s="1">
        <f t="shared" si="15"/>
        <v>0.43556706564896114</v>
      </c>
    </row>
    <row r="228" spans="1:16" x14ac:dyDescent="0.3">
      <c r="A228" s="5">
        <v>42471</v>
      </c>
      <c r="B228" s="4">
        <v>1246000</v>
      </c>
      <c r="C228" s="4">
        <v>1271000</v>
      </c>
      <c r="D228" s="4">
        <v>1246000</v>
      </c>
      <c r="E228" s="4">
        <v>1266000</v>
      </c>
      <c r="F228" s="4"/>
      <c r="G228" s="1">
        <f t="shared" si="13"/>
        <v>1257250</v>
      </c>
      <c r="H228" s="1">
        <f t="shared" si="14"/>
        <v>0.99105189898588186</v>
      </c>
      <c r="I228" s="1">
        <f t="shared" si="14"/>
        <v>1.0109365679061444</v>
      </c>
      <c r="J228" s="1">
        <f t="shared" si="14"/>
        <v>0.99105189898588186</v>
      </c>
      <c r="K228" s="1">
        <f t="shared" si="12"/>
        <v>1.0069596341220919</v>
      </c>
      <c r="M228" s="1">
        <f t="shared" si="15"/>
        <v>0.423096028305459</v>
      </c>
      <c r="N228" s="1">
        <f t="shared" si="15"/>
        <v>0.67451854681973189</v>
      </c>
      <c r="O228" s="1">
        <f t="shared" si="15"/>
        <v>0.423096028305459</v>
      </c>
      <c r="P228" s="1">
        <f t="shared" si="15"/>
        <v>0.62423404311687736</v>
      </c>
    </row>
    <row r="229" spans="1:16" x14ac:dyDescent="0.3">
      <c r="A229" s="5">
        <v>42472</v>
      </c>
      <c r="B229" s="4">
        <v>1270000</v>
      </c>
      <c r="C229" s="4">
        <v>1281000</v>
      </c>
      <c r="D229" s="4">
        <v>1266000</v>
      </c>
      <c r="E229" s="4">
        <v>1275000</v>
      </c>
      <c r="F229" s="4"/>
      <c r="G229" s="1">
        <f t="shared" si="13"/>
        <v>1273000</v>
      </c>
      <c r="H229" s="1">
        <f t="shared" si="14"/>
        <v>0.99764336213668503</v>
      </c>
      <c r="I229" s="1">
        <f t="shared" si="14"/>
        <v>1.0062843676355067</v>
      </c>
      <c r="J229" s="1">
        <f t="shared" si="14"/>
        <v>0.9945011783189317</v>
      </c>
      <c r="K229" s="1">
        <f t="shared" si="12"/>
        <v>1.0015710919088767</v>
      </c>
      <c r="M229" s="1">
        <f t="shared" si="15"/>
        <v>0.50643874186606663</v>
      </c>
      <c r="N229" s="1">
        <f t="shared" si="15"/>
        <v>0.61569594769238989</v>
      </c>
      <c r="O229" s="1">
        <f t="shared" si="15"/>
        <v>0.46670884883831265</v>
      </c>
      <c r="P229" s="1">
        <f t="shared" si="15"/>
        <v>0.55610110815075953</v>
      </c>
    </row>
    <row r="230" spans="1:16" x14ac:dyDescent="0.3">
      <c r="A230" s="5">
        <v>42474</v>
      </c>
      <c r="B230" s="4">
        <v>1300000</v>
      </c>
      <c r="C230" s="4">
        <v>1302000</v>
      </c>
      <c r="D230" s="4">
        <v>1289000</v>
      </c>
      <c r="E230" s="4">
        <v>1300000</v>
      </c>
      <c r="F230" s="4"/>
      <c r="G230" s="1">
        <f t="shared" si="13"/>
        <v>1297750</v>
      </c>
      <c r="H230" s="1">
        <f t="shared" si="14"/>
        <v>1.0017337699865152</v>
      </c>
      <c r="I230" s="1">
        <f t="shared" si="14"/>
        <v>1.0032748988634175</v>
      </c>
      <c r="J230" s="1">
        <f t="shared" si="14"/>
        <v>0.99325756116355235</v>
      </c>
      <c r="K230" s="1">
        <f t="shared" si="12"/>
        <v>1.0017337699865152</v>
      </c>
      <c r="M230" s="1">
        <f t="shared" si="15"/>
        <v>0.55815801602038206</v>
      </c>
      <c r="N230" s="1">
        <f t="shared" si="15"/>
        <v>0.57764410880571404</v>
      </c>
      <c r="O230" s="1">
        <f t="shared" si="15"/>
        <v>0.45098450570105186</v>
      </c>
      <c r="P230" s="1">
        <f t="shared" si="15"/>
        <v>0.55815801602038206</v>
      </c>
    </row>
    <row r="231" spans="1:16" x14ac:dyDescent="0.3">
      <c r="A231" s="5">
        <v>42475</v>
      </c>
      <c r="B231" s="4">
        <v>1309000</v>
      </c>
      <c r="C231" s="4">
        <v>1310000</v>
      </c>
      <c r="D231" s="4">
        <v>1290000</v>
      </c>
      <c r="E231" s="4">
        <v>1300000</v>
      </c>
      <c r="F231" s="4"/>
      <c r="G231" s="1">
        <f t="shared" si="13"/>
        <v>1302250</v>
      </c>
      <c r="H231" s="1">
        <f t="shared" si="14"/>
        <v>1.0051833365329237</v>
      </c>
      <c r="I231" s="1">
        <f t="shared" si="14"/>
        <v>1.005951238241505</v>
      </c>
      <c r="J231" s="1">
        <f t="shared" si="14"/>
        <v>0.99059320406987905</v>
      </c>
      <c r="K231" s="1">
        <f t="shared" si="12"/>
        <v>0.99827222115569203</v>
      </c>
      <c r="M231" s="1">
        <f t="shared" si="15"/>
        <v>0.60177446808998758</v>
      </c>
      <c r="N231" s="1">
        <f t="shared" si="15"/>
        <v>0.61148384682378143</v>
      </c>
      <c r="O231" s="1">
        <f t="shared" si="15"/>
        <v>0.41729627214790982</v>
      </c>
      <c r="P231" s="1">
        <f t="shared" si="15"/>
        <v>0.5143900594858456</v>
      </c>
    </row>
    <row r="232" spans="1:16" x14ac:dyDescent="0.3">
      <c r="A232" s="5">
        <v>42478</v>
      </c>
      <c r="B232" s="4">
        <v>1295000</v>
      </c>
      <c r="C232" s="4">
        <v>1305000</v>
      </c>
      <c r="D232" s="4">
        <v>1292000</v>
      </c>
      <c r="E232" s="4">
        <v>1299000</v>
      </c>
      <c r="F232" s="4"/>
      <c r="G232" s="1">
        <f t="shared" si="13"/>
        <v>1297750</v>
      </c>
      <c r="H232" s="1">
        <f t="shared" si="14"/>
        <v>0.99788094779425929</v>
      </c>
      <c r="I232" s="1">
        <f t="shared" si="14"/>
        <v>1.005586592178771</v>
      </c>
      <c r="J232" s="1">
        <f t="shared" si="14"/>
        <v>0.99556925447890576</v>
      </c>
      <c r="K232" s="1">
        <f t="shared" si="12"/>
        <v>1.000963205548064</v>
      </c>
      <c r="M232" s="1">
        <f t="shared" si="15"/>
        <v>0.50944278405704924</v>
      </c>
      <c r="N232" s="1">
        <f t="shared" si="15"/>
        <v>0.60687324798371345</v>
      </c>
      <c r="O232" s="1">
        <f t="shared" si="15"/>
        <v>0.48021364487904988</v>
      </c>
      <c r="P232" s="1">
        <f t="shared" si="15"/>
        <v>0.54841496962771463</v>
      </c>
    </row>
    <row r="233" spans="1:16" x14ac:dyDescent="0.3">
      <c r="A233" s="5">
        <v>42479</v>
      </c>
      <c r="B233" s="4">
        <v>1294000</v>
      </c>
      <c r="C233" s="4">
        <v>1296000</v>
      </c>
      <c r="D233" s="4">
        <v>1283000</v>
      </c>
      <c r="E233" s="4">
        <v>1288000</v>
      </c>
      <c r="F233" s="4"/>
      <c r="G233" s="1">
        <f t="shared" si="13"/>
        <v>1290250</v>
      </c>
      <c r="H233" s="1">
        <f t="shared" si="14"/>
        <v>1.0029064134857586</v>
      </c>
      <c r="I233" s="1">
        <f t="shared" si="14"/>
        <v>1.0044565006781632</v>
      </c>
      <c r="J233" s="1">
        <f t="shared" si="14"/>
        <v>0.99438093392753346</v>
      </c>
      <c r="K233" s="1">
        <f t="shared" si="12"/>
        <v>0.99825615190854489</v>
      </c>
      <c r="M233" s="1">
        <f t="shared" si="15"/>
        <v>0.57298496552009104</v>
      </c>
      <c r="N233" s="1">
        <f t="shared" si="15"/>
        <v>0.59258432759113577</v>
      </c>
      <c r="O233" s="1">
        <f t="shared" si="15"/>
        <v>0.46518847412934505</v>
      </c>
      <c r="P233" s="1">
        <f t="shared" si="15"/>
        <v>0.51418687930695683</v>
      </c>
    </row>
    <row r="234" spans="1:16" x14ac:dyDescent="0.3">
      <c r="A234" s="5">
        <v>42480</v>
      </c>
      <c r="B234" s="4">
        <v>1282000</v>
      </c>
      <c r="C234" s="4">
        <v>1300000</v>
      </c>
      <c r="D234" s="4">
        <v>1282000</v>
      </c>
      <c r="E234" s="4">
        <v>1299000</v>
      </c>
      <c r="F234" s="4"/>
      <c r="G234" s="1">
        <f t="shared" si="13"/>
        <v>1290750</v>
      </c>
      <c r="H234" s="1">
        <f t="shared" si="14"/>
        <v>0.99322099554522569</v>
      </c>
      <c r="I234" s="1">
        <f t="shared" si="14"/>
        <v>1.0071663761379044</v>
      </c>
      <c r="J234" s="1">
        <f t="shared" si="14"/>
        <v>0.99322099554522569</v>
      </c>
      <c r="K234" s="1">
        <f t="shared" si="12"/>
        <v>1.0063916327716445</v>
      </c>
      <c r="M234" s="1">
        <f t="shared" si="15"/>
        <v>0.4505221686167592</v>
      </c>
      <c r="N234" s="1">
        <f t="shared" si="15"/>
        <v>0.62684809711529865</v>
      </c>
      <c r="O234" s="1">
        <f t="shared" si="15"/>
        <v>0.4505221686167592</v>
      </c>
      <c r="P234" s="1">
        <f t="shared" si="15"/>
        <v>0.61705221219871309</v>
      </c>
    </row>
    <row r="235" spans="1:16" x14ac:dyDescent="0.3">
      <c r="A235" s="5">
        <v>42481</v>
      </c>
      <c r="B235" s="4">
        <v>1300000</v>
      </c>
      <c r="C235" s="4">
        <v>1301000</v>
      </c>
      <c r="D235" s="4">
        <v>1288000</v>
      </c>
      <c r="E235" s="4">
        <v>1294000</v>
      </c>
      <c r="F235" s="4"/>
      <c r="G235" s="1">
        <f t="shared" si="13"/>
        <v>1295750</v>
      </c>
      <c r="H235" s="1">
        <f t="shared" si="14"/>
        <v>1.0032799536947714</v>
      </c>
      <c r="I235" s="1">
        <f t="shared" si="14"/>
        <v>1.0040517075053057</v>
      </c>
      <c r="J235" s="1">
        <f t="shared" si="14"/>
        <v>0.99401890796835812</v>
      </c>
      <c r="K235" s="1">
        <f t="shared" si="12"/>
        <v>0.99864943083156477</v>
      </c>
      <c r="M235" s="1">
        <f t="shared" si="15"/>
        <v>0.57770802228774221</v>
      </c>
      <c r="N235" s="1">
        <f t="shared" si="15"/>
        <v>0.58746610714676628</v>
      </c>
      <c r="O235" s="1">
        <f t="shared" si="15"/>
        <v>0.46061100397943183</v>
      </c>
      <c r="P235" s="1">
        <f t="shared" si="15"/>
        <v>0.51915951313358699</v>
      </c>
    </row>
    <row r="236" spans="1:16" x14ac:dyDescent="0.3">
      <c r="A236" s="5">
        <v>42482</v>
      </c>
      <c r="B236" s="4">
        <v>1294000</v>
      </c>
      <c r="C236" s="4">
        <v>1294000</v>
      </c>
      <c r="D236" s="4">
        <v>1277000</v>
      </c>
      <c r="E236" s="4">
        <v>1280000</v>
      </c>
      <c r="F236" s="4"/>
      <c r="G236" s="1">
        <f t="shared" si="13"/>
        <v>1286250</v>
      </c>
      <c r="H236" s="1">
        <f t="shared" si="14"/>
        <v>1.0060252672497569</v>
      </c>
      <c r="I236" s="1">
        <f t="shared" si="14"/>
        <v>1.0060252672497569</v>
      </c>
      <c r="J236" s="1">
        <f t="shared" si="14"/>
        <v>0.99280855199222551</v>
      </c>
      <c r="K236" s="1">
        <f t="shared" si="12"/>
        <v>0.99514091350826039</v>
      </c>
      <c r="M236" s="1">
        <f t="shared" si="15"/>
        <v>0.6124198724509845</v>
      </c>
      <c r="N236" s="1">
        <f t="shared" si="15"/>
        <v>0.6124198724509845</v>
      </c>
      <c r="O236" s="1">
        <f t="shared" si="15"/>
        <v>0.44530721647166144</v>
      </c>
      <c r="P236" s="1">
        <f t="shared" si="15"/>
        <v>0.47479768517389404</v>
      </c>
    </row>
    <row r="237" spans="1:16" x14ac:dyDescent="0.3">
      <c r="A237" s="5">
        <v>42485</v>
      </c>
      <c r="B237" s="4">
        <v>1285000</v>
      </c>
      <c r="C237" s="4">
        <v>1285000</v>
      </c>
      <c r="D237" s="4">
        <v>1271000</v>
      </c>
      <c r="E237" s="4">
        <v>1281000</v>
      </c>
      <c r="F237" s="4"/>
      <c r="G237" s="1">
        <f t="shared" si="13"/>
        <v>1280500</v>
      </c>
      <c r="H237" s="1">
        <f t="shared" si="14"/>
        <v>1.0035142522452167</v>
      </c>
      <c r="I237" s="1">
        <f t="shared" si="14"/>
        <v>1.0035142522452167</v>
      </c>
      <c r="J237" s="1">
        <f t="shared" si="14"/>
        <v>0.99258102303787588</v>
      </c>
      <c r="K237" s="1">
        <f t="shared" si="12"/>
        <v>1.0003904724716908</v>
      </c>
      <c r="M237" s="1">
        <f t="shared" si="15"/>
        <v>0.58067050216977734</v>
      </c>
      <c r="N237" s="1">
        <f t="shared" si="15"/>
        <v>0.58067050216977734</v>
      </c>
      <c r="O237" s="1">
        <f t="shared" si="15"/>
        <v>0.44243033162299239</v>
      </c>
      <c r="P237" s="1">
        <f t="shared" si="15"/>
        <v>0.54117331058498164</v>
      </c>
    </row>
    <row r="238" spans="1:16" x14ac:dyDescent="0.3">
      <c r="A238" s="5">
        <v>42486</v>
      </c>
      <c r="B238" s="4">
        <v>1285000</v>
      </c>
      <c r="C238" s="4">
        <v>1305000</v>
      </c>
      <c r="D238" s="4">
        <v>1283000</v>
      </c>
      <c r="E238" s="4">
        <v>1296000</v>
      </c>
      <c r="F238" s="4"/>
      <c r="G238" s="1">
        <f t="shared" si="13"/>
        <v>1292250</v>
      </c>
      <c r="H238" s="1">
        <f t="shared" si="14"/>
        <v>0.99438963048945639</v>
      </c>
      <c r="I238" s="1">
        <f t="shared" si="14"/>
        <v>1.0098665118978525</v>
      </c>
      <c r="J238" s="1">
        <f t="shared" si="14"/>
        <v>0.99284194234861678</v>
      </c>
      <c r="K238" s="1">
        <f t="shared" si="12"/>
        <v>1.0029019152640744</v>
      </c>
      <c r="M238" s="1">
        <f t="shared" si="15"/>
        <v>0.46529843379273422</v>
      </c>
      <c r="N238" s="1">
        <f t="shared" si="15"/>
        <v>0.66098871750072663</v>
      </c>
      <c r="O238" s="1">
        <f t="shared" si="15"/>
        <v>0.44572940542193501</v>
      </c>
      <c r="P238" s="1">
        <f t="shared" si="15"/>
        <v>0.57292808983213139</v>
      </c>
    </row>
    <row r="239" spans="1:16" x14ac:dyDescent="0.3">
      <c r="A239" s="5">
        <v>42487</v>
      </c>
      <c r="B239" s="4">
        <v>1294000</v>
      </c>
      <c r="C239" s="4">
        <v>1300000</v>
      </c>
      <c r="D239" s="4">
        <v>1286000</v>
      </c>
      <c r="E239" s="4">
        <v>1300000</v>
      </c>
      <c r="F239" s="4"/>
      <c r="G239" s="1">
        <f t="shared" si="13"/>
        <v>1295000</v>
      </c>
      <c r="H239" s="1">
        <f t="shared" si="14"/>
        <v>0.99922779922779925</v>
      </c>
      <c r="I239" s="1">
        <f t="shared" si="14"/>
        <v>1.0038610038610039</v>
      </c>
      <c r="J239" s="1">
        <f t="shared" si="14"/>
        <v>0.99305019305019304</v>
      </c>
      <c r="K239" s="1">
        <f t="shared" si="12"/>
        <v>1.0038610038610039</v>
      </c>
      <c r="M239" s="1">
        <f t="shared" si="15"/>
        <v>0.52647242537735872</v>
      </c>
      <c r="N239" s="1">
        <f t="shared" si="15"/>
        <v>0.5850548429344985</v>
      </c>
      <c r="O239" s="1">
        <f t="shared" si="15"/>
        <v>0.44836253530117148</v>
      </c>
      <c r="P239" s="1">
        <f t="shared" si="15"/>
        <v>0.5850548429344985</v>
      </c>
    </row>
    <row r="240" spans="1:16" x14ac:dyDescent="0.3">
      <c r="A240" s="5">
        <v>42488</v>
      </c>
      <c r="B240" s="4">
        <v>1300000</v>
      </c>
      <c r="C240" s="4">
        <v>1300000</v>
      </c>
      <c r="D240" s="4">
        <v>1261000</v>
      </c>
      <c r="E240" s="4">
        <v>1265000</v>
      </c>
      <c r="F240" s="4"/>
      <c r="G240" s="1">
        <f t="shared" si="13"/>
        <v>1281500</v>
      </c>
      <c r="H240" s="1">
        <f t="shared" si="14"/>
        <v>1.0144362075692548</v>
      </c>
      <c r="I240" s="1">
        <f t="shared" si="14"/>
        <v>1.0144362075692548</v>
      </c>
      <c r="J240" s="1">
        <f t="shared" si="14"/>
        <v>0.98400312134217716</v>
      </c>
      <c r="K240" s="1">
        <f t="shared" si="12"/>
        <v>0.98712446351931327</v>
      </c>
      <c r="M240" s="1">
        <f t="shared" si="15"/>
        <v>0.71876812530253231</v>
      </c>
      <c r="N240" s="1">
        <f t="shared" si="15"/>
        <v>0.71876812530253231</v>
      </c>
      <c r="O240" s="1">
        <f t="shared" si="15"/>
        <v>0.33397101271008034</v>
      </c>
      <c r="P240" s="1">
        <f t="shared" si="15"/>
        <v>0.3734373832323824</v>
      </c>
    </row>
    <row r="241" spans="1:16" x14ac:dyDescent="0.3">
      <c r="A241" s="5">
        <v>42489</v>
      </c>
      <c r="B241" s="4">
        <v>1260000</v>
      </c>
      <c r="C241" s="4">
        <v>1267000</v>
      </c>
      <c r="D241" s="4">
        <v>1242000</v>
      </c>
      <c r="E241" s="4">
        <v>1245000</v>
      </c>
      <c r="F241" s="4"/>
      <c r="G241" s="1">
        <f t="shared" si="13"/>
        <v>1253500</v>
      </c>
      <c r="H241" s="1">
        <f t="shared" si="14"/>
        <v>1.0051854806541682</v>
      </c>
      <c r="I241" s="1">
        <f t="shared" si="14"/>
        <v>1.0107698444355804</v>
      </c>
      <c r="J241" s="1">
        <f t="shared" si="14"/>
        <v>0.99082568807339455</v>
      </c>
      <c r="K241" s="1">
        <f t="shared" si="12"/>
        <v>0.99321898683685683</v>
      </c>
      <c r="M241" s="1">
        <f t="shared" si="15"/>
        <v>0.60180157844145821</v>
      </c>
      <c r="N241" s="1">
        <f t="shared" si="15"/>
        <v>0.67241048884638899</v>
      </c>
      <c r="O241" s="1">
        <f t="shared" si="15"/>
        <v>0.42023580882878386</v>
      </c>
      <c r="P241" s="1">
        <f t="shared" si="15"/>
        <v>0.45049677043089625</v>
      </c>
    </row>
    <row r="242" spans="1:16" x14ac:dyDescent="0.3">
      <c r="A242" s="5">
        <v>42492</v>
      </c>
      <c r="B242" s="4">
        <v>1247000</v>
      </c>
      <c r="C242" s="4">
        <v>1262000</v>
      </c>
      <c r="D242" s="4">
        <v>1245000</v>
      </c>
      <c r="E242" s="4">
        <v>1250000</v>
      </c>
      <c r="F242" s="4"/>
      <c r="G242" s="1">
        <f t="shared" si="13"/>
        <v>1251000</v>
      </c>
      <c r="H242" s="1">
        <f t="shared" si="14"/>
        <v>0.99680255795363704</v>
      </c>
      <c r="I242" s="1">
        <f t="shared" si="14"/>
        <v>1.0087929656274981</v>
      </c>
      <c r="J242" s="1">
        <f t="shared" si="14"/>
        <v>0.99520383693045567</v>
      </c>
      <c r="K242" s="1">
        <f t="shared" si="12"/>
        <v>0.99920063948840931</v>
      </c>
      <c r="M242" s="1">
        <f t="shared" si="15"/>
        <v>0.49580758144157255</v>
      </c>
      <c r="N242" s="1">
        <f t="shared" si="15"/>
        <v>0.64741475717398156</v>
      </c>
      <c r="O242" s="1">
        <f t="shared" si="15"/>
        <v>0.47559329134391937</v>
      </c>
      <c r="P242" s="1">
        <f t="shared" si="15"/>
        <v>0.52612901658805522</v>
      </c>
    </row>
    <row r="243" spans="1:16" x14ac:dyDescent="0.3">
      <c r="A243" s="5">
        <v>42493</v>
      </c>
      <c r="B243" s="4">
        <v>1267000</v>
      </c>
      <c r="C243" s="4">
        <v>1270000</v>
      </c>
      <c r="D243" s="4">
        <v>1256000</v>
      </c>
      <c r="E243" s="4">
        <v>1261000</v>
      </c>
      <c r="F243" s="4"/>
      <c r="G243" s="1">
        <f t="shared" si="13"/>
        <v>1263500</v>
      </c>
      <c r="H243" s="1">
        <f t="shared" si="14"/>
        <v>1.002770083102493</v>
      </c>
      <c r="I243" s="1">
        <f t="shared" si="14"/>
        <v>1.0051444400474872</v>
      </c>
      <c r="J243" s="1">
        <f t="shared" si="14"/>
        <v>0.99406410763751485</v>
      </c>
      <c r="K243" s="1">
        <f t="shared" si="12"/>
        <v>0.99802136921250495</v>
      </c>
      <c r="M243" s="1">
        <f t="shared" si="15"/>
        <v>0.57126119891134897</v>
      </c>
      <c r="N243" s="1">
        <f t="shared" si="15"/>
        <v>0.60128265943232162</v>
      </c>
      <c r="O243" s="1">
        <f t="shared" si="15"/>
        <v>0.46118251033445168</v>
      </c>
      <c r="P243" s="1">
        <f t="shared" si="15"/>
        <v>0.5112182778694051</v>
      </c>
    </row>
    <row r="244" spans="1:16" x14ac:dyDescent="0.3">
      <c r="A244" s="5">
        <v>42494</v>
      </c>
      <c r="B244" s="4">
        <v>1272000</v>
      </c>
      <c r="C244" s="4">
        <v>1290000</v>
      </c>
      <c r="D244" s="4">
        <v>1262000</v>
      </c>
      <c r="E244" s="4">
        <v>1290000</v>
      </c>
      <c r="F244" s="4"/>
      <c r="G244" s="1">
        <f t="shared" si="13"/>
        <v>1278500</v>
      </c>
      <c r="H244" s="1">
        <f t="shared" si="14"/>
        <v>0.99491591709034022</v>
      </c>
      <c r="I244" s="1">
        <f t="shared" si="14"/>
        <v>1.0089949159170903</v>
      </c>
      <c r="J244" s="1">
        <f t="shared" si="14"/>
        <v>0.9870942510754791</v>
      </c>
      <c r="K244" s="1">
        <f t="shared" si="12"/>
        <v>1.0089949159170903</v>
      </c>
      <c r="M244" s="1">
        <f t="shared" si="15"/>
        <v>0.47195282181323045</v>
      </c>
      <c r="N244" s="1">
        <f t="shared" si="15"/>
        <v>0.64996822440180291</v>
      </c>
      <c r="O244" s="1">
        <f t="shared" si="15"/>
        <v>0.37305537593069094</v>
      </c>
      <c r="P244" s="1">
        <f t="shared" si="15"/>
        <v>0.64996822440180291</v>
      </c>
    </row>
    <row r="245" spans="1:16" x14ac:dyDescent="0.3">
      <c r="A245" s="5">
        <v>42499</v>
      </c>
      <c r="B245" s="4">
        <v>1290000</v>
      </c>
      <c r="C245" s="4">
        <v>1300000</v>
      </c>
      <c r="D245" s="4">
        <v>1285000</v>
      </c>
      <c r="E245" s="4">
        <v>1299000</v>
      </c>
      <c r="F245" s="4"/>
      <c r="G245" s="1">
        <f t="shared" si="13"/>
        <v>1293500</v>
      </c>
      <c r="H245" s="1">
        <f t="shared" si="14"/>
        <v>0.99729416312330887</v>
      </c>
      <c r="I245" s="1">
        <f t="shared" si="14"/>
        <v>1.0050251256281406</v>
      </c>
      <c r="J245" s="1">
        <f t="shared" si="14"/>
        <v>0.99342868187089295</v>
      </c>
      <c r="K245" s="1">
        <f t="shared" si="12"/>
        <v>1.0042520293776576</v>
      </c>
      <c r="M245" s="1">
        <f t="shared" si="15"/>
        <v>0.50202345611211241</v>
      </c>
      <c r="N245" s="1">
        <f t="shared" si="15"/>
        <v>0.59977404332573869</v>
      </c>
      <c r="O245" s="1">
        <f t="shared" si="15"/>
        <v>0.45314816250529849</v>
      </c>
      <c r="P245" s="1">
        <f t="shared" si="15"/>
        <v>0.58999898460437761</v>
      </c>
    </row>
    <row r="246" spans="1:16" x14ac:dyDescent="0.3">
      <c r="A246" s="5">
        <v>42500</v>
      </c>
      <c r="B246" s="4">
        <v>1299000</v>
      </c>
      <c r="C246" s="4">
        <v>1300000</v>
      </c>
      <c r="D246" s="4">
        <v>1288000</v>
      </c>
      <c r="E246" s="4">
        <v>1296000</v>
      </c>
      <c r="F246" s="4"/>
      <c r="G246" s="1">
        <f t="shared" si="13"/>
        <v>1295750</v>
      </c>
      <c r="H246" s="1">
        <f t="shared" si="14"/>
        <v>1.0025081998842369</v>
      </c>
      <c r="I246" s="1">
        <f t="shared" si="14"/>
        <v>1.0032799536947714</v>
      </c>
      <c r="J246" s="1">
        <f t="shared" si="14"/>
        <v>0.99401890796835812</v>
      </c>
      <c r="K246" s="1">
        <f t="shared" si="12"/>
        <v>1.0001929384526336</v>
      </c>
      <c r="M246" s="1">
        <f t="shared" si="15"/>
        <v>0.56794993742871547</v>
      </c>
      <c r="N246" s="1">
        <f t="shared" si="15"/>
        <v>0.57770802228774221</v>
      </c>
      <c r="O246" s="1">
        <f t="shared" si="15"/>
        <v>0.46061100397943183</v>
      </c>
      <c r="P246" s="1">
        <f t="shared" si="15"/>
        <v>0.5386756828516378</v>
      </c>
    </row>
    <row r="247" spans="1:16" x14ac:dyDescent="0.3">
      <c r="A247" s="5">
        <v>42501</v>
      </c>
      <c r="B247" s="4">
        <v>1296000</v>
      </c>
      <c r="C247" s="4">
        <v>1299000</v>
      </c>
      <c r="D247" s="4">
        <v>1287000</v>
      </c>
      <c r="E247" s="4">
        <v>1292000</v>
      </c>
      <c r="F247" s="4"/>
      <c r="G247" s="1">
        <f t="shared" si="13"/>
        <v>1293500</v>
      </c>
      <c r="H247" s="1">
        <f t="shared" si="14"/>
        <v>1.001932740626208</v>
      </c>
      <c r="I247" s="1">
        <f t="shared" si="14"/>
        <v>1.0042520293776576</v>
      </c>
      <c r="J247" s="1">
        <f t="shared" si="14"/>
        <v>0.99497487437185927</v>
      </c>
      <c r="K247" s="1">
        <f t="shared" si="12"/>
        <v>0.9988403556242752</v>
      </c>
      <c r="M247" s="1">
        <f t="shared" si="15"/>
        <v>0.5606738084402888</v>
      </c>
      <c r="N247" s="1">
        <f t="shared" si="15"/>
        <v>0.58999898460437761</v>
      </c>
      <c r="O247" s="1">
        <f t="shared" si="15"/>
        <v>0.47269827994802349</v>
      </c>
      <c r="P247" s="1">
        <f t="shared" si="15"/>
        <v>0.52157357355483736</v>
      </c>
    </row>
    <row r="248" spans="1:16" x14ac:dyDescent="0.3">
      <c r="A248" s="5">
        <v>42502</v>
      </c>
      <c r="B248" s="4">
        <v>1292000</v>
      </c>
      <c r="C248" s="4">
        <v>1292000</v>
      </c>
      <c r="D248" s="4">
        <v>1275000</v>
      </c>
      <c r="E248" s="4">
        <v>1281000</v>
      </c>
      <c r="F248" s="4"/>
      <c r="G248" s="1">
        <f t="shared" si="13"/>
        <v>1285000</v>
      </c>
      <c r="H248" s="1">
        <f t="shared" si="14"/>
        <v>1.0054474708171206</v>
      </c>
      <c r="I248" s="1">
        <f t="shared" si="14"/>
        <v>1.0054474708171206</v>
      </c>
      <c r="J248" s="1">
        <f t="shared" si="14"/>
        <v>0.99221789883268485</v>
      </c>
      <c r="K248" s="1">
        <f t="shared" si="12"/>
        <v>0.99688715953307394</v>
      </c>
      <c r="M248" s="1">
        <f t="shared" si="15"/>
        <v>0.60511419213694329</v>
      </c>
      <c r="N248" s="1">
        <f t="shared" si="15"/>
        <v>0.60511419213694329</v>
      </c>
      <c r="O248" s="1">
        <f t="shared" si="15"/>
        <v>0.43783897520822262</v>
      </c>
      <c r="P248" s="1">
        <f t="shared" si="15"/>
        <v>0.49687728706541812</v>
      </c>
    </row>
    <row r="249" spans="1:16" x14ac:dyDescent="0.3">
      <c r="A249" s="5">
        <v>42503</v>
      </c>
      <c r="B249" s="4">
        <v>1281000</v>
      </c>
      <c r="C249" s="4">
        <v>1281000</v>
      </c>
      <c r="D249" s="4">
        <v>1251000</v>
      </c>
      <c r="E249" s="4">
        <v>1253000</v>
      </c>
      <c r="F249" s="4"/>
      <c r="G249" s="1">
        <f t="shared" si="13"/>
        <v>1266500</v>
      </c>
      <c r="H249" s="1">
        <f t="shared" si="14"/>
        <v>1.0114488748519541</v>
      </c>
      <c r="I249" s="1">
        <f t="shared" si="14"/>
        <v>1.0114488748519541</v>
      </c>
      <c r="J249" s="1">
        <f t="shared" si="14"/>
        <v>0.98776154757204893</v>
      </c>
      <c r="K249" s="1">
        <f t="shared" si="12"/>
        <v>0.98934070272404262</v>
      </c>
      <c r="M249" s="1">
        <f t="shared" si="15"/>
        <v>0.68099617554386838</v>
      </c>
      <c r="N249" s="1">
        <f t="shared" si="15"/>
        <v>0.68099617554386838</v>
      </c>
      <c r="O249" s="1">
        <f t="shared" si="15"/>
        <v>0.38149269849492912</v>
      </c>
      <c r="P249" s="1">
        <f t="shared" si="15"/>
        <v>0.40145959696485856</v>
      </c>
    </row>
  </sheetData>
  <mergeCells count="3">
    <mergeCell ref="A3:E3"/>
    <mergeCell ref="G3:K3"/>
    <mergeCell ref="M3:P3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4"/>
  <sheetViews>
    <sheetView topLeftCell="A3" workbookViewId="0">
      <selection activeCell="O29" sqref="O29"/>
    </sheetView>
  </sheetViews>
  <sheetFormatPr defaultRowHeight="13.5" x14ac:dyDescent="0.3"/>
  <cols>
    <col min="1" max="16384" width="9" style="4"/>
  </cols>
  <sheetData>
    <row r="1" spans="1:19" x14ac:dyDescent="0.3">
      <c r="A1" s="10">
        <v>0.64084762156034658</v>
      </c>
      <c r="B1" s="10">
        <v>0.65014641799798656</v>
      </c>
      <c r="C1" s="10">
        <v>0.38978011774403171</v>
      </c>
      <c r="D1" s="10">
        <v>0.46417048924516247</v>
      </c>
      <c r="F1" s="4">
        <v>0.44831482676090656</v>
      </c>
      <c r="G1" s="4">
        <v>0.77148513873746249</v>
      </c>
      <c r="H1" s="4">
        <v>0.31524469829997159</v>
      </c>
      <c r="I1" s="4">
        <v>0.60989998274918522</v>
      </c>
      <c r="K1" s="4">
        <v>0.63406699324650495</v>
      </c>
      <c r="L1" s="4">
        <v>0.63406699324650495</v>
      </c>
      <c r="M1" s="4">
        <v>0.38591073745624177</v>
      </c>
      <c r="N1" s="4">
        <v>0.49089992259827558</v>
      </c>
      <c r="P1" s="4">
        <v>0.46632809792835189</v>
      </c>
      <c r="Q1" s="4">
        <v>0.66207067631223626</v>
      </c>
      <c r="R1" s="4">
        <v>0.39175949663925308</v>
      </c>
      <c r="S1" s="4">
        <v>0.62478637566768747</v>
      </c>
    </row>
    <row r="2" spans="1:19" x14ac:dyDescent="0.3">
      <c r="A2" s="10">
        <v>0.74173426469669779</v>
      </c>
      <c r="B2" s="10">
        <v>0.79842339657526928</v>
      </c>
      <c r="C2" s="10">
        <v>0.29766939831456579</v>
      </c>
      <c r="D2" s="10">
        <v>0.30711758696099434</v>
      </c>
      <c r="F2" s="4">
        <v>0.37668993506170473</v>
      </c>
      <c r="G2" s="4">
        <v>0.75561222317774845</v>
      </c>
      <c r="H2" s="4">
        <v>0.37668993506170473</v>
      </c>
      <c r="I2" s="4">
        <v>0.63595255324636668</v>
      </c>
      <c r="K2" s="4">
        <v>0.58548951121539083</v>
      </c>
      <c r="L2" s="4">
        <v>0.58548951121539083</v>
      </c>
      <c r="M2" s="4">
        <v>0.41662088408907616</v>
      </c>
      <c r="N2" s="4">
        <v>0.55734474002767098</v>
      </c>
      <c r="P2" s="4">
        <v>0.44554656908664714</v>
      </c>
      <c r="Q2" s="4">
        <v>0.69374966448728848</v>
      </c>
      <c r="R2" s="4">
        <v>0.35008384008639909</v>
      </c>
      <c r="S2" s="4">
        <v>0.65556457288718983</v>
      </c>
    </row>
    <row r="3" spans="1:19" x14ac:dyDescent="0.3">
      <c r="A3" s="10">
        <v>0.67108629060421832</v>
      </c>
      <c r="B3" s="10">
        <v>0.7985809579915184</v>
      </c>
      <c r="C3" s="10">
        <v>0.29840957054903522</v>
      </c>
      <c r="D3" s="10">
        <v>0.37686782740275815</v>
      </c>
      <c r="F3" s="4">
        <v>0.40792039276172493</v>
      </c>
      <c r="G3" s="4">
        <v>0.74351548058905836</v>
      </c>
      <c r="H3" s="4">
        <v>0.31908639892507784</v>
      </c>
      <c r="I3" s="4">
        <v>0.67442237427166618</v>
      </c>
      <c r="K3" s="4">
        <v>0.60838142063532885</v>
      </c>
      <c r="L3" s="4">
        <v>0.6363086176669851</v>
      </c>
      <c r="M3" s="4">
        <v>0.32910945031875777</v>
      </c>
      <c r="N3" s="4">
        <v>0.57114515792645282</v>
      </c>
      <c r="P3" s="4">
        <v>0.43917464194031014</v>
      </c>
      <c r="Q3" s="4">
        <v>0.72325713861320395</v>
      </c>
      <c r="R3" s="4">
        <v>0.39182755916149309</v>
      </c>
      <c r="S3" s="4">
        <v>0.59068530683252018</v>
      </c>
    </row>
    <row r="4" spans="1:19" x14ac:dyDescent="0.3">
      <c r="A4" s="10">
        <v>0.68124205481624733</v>
      </c>
      <c r="B4" s="10">
        <v>0.70025922113485206</v>
      </c>
      <c r="C4" s="10">
        <v>0.37696739371856208</v>
      </c>
      <c r="D4" s="10">
        <v>0.38647597687786445</v>
      </c>
      <c r="F4" s="4">
        <v>0.38519379093251138</v>
      </c>
      <c r="G4" s="4">
        <v>0.78456005923559247</v>
      </c>
      <c r="H4" s="4">
        <v>0.38519379093251138</v>
      </c>
      <c r="I4" s="4">
        <v>0.58999700544691203</v>
      </c>
      <c r="K4" s="4">
        <v>0.58442228380183248</v>
      </c>
      <c r="L4" s="4">
        <v>0.62297118153379072</v>
      </c>
      <c r="M4" s="4">
        <v>0.43022669287399246</v>
      </c>
      <c r="N4" s="4">
        <v>0.50732448833791177</v>
      </c>
      <c r="P4" s="4">
        <v>0.45117535682746124</v>
      </c>
      <c r="Q4" s="4">
        <v>0.64131127346028316</v>
      </c>
      <c r="R4" s="4">
        <v>0.45117535682746124</v>
      </c>
      <c r="S4" s="4">
        <v>0.60128265943232162</v>
      </c>
    </row>
    <row r="5" spans="1:19" x14ac:dyDescent="0.3">
      <c r="A5" s="10">
        <v>0.63425196362201963</v>
      </c>
      <c r="B5" s="10">
        <v>0.73226776560715745</v>
      </c>
      <c r="C5" s="10">
        <v>0.32060139726957926</v>
      </c>
      <c r="D5" s="10">
        <v>0.45782352004877103</v>
      </c>
      <c r="F5" s="4">
        <v>0.3688662181748959</v>
      </c>
      <c r="G5" s="4">
        <v>0.72389337097304896</v>
      </c>
      <c r="H5" s="4">
        <v>0.32829168642653633</v>
      </c>
      <c r="I5" s="4">
        <v>0.72389337097304896</v>
      </c>
      <c r="K5" s="4">
        <v>0.62061010748300105</v>
      </c>
      <c r="L5" s="4">
        <v>0.63025284415112914</v>
      </c>
      <c r="M5" s="4">
        <v>0.39882716411605923</v>
      </c>
      <c r="N5" s="4">
        <v>0.49525453079733789</v>
      </c>
      <c r="P5" s="4">
        <v>0.51099855992813314</v>
      </c>
      <c r="Q5" s="4">
        <v>0.67251921086412192</v>
      </c>
      <c r="R5" s="4">
        <v>0.41004815309314124</v>
      </c>
      <c r="S5" s="4">
        <v>0.55137872266213106</v>
      </c>
    </row>
    <row r="6" spans="1:19" x14ac:dyDescent="0.3">
      <c r="A6" s="10">
        <v>0.6056544119840015</v>
      </c>
      <c r="B6" s="10">
        <v>0.72465712686478156</v>
      </c>
      <c r="C6" s="10">
        <v>0.40731655384937071</v>
      </c>
      <c r="D6" s="10">
        <v>0.40731655384937071</v>
      </c>
      <c r="F6" s="4">
        <v>0.22612315463824179</v>
      </c>
      <c r="G6" s="4">
        <v>0.87156160822890694</v>
      </c>
      <c r="H6" s="4">
        <v>0.22612315463824179</v>
      </c>
      <c r="I6" s="4">
        <v>0.82113672904213675</v>
      </c>
      <c r="K6" s="4">
        <v>0.5850548429344985</v>
      </c>
      <c r="L6" s="4">
        <v>0.59481857919402303</v>
      </c>
      <c r="M6" s="4">
        <v>0.467890007820219</v>
      </c>
      <c r="N6" s="4">
        <v>0.49718121659878817</v>
      </c>
      <c r="P6" s="4">
        <v>0.49120397085542428</v>
      </c>
      <c r="Q6" s="4">
        <v>0.69134704099523658</v>
      </c>
      <c r="R6" s="4">
        <v>0.41114674279949825</v>
      </c>
      <c r="S6" s="4">
        <v>0.55124689189736809</v>
      </c>
    </row>
    <row r="7" spans="1:19" x14ac:dyDescent="0.3">
      <c r="A7" s="13">
        <v>0.62647910065729762</v>
      </c>
      <c r="B7" s="13">
        <v>0.66658707355526026</v>
      </c>
      <c r="C7" s="13">
        <v>0.37580427004503142</v>
      </c>
      <c r="D7" s="13">
        <v>0.47607420228993791</v>
      </c>
      <c r="F7" s="4">
        <v>0.48837070424186857</v>
      </c>
      <c r="G7" s="4">
        <v>0.74029416421562222</v>
      </c>
      <c r="H7" s="4">
        <v>0.29690887466181426</v>
      </c>
      <c r="I7" s="4">
        <v>0.61937090342822076</v>
      </c>
      <c r="K7" s="4">
        <v>0.55084229000355311</v>
      </c>
      <c r="L7" s="4">
        <v>0.58005454673689838</v>
      </c>
      <c r="M7" s="4">
        <v>0.43399326307017455</v>
      </c>
      <c r="N7" s="4">
        <v>0.58005454673689838</v>
      </c>
      <c r="P7" s="4">
        <v>0.50492114926708209</v>
      </c>
      <c r="Q7" s="4">
        <v>0.6879935292751399</v>
      </c>
      <c r="R7" s="4">
        <v>0.33148415768050277</v>
      </c>
      <c r="S7" s="4">
        <v>0.62054581032480394</v>
      </c>
    </row>
    <row r="8" spans="1:19" x14ac:dyDescent="0.3">
      <c r="A8" s="13">
        <v>0.6076992517219334</v>
      </c>
      <c r="B8" s="13">
        <v>0.73583996497788817</v>
      </c>
      <c r="C8" s="13">
        <v>0.40070271492385284</v>
      </c>
      <c r="D8" s="13">
        <v>0.40070271492385284</v>
      </c>
      <c r="F8" s="4">
        <v>0.64465549486400986</v>
      </c>
      <c r="G8" s="4">
        <v>0.96112273779725299</v>
      </c>
      <c r="H8" s="4">
        <v>0</v>
      </c>
      <c r="I8" s="4">
        <v>0.53916641388626307</v>
      </c>
      <c r="K8" s="4">
        <v>0.54876245295457859</v>
      </c>
      <c r="L8" s="4">
        <v>0.65899381655030653</v>
      </c>
      <c r="M8" s="4">
        <v>0.44855212241300702</v>
      </c>
      <c r="N8" s="4">
        <v>0.48863625462963511</v>
      </c>
      <c r="P8" s="4">
        <v>0.49898207072326139</v>
      </c>
      <c r="Q8" s="4">
        <v>0.65793285862137429</v>
      </c>
      <c r="R8" s="4">
        <v>0.36983455555604372</v>
      </c>
      <c r="S8" s="4">
        <v>0.6181951616468464</v>
      </c>
    </row>
    <row r="9" spans="1:19" x14ac:dyDescent="0.3">
      <c r="A9" s="13">
        <v>0.61532318872731462</v>
      </c>
      <c r="B9" s="13">
        <v>0.68452433743144159</v>
      </c>
      <c r="C9" s="13">
        <v>0.417605621001234</v>
      </c>
      <c r="D9" s="13">
        <v>0.42749149938753844</v>
      </c>
      <c r="F9" s="4">
        <v>0.48625972505157478</v>
      </c>
      <c r="G9" s="4">
        <v>0.69792463294228924</v>
      </c>
      <c r="H9" s="4">
        <v>0.26283565561137684</v>
      </c>
      <c r="I9" s="4">
        <v>0.69792463294228924</v>
      </c>
      <c r="K9" s="4">
        <v>0.55109402116224426</v>
      </c>
      <c r="L9" s="4">
        <v>0.64024117831441341</v>
      </c>
      <c r="M9" s="4">
        <v>0.4124206655922012</v>
      </c>
      <c r="N9" s="4">
        <v>0.54118878147866833</v>
      </c>
      <c r="P9" s="4">
        <v>0.46292322122666102</v>
      </c>
      <c r="Q9" s="4">
        <v>0.63887427821119158</v>
      </c>
      <c r="R9" s="4">
        <v>0.45314816250529849</v>
      </c>
      <c r="S9" s="4">
        <v>0.58999898460437761</v>
      </c>
    </row>
    <row r="10" spans="1:19" x14ac:dyDescent="0.3">
      <c r="A10" s="13">
        <v>0.65335774218053977</v>
      </c>
      <c r="B10" s="13">
        <v>0.72464913903320127</v>
      </c>
      <c r="C10" s="13">
        <v>0.34782318424056241</v>
      </c>
      <c r="D10" s="13">
        <v>0.41911458109322386</v>
      </c>
      <c r="F10" s="4">
        <v>0.41035200937673882</v>
      </c>
      <c r="G10" s="4">
        <v>0.71481600554080549</v>
      </c>
      <c r="H10" s="4">
        <v>0.36351139458226683</v>
      </c>
      <c r="I10" s="4">
        <v>0.65626523704771622</v>
      </c>
      <c r="K10" s="4">
        <v>0.52127280251725772</v>
      </c>
      <c r="L10" s="4">
        <v>0.64097967547425316</v>
      </c>
      <c r="M10" s="4">
        <v>0.46141936603875866</v>
      </c>
      <c r="N10" s="4">
        <v>0.52127280251725772</v>
      </c>
      <c r="P10" s="4">
        <v>0.45333267086582418</v>
      </c>
      <c r="Q10" s="4">
        <v>0.67440864625531083</v>
      </c>
      <c r="R10" s="4">
        <v>0.40308813100457791</v>
      </c>
      <c r="S10" s="4">
        <v>0.61411519842181306</v>
      </c>
    </row>
    <row r="11" spans="1:19" x14ac:dyDescent="0.3">
      <c r="A11" s="13">
        <v>0.73677401307846702</v>
      </c>
      <c r="B11" s="13">
        <v>0.78754308939279205</v>
      </c>
      <c r="C11" s="13">
        <v>0.29000614151240295</v>
      </c>
      <c r="D11" s="13">
        <v>0.33062140256386385</v>
      </c>
      <c r="F11" s="4">
        <v>0.35009013294922142</v>
      </c>
      <c r="G11" s="4">
        <v>0.75016517968090868</v>
      </c>
      <c r="H11" s="4">
        <v>0.35009013294922142</v>
      </c>
      <c r="I11" s="4">
        <v>0.69459920096817573</v>
      </c>
      <c r="K11" s="4">
        <v>0.58539649778028302</v>
      </c>
      <c r="L11" s="4">
        <v>0.63455683392368423</v>
      </c>
      <c r="M11" s="4">
        <v>0.4379154893500794</v>
      </c>
      <c r="N11" s="4">
        <v>0.48707582549348061</v>
      </c>
      <c r="P11" s="4">
        <v>0.4797207520404127</v>
      </c>
      <c r="Q11" s="4">
        <v>0.61330262926843004</v>
      </c>
      <c r="R11" s="4">
        <v>0.46944522302287317</v>
      </c>
      <c r="S11" s="4">
        <v>0.58247604221581128</v>
      </c>
    </row>
    <row r="12" spans="1:19" x14ac:dyDescent="0.3">
      <c r="A12" s="13">
        <v>0.58786455121062053</v>
      </c>
      <c r="B12" s="13">
        <v>0.71570627777416251</v>
      </c>
      <c r="C12" s="13">
        <v>0.4108529298149452</v>
      </c>
      <c r="D12" s="13">
        <v>0.43052088774779768</v>
      </c>
      <c r="F12" s="4">
        <v>0.31383994683662808</v>
      </c>
      <c r="G12" s="4">
        <v>0.82372395150062494</v>
      </c>
      <c r="H12" s="4">
        <v>0.20535398839747906</v>
      </c>
      <c r="I12" s="4">
        <v>0.80202675981279659</v>
      </c>
      <c r="K12" s="4">
        <v>0.52651745413797124</v>
      </c>
      <c r="L12" s="4">
        <v>0.63342323662598798</v>
      </c>
      <c r="M12" s="4">
        <v>0.4390490866477757</v>
      </c>
      <c r="N12" s="4">
        <v>0.54595486913579383</v>
      </c>
      <c r="P12" s="4">
        <v>0.55084229000355311</v>
      </c>
      <c r="Q12" s="4">
        <v>0.65795389802581927</v>
      </c>
      <c r="R12" s="4">
        <v>0.33661907395902485</v>
      </c>
      <c r="S12" s="4">
        <v>0.59952938455912863</v>
      </c>
    </row>
    <row r="13" spans="1:19" x14ac:dyDescent="0.3">
      <c r="A13" s="13">
        <v>0.75088839088323456</v>
      </c>
      <c r="B13" s="13">
        <v>0.77133146033526867</v>
      </c>
      <c r="C13" s="13">
        <v>0.31136239766451207</v>
      </c>
      <c r="D13" s="13">
        <v>0.31136239766451207</v>
      </c>
      <c r="F13" s="4">
        <v>0.37173319383679221</v>
      </c>
      <c r="G13" s="4">
        <v>0.75746429074734667</v>
      </c>
      <c r="H13" s="4">
        <v>0.25828287121604027</v>
      </c>
      <c r="I13" s="4">
        <v>0.75746429074734667</v>
      </c>
      <c r="K13" s="4">
        <v>0.55857106764370046</v>
      </c>
      <c r="L13" s="4">
        <v>0.64791069167097759</v>
      </c>
      <c r="M13" s="4">
        <v>0.45930481872450352</v>
      </c>
      <c r="N13" s="4">
        <v>0.47915806850834292</v>
      </c>
      <c r="P13" s="4">
        <v>0.49571039735456546</v>
      </c>
      <c r="Q13" s="4">
        <v>0.65781345448383088</v>
      </c>
      <c r="R13" s="4">
        <v>0.40452742771935363</v>
      </c>
      <c r="S13" s="4">
        <v>0.58689336698977868</v>
      </c>
    </row>
    <row r="14" spans="1:19" x14ac:dyDescent="0.3">
      <c r="A14" s="13">
        <v>0.74161621152744017</v>
      </c>
      <c r="B14" s="13">
        <v>0.76268083202903358</v>
      </c>
      <c r="C14" s="13">
        <v>0.26766225024153739</v>
      </c>
      <c r="D14" s="13">
        <v>0.37298535274951611</v>
      </c>
      <c r="F14" s="4">
        <v>0.29044454032976846</v>
      </c>
      <c r="G14" s="4">
        <v>0.849297068775415</v>
      </c>
      <c r="H14" s="4">
        <v>0.16625508956406954</v>
      </c>
      <c r="I14" s="4">
        <v>0.83894794787827431</v>
      </c>
      <c r="K14" s="4">
        <v>0.53113981401250365</v>
      </c>
      <c r="L14" s="4">
        <v>0.64325946174882886</v>
      </c>
      <c r="M14" s="4">
        <v>0.44959825202244885</v>
      </c>
      <c r="N14" s="4">
        <v>0.52094711876374733</v>
      </c>
      <c r="P14" s="4">
        <v>0.46433667407182899</v>
      </c>
      <c r="Q14" s="4">
        <v>0.74166326896560297</v>
      </c>
      <c r="R14" s="4">
        <v>0.4129798972396494</v>
      </c>
      <c r="S14" s="4">
        <v>0.52596480627044595</v>
      </c>
    </row>
    <row r="15" spans="1:19" x14ac:dyDescent="0.3">
      <c r="A15" s="13">
        <v>0.66318976288359954</v>
      </c>
      <c r="B15" s="13">
        <v>0.66318976288359954</v>
      </c>
      <c r="C15" s="13">
        <v>0.40388027948604716</v>
      </c>
      <c r="D15" s="13">
        <v>0.41468484129427963</v>
      </c>
      <c r="F15" s="4">
        <v>0.38063267130795608</v>
      </c>
      <c r="G15" s="4">
        <v>0.76211219598532209</v>
      </c>
      <c r="H15" s="4">
        <v>0.3705937364480244</v>
      </c>
      <c r="I15" s="4">
        <v>0.63160604280622334</v>
      </c>
      <c r="K15" s="4">
        <v>0.53120871095851852</v>
      </c>
      <c r="L15" s="4">
        <v>0.62170282316905179</v>
      </c>
      <c r="M15" s="4">
        <v>0.44071459874798674</v>
      </c>
      <c r="N15" s="4">
        <v>0.5513185136719716</v>
      </c>
      <c r="P15" s="4">
        <v>0.49868492311648305</v>
      </c>
      <c r="Q15" s="4">
        <v>0.6274320266149932</v>
      </c>
      <c r="R15" s="4">
        <v>0.44504029665877187</v>
      </c>
      <c r="S15" s="4">
        <v>0.57378740015728058</v>
      </c>
    </row>
    <row r="16" spans="1:19" x14ac:dyDescent="0.3">
      <c r="A16" s="13">
        <v>0.75620511958238579</v>
      </c>
      <c r="B16" s="13">
        <v>0.76734278833912117</v>
      </c>
      <c r="C16" s="13">
        <v>0.3106983693130102</v>
      </c>
      <c r="D16" s="13">
        <v>0.3106983693130102</v>
      </c>
      <c r="F16" s="4">
        <v>0.41617547251749659</v>
      </c>
      <c r="G16" s="4">
        <v>1</v>
      </c>
      <c r="H16" s="4">
        <v>0.35967632469660848</v>
      </c>
      <c r="I16" s="4">
        <v>0.36909284933342362</v>
      </c>
      <c r="K16" s="4">
        <v>0.63115387426650482</v>
      </c>
      <c r="L16" s="4">
        <v>0.65113655060958064</v>
      </c>
      <c r="M16" s="4">
        <v>0.35139640546340761</v>
      </c>
      <c r="N16" s="4">
        <v>0.51125781620803423</v>
      </c>
      <c r="P16" s="4">
        <v>0.45770176128854162</v>
      </c>
      <c r="Q16" s="4">
        <v>0.64842816213451115</v>
      </c>
      <c r="R16" s="4">
        <v>0.40160576103972695</v>
      </c>
      <c r="S16" s="4">
        <v>0.63720896208474764</v>
      </c>
    </row>
    <row r="17" spans="1:19" x14ac:dyDescent="0.3">
      <c r="A17" s="13">
        <v>0.73621983960121207</v>
      </c>
      <c r="B17" s="13">
        <v>0.74748652568370966</v>
      </c>
      <c r="C17" s="13">
        <v>0.33061914063130415</v>
      </c>
      <c r="D17" s="13">
        <v>0.33061914063130415</v>
      </c>
      <c r="F17" s="4">
        <v>0.37841776681059214</v>
      </c>
      <c r="G17" s="4">
        <v>0.7961723413507702</v>
      </c>
      <c r="H17" s="4">
        <v>0.34128402685146481</v>
      </c>
      <c r="I17" s="4">
        <v>0.62907051153470006</v>
      </c>
      <c r="K17" s="4">
        <v>0.56424913706828284</v>
      </c>
      <c r="L17" s="4">
        <v>0.65592796575287171</v>
      </c>
      <c r="M17" s="4">
        <v>0.46238377186318641</v>
      </c>
      <c r="N17" s="4">
        <v>0.46238377186318641</v>
      </c>
      <c r="P17" s="4">
        <v>0.45166977714096707</v>
      </c>
      <c r="Q17" s="4">
        <v>0.75719994048104522</v>
      </c>
      <c r="R17" s="4">
        <v>0.4189344024973875</v>
      </c>
      <c r="S17" s="4">
        <v>0.51714052642812758</v>
      </c>
    </row>
    <row r="18" spans="1:19" x14ac:dyDescent="0.3">
      <c r="A18" s="13">
        <v>0.634336460003041</v>
      </c>
      <c r="B18" s="13">
        <v>0.71063669206560975</v>
      </c>
      <c r="C18" s="13">
        <v>0.32913553175276838</v>
      </c>
      <c r="D18" s="13">
        <v>0.47083596272610956</v>
      </c>
      <c r="F18" s="4">
        <v>0.35159915023571092</v>
      </c>
      <c r="G18" s="4">
        <v>0.74485200568755472</v>
      </c>
      <c r="H18" s="4">
        <v>0.35159915023571092</v>
      </c>
      <c r="I18" s="4">
        <v>0.6968943403885508</v>
      </c>
      <c r="K18" s="4">
        <v>0.51052644537807168</v>
      </c>
      <c r="L18" s="4">
        <v>0.62364919691683685</v>
      </c>
      <c r="M18" s="4">
        <v>0.47967478586749929</v>
      </c>
      <c r="N18" s="4">
        <v>0.5310942183851195</v>
      </c>
      <c r="P18" s="4">
        <v>0.5142847059839597</v>
      </c>
      <c r="Q18" s="4">
        <v>0.66794489555441139</v>
      </c>
      <c r="R18" s="4">
        <v>0.40452742771935363</v>
      </c>
      <c r="S18" s="4">
        <v>0.55818761728980393</v>
      </c>
    </row>
    <row r="19" spans="1:19" x14ac:dyDescent="0.3">
      <c r="A19" s="13">
        <v>0.67083487646374662</v>
      </c>
      <c r="B19" s="13">
        <v>0.75873607798332987</v>
      </c>
      <c r="C19" s="13">
        <v>0.3082424201954595</v>
      </c>
      <c r="D19" s="13">
        <v>0.40713127190499132</v>
      </c>
      <c r="F19" s="4">
        <v>0.29960590417242444</v>
      </c>
      <c r="G19" s="4">
        <v>0.81277995650498314</v>
      </c>
      <c r="H19" s="4">
        <v>0.29960590417242444</v>
      </c>
      <c r="I19" s="4">
        <v>0.73295288169769524</v>
      </c>
      <c r="K19" s="4">
        <v>0.49010874124582182</v>
      </c>
      <c r="L19" s="4">
        <v>0.67461842281006179</v>
      </c>
      <c r="M19" s="4">
        <v>0.4798582033811426</v>
      </c>
      <c r="N19" s="4">
        <v>0.50035927911050249</v>
      </c>
      <c r="P19" s="4">
        <v>0.43804637997216039</v>
      </c>
      <c r="Q19" s="4">
        <v>0.69614523463371236</v>
      </c>
      <c r="R19" s="4">
        <v>0.42682469063905054</v>
      </c>
      <c r="S19" s="4">
        <v>0.58392834130260252</v>
      </c>
    </row>
    <row r="20" spans="1:19" x14ac:dyDescent="0.3">
      <c r="A20" s="13">
        <v>0.62449143238664395</v>
      </c>
      <c r="B20" s="13">
        <v>0.67156091011985264</v>
      </c>
      <c r="C20" s="13">
        <v>0.40091141315391099</v>
      </c>
      <c r="D20" s="13">
        <v>0.44798089088711829</v>
      </c>
      <c r="F20" s="4">
        <v>0.29974479425473333</v>
      </c>
      <c r="G20" s="4">
        <v>0.77272752901902897</v>
      </c>
      <c r="H20" s="4">
        <v>0.29974479425473333</v>
      </c>
      <c r="I20" s="4">
        <v>0.77272752901902897</v>
      </c>
      <c r="K20" s="4">
        <v>0.60873330292255479</v>
      </c>
      <c r="L20" s="4">
        <v>0.60873330292255479</v>
      </c>
      <c r="M20" s="4">
        <v>0.41540759282742745</v>
      </c>
      <c r="N20" s="4">
        <v>0.51207044787499034</v>
      </c>
      <c r="P20" s="4">
        <v>0.4562106017882564</v>
      </c>
      <c r="Q20" s="4">
        <v>0.78774506401827482</v>
      </c>
      <c r="R20" s="4">
        <v>0.4219139332817034</v>
      </c>
      <c r="S20" s="4">
        <v>0.47907504745929264</v>
      </c>
    </row>
    <row r="21" spans="1:19" x14ac:dyDescent="0.3">
      <c r="A21" s="13">
        <v>0.65054830644380313</v>
      </c>
      <c r="B21" s="13">
        <v>0.65054830644380313</v>
      </c>
      <c r="C21" s="13">
        <v>0.36058579278722069</v>
      </c>
      <c r="D21" s="13">
        <v>0.48326224087269898</v>
      </c>
      <c r="F21" s="4">
        <v>0.26698023623572747</v>
      </c>
      <c r="G21" s="4">
        <v>0.80549208703803477</v>
      </c>
      <c r="H21" s="4">
        <v>0.26698023623572747</v>
      </c>
      <c r="I21" s="4">
        <v>0.80549208703803477</v>
      </c>
      <c r="K21" s="4">
        <v>0.55567571120696302</v>
      </c>
      <c r="L21" s="4">
        <v>0.57789233928705541</v>
      </c>
      <c r="M21" s="4">
        <v>0.44459257080649961</v>
      </c>
      <c r="N21" s="4">
        <v>0.56678402524701066</v>
      </c>
      <c r="P21" s="4">
        <v>0.48953611193759233</v>
      </c>
      <c r="Q21" s="4">
        <v>0.81643645983262159</v>
      </c>
      <c r="R21" s="4">
        <v>0.34943596283972245</v>
      </c>
      <c r="S21" s="4">
        <v>0.48953611193759233</v>
      </c>
    </row>
    <row r="22" spans="1:19" x14ac:dyDescent="0.3">
      <c r="A22" s="13">
        <v>0.65208098324568364</v>
      </c>
      <c r="B22" s="13">
        <v>0.65208098324568364</v>
      </c>
      <c r="C22" s="13">
        <v>0.38083457167385304</v>
      </c>
      <c r="D22" s="13">
        <v>0.45994810838230427</v>
      </c>
      <c r="F22" s="4">
        <v>0.42624351473994559</v>
      </c>
      <c r="G22" s="4">
        <v>0.71273599037847857</v>
      </c>
      <c r="H22" s="4">
        <v>0.33415664757041597</v>
      </c>
      <c r="I22" s="4">
        <v>0.67180849385868857</v>
      </c>
      <c r="K22" s="4">
        <v>0.61346850822726584</v>
      </c>
      <c r="L22" s="4">
        <v>0.61346850822726584</v>
      </c>
      <c r="M22" s="4">
        <v>0.44797062267644322</v>
      </c>
      <c r="N22" s="4">
        <v>0.47003700741655391</v>
      </c>
      <c r="P22" s="4">
        <v>0.44510795654799662</v>
      </c>
      <c r="Q22" s="4">
        <v>0.68431949490632071</v>
      </c>
      <c r="R22" s="4">
        <v>0.34258872582300237</v>
      </c>
      <c r="S22" s="4">
        <v>0.67292846927020744</v>
      </c>
    </row>
    <row r="23" spans="1:19" x14ac:dyDescent="0.3">
      <c r="A23" s="13">
        <v>0.67507992213559487</v>
      </c>
      <c r="B23" s="13">
        <v>0.67507992213559487</v>
      </c>
      <c r="C23" s="13">
        <v>0.38813615043825511</v>
      </c>
      <c r="D23" s="13">
        <v>0.40664865183808385</v>
      </c>
      <c r="P23" s="4">
        <v>0.44040528613380325</v>
      </c>
      <c r="Q23" s="4">
        <v>0.69971236102448897</v>
      </c>
      <c r="R23" s="4">
        <v>0.36148574160185437</v>
      </c>
      <c r="S23" s="4">
        <v>0.64334125778738349</v>
      </c>
    </row>
    <row r="24" spans="1:19" x14ac:dyDescent="0.3">
      <c r="P24" s="4">
        <v>0.47411716966863199</v>
      </c>
      <c r="Q24" s="4">
        <v>0.63223824013326746</v>
      </c>
      <c r="R24" s="4">
        <v>0.4628228074925872</v>
      </c>
      <c r="S24" s="4">
        <v>0.57576642925303934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P9" sqref="P9"/>
    </sheetView>
  </sheetViews>
  <sheetFormatPr defaultRowHeight="16.5" x14ac:dyDescent="0.3"/>
  <cols>
    <col min="1" max="16384" width="9" style="14"/>
  </cols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seong</dc:creator>
  <cp:lastModifiedBy>seong</cp:lastModifiedBy>
  <dcterms:created xsi:type="dcterms:W3CDTF">2016-05-29T15:04:15Z</dcterms:created>
  <dcterms:modified xsi:type="dcterms:W3CDTF">2017-01-01T05:46:25Z</dcterms:modified>
</cp:coreProperties>
</file>