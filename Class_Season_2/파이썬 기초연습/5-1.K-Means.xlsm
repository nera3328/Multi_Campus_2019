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(R)금융데이터마이닝\실습파일\"/>
    </mc:Choice>
  </mc:AlternateContent>
  <bookViews>
    <workbookView xWindow="120" yWindow="45" windowWidth="20475" windowHeight="10770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4" i="1"/>
  <c r="P15" i="1" l="1"/>
  <c r="P9" i="1"/>
  <c r="P5" i="1"/>
  <c r="P18" i="1"/>
  <c r="P21" i="1"/>
  <c r="P19" i="1"/>
  <c r="P13" i="1"/>
  <c r="P11" i="1"/>
  <c r="P7" i="1"/>
  <c r="C23" i="1"/>
  <c r="P23" i="1"/>
  <c r="P22" i="1"/>
  <c r="P20" i="1"/>
  <c r="C17" i="1"/>
  <c r="P17" i="1"/>
  <c r="P16" i="1"/>
  <c r="P14" i="1"/>
  <c r="P12" i="1"/>
  <c r="P10" i="1"/>
  <c r="P8" i="1"/>
  <c r="C6" i="1"/>
  <c r="P6" i="1"/>
  <c r="P4" i="1"/>
  <c r="C5" i="1"/>
  <c r="C21" i="1"/>
  <c r="C11" i="1"/>
  <c r="C13" i="1"/>
  <c r="C20" i="1"/>
  <c r="C10" i="1"/>
  <c r="C19" i="1"/>
  <c r="C7" i="1"/>
  <c r="C18" i="1"/>
  <c r="C15" i="1"/>
  <c r="C8" i="1"/>
  <c r="C22" i="1"/>
  <c r="C16" i="1"/>
  <c r="C14" i="1"/>
  <c r="C12" i="1"/>
  <c r="C9" i="1"/>
  <c r="C4" i="1"/>
  <c r="L24" i="1"/>
  <c r="M24" i="1"/>
  <c r="N24" i="1"/>
  <c r="O24" i="1"/>
  <c r="P24" i="1" l="1"/>
  <c r="F11" i="1" s="1"/>
</calcChain>
</file>

<file path=xl/sharedStrings.xml><?xml version="1.0" encoding="utf-8"?>
<sst xmlns="http://schemas.openxmlformats.org/spreadsheetml/2006/main" count="15" uniqueCount="14">
  <si>
    <t>x</t>
    <phoneticPr fontId="1" type="noConversion"/>
  </si>
  <si>
    <t>y</t>
    <phoneticPr fontId="1" type="noConversion"/>
  </si>
  <si>
    <t>x</t>
    <phoneticPr fontId="1" type="noConversion"/>
  </si>
  <si>
    <t>클러스터 중심 좌표</t>
    <phoneticPr fontId="1" type="noConversion"/>
  </si>
  <si>
    <t>G1</t>
    <phoneticPr fontId="1" type="noConversion"/>
  </si>
  <si>
    <t>G2</t>
    <phoneticPr fontId="1" type="noConversion"/>
  </si>
  <si>
    <t>훈련 데이터</t>
    <phoneticPr fontId="1" type="noConversion"/>
  </si>
  <si>
    <t>G3</t>
    <phoneticPr fontId="1" type="noConversion"/>
  </si>
  <si>
    <t>G4</t>
    <phoneticPr fontId="1" type="noConversion"/>
  </si>
  <si>
    <t>합계</t>
    <phoneticPr fontId="1" type="noConversion"/>
  </si>
  <si>
    <t>훈련데이터 ~ 중심 거리 계산</t>
    <phoneticPr fontId="1" type="noConversion"/>
  </si>
  <si>
    <t>Class</t>
    <phoneticPr fontId="1" type="noConversion"/>
  </si>
  <si>
    <t>거리 합</t>
    <phoneticPr fontId="1" type="noConversion"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</si>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</sst>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76" fontId="2" fillId="2" borderId="0" xfId="0" applyNumberFormat="1" applyFont="1" applyFill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66666666666666E-2"/>
          <c:y val="0"/>
          <c:w val="0.96944444444444444"/>
          <c:h val="0.991679668549441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0"/>
            <c:spPr>
              <a:gradFill>
                <a:gsLst>
                  <a:gs pos="0">
                    <a:srgbClr val="5E9EFF"/>
                  </a:gs>
                  <a:gs pos="39999">
                    <a:srgbClr val="85C2FF"/>
                  </a:gs>
                  <a:gs pos="70000">
                    <a:srgbClr val="C4D6EB"/>
                  </a:gs>
                  <a:gs pos="100000">
                    <a:srgbClr val="FFEBFA"/>
                  </a:gs>
                </a:gsLst>
                <a:lin ang="5400000" scaled="0"/>
              </a:gradFill>
            </c:spPr>
          </c:marker>
          <c:xVal>
            <c:numRef>
              <c:f>Sheet1!$A$4:$A$23</c:f>
              <c:numCache>
                <c:formatCode>General</c:formatCode>
                <c:ptCount val="20"/>
                <c:pt idx="0">
                  <c:v>-0.496</c:v>
                </c:pt>
                <c:pt idx="1">
                  <c:v>0.98699999999999999</c:v>
                </c:pt>
                <c:pt idx="2">
                  <c:v>0.63400000000000001</c:v>
                </c:pt>
                <c:pt idx="3">
                  <c:v>-0.48199999999999998</c:v>
                </c:pt>
                <c:pt idx="4">
                  <c:v>-0.999</c:v>
                </c:pt>
                <c:pt idx="5">
                  <c:v>-0.65400000000000003</c:v>
                </c:pt>
                <c:pt idx="6">
                  <c:v>0.56399999999999995</c:v>
                </c:pt>
                <c:pt idx="7">
                  <c:v>-0.92100000000000004</c:v>
                </c:pt>
                <c:pt idx="8">
                  <c:v>0.72099999999999997</c:v>
                </c:pt>
                <c:pt idx="9">
                  <c:v>0.89300000000000002</c:v>
                </c:pt>
                <c:pt idx="10">
                  <c:v>0.872</c:v>
                </c:pt>
                <c:pt idx="11">
                  <c:v>-0.495</c:v>
                </c:pt>
                <c:pt idx="12">
                  <c:v>-0.66500000000000004</c:v>
                </c:pt>
                <c:pt idx="13">
                  <c:v>0.51100000000000001</c:v>
                </c:pt>
                <c:pt idx="14">
                  <c:v>-0.626</c:v>
                </c:pt>
                <c:pt idx="15">
                  <c:v>-0.68400000000000005</c:v>
                </c:pt>
                <c:pt idx="16">
                  <c:v>0.32500000000000001</c:v>
                </c:pt>
                <c:pt idx="17">
                  <c:v>-0.432</c:v>
                </c:pt>
                <c:pt idx="18">
                  <c:v>-0.88200000000000001</c:v>
                </c:pt>
                <c:pt idx="19">
                  <c:v>-0.57499999999999996</c:v>
                </c:pt>
              </c:numCache>
            </c:numRef>
          </c:xVal>
          <c:yVal>
            <c:numRef>
              <c:f>Sheet1!$B$4:$B$23</c:f>
              <c:numCache>
                <c:formatCode>General</c:formatCode>
                <c:ptCount val="20"/>
                <c:pt idx="0">
                  <c:v>0.67500000000000004</c:v>
                </c:pt>
                <c:pt idx="1">
                  <c:v>-0.53600000000000003</c:v>
                </c:pt>
                <c:pt idx="2">
                  <c:v>0.56699999999999995</c:v>
                </c:pt>
                <c:pt idx="3">
                  <c:v>0.38700000000000001</c:v>
                </c:pt>
                <c:pt idx="4">
                  <c:v>-0.64700000000000002</c:v>
                </c:pt>
                <c:pt idx="5">
                  <c:v>0.23400000000000001</c:v>
                </c:pt>
                <c:pt idx="6">
                  <c:v>-0.124</c:v>
                </c:pt>
                <c:pt idx="7">
                  <c:v>0.17699999999999999</c:v>
                </c:pt>
                <c:pt idx="8">
                  <c:v>0.74299999999999999</c:v>
                </c:pt>
                <c:pt idx="9">
                  <c:v>-0.25</c:v>
                </c:pt>
                <c:pt idx="10">
                  <c:v>0.45600000000000002</c:v>
                </c:pt>
                <c:pt idx="11">
                  <c:v>-0.82599999999999996</c:v>
                </c:pt>
                <c:pt idx="12">
                  <c:v>-0.64400000000000002</c:v>
                </c:pt>
                <c:pt idx="13">
                  <c:v>-0.28799999999999998</c:v>
                </c:pt>
                <c:pt idx="14">
                  <c:v>0.45300000000000001</c:v>
                </c:pt>
                <c:pt idx="15">
                  <c:v>-0.94699999999999995</c:v>
                </c:pt>
                <c:pt idx="16">
                  <c:v>-0.34499999999999997</c:v>
                </c:pt>
                <c:pt idx="17">
                  <c:v>0.314</c:v>
                </c:pt>
                <c:pt idx="18">
                  <c:v>-0.90200000000000002</c:v>
                </c:pt>
                <c:pt idx="19">
                  <c:v>-0.50900000000000001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D-4E4E-9DE1-06FE2194B5C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x"/>
            <c:size val="7"/>
            <c:spPr>
              <a:ln w="25400">
                <a:solidFill>
                  <a:srgbClr val="FF0000"/>
                </a:solidFill>
              </a:ln>
            </c:spPr>
          </c:marker>
          <c:xVal>
            <c:numRef>
              <c:f>Sheet1!$E$4:$E$7</c:f>
              <c:numCache>
                <c:formatCode>0.0000</c:formatCode>
                <c:ptCount val="4"/>
                <c:pt idx="0">
                  <c:v>0.74233333333333329</c:v>
                </c:pt>
                <c:pt idx="1">
                  <c:v>-0.60183333333333333</c:v>
                </c:pt>
                <c:pt idx="2">
                  <c:v>-0.71666666666666667</c:v>
                </c:pt>
                <c:pt idx="3">
                  <c:v>0.65600000000000003</c:v>
                </c:pt>
              </c:numCache>
            </c:numRef>
          </c:xVal>
          <c:yVal>
            <c:numRef>
              <c:f>Sheet1!$F$4:$F$7</c:f>
              <c:numCache>
                <c:formatCode>0.0000</c:formatCode>
                <c:ptCount val="4"/>
                <c:pt idx="0">
                  <c:v>0.58866666666666667</c:v>
                </c:pt>
                <c:pt idx="1">
                  <c:v>0.37333333333333335</c:v>
                </c:pt>
                <c:pt idx="2">
                  <c:v>-0.74583333333333346</c:v>
                </c:pt>
                <c:pt idx="3">
                  <c:v>-0.30859999999999999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ED-4E4E-9DE1-06FE2194B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37376"/>
        <c:axId val="234437952"/>
      </c:scatterChart>
      <c:valAx>
        <c:axId val="234437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4437952"/>
        <c:crosses val="autoZero"/>
        <c:crossBetween val="midCat"/>
      </c:valAx>
      <c:valAx>
        <c:axId val="2344379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3443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</xdr:colOff>
      <xdr:row>8</xdr:row>
      <xdr:rowOff>47626</xdr:rowOff>
    </xdr:from>
    <xdr:to>
      <xdr:col>20</xdr:col>
      <xdr:colOff>395287</xdr:colOff>
      <xdr:row>26</xdr:row>
      <xdr:rowOff>38100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7</xdr:row>
          <xdr:rowOff>57150</xdr:rowOff>
        </xdr:from>
        <xdr:to>
          <xdr:col>4</xdr:col>
          <xdr:colOff>295275</xdr:colOff>
          <xdr:row>9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7</xdr:row>
          <xdr:rowOff>57150</xdr:rowOff>
        </xdr:from>
        <xdr:to>
          <xdr:col>5</xdr:col>
          <xdr:colOff>571500</xdr:colOff>
          <xdr:row>9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24"/>
  <sheetViews>
    <sheetView tabSelected="1" workbookViewId="0">
      <selection activeCell="D26" sqref="D26"/>
    </sheetView>
  </sheetViews>
  <sheetFormatPr defaultRowHeight="13.5" x14ac:dyDescent="0.3"/>
  <cols>
    <col min="1" max="2" width="9" style="1"/>
    <col min="3" max="3" width="7.625" style="1" customWidth="1"/>
    <col min="4" max="6" width="9" style="1"/>
    <col min="7" max="7" width="2" style="1" customWidth="1"/>
    <col min="8" max="11" width="6.25" style="1" bestFit="1" customWidth="1"/>
    <col min="12" max="15" width="3.5" style="1" bestFit="1" customWidth="1"/>
    <col min="16" max="16384" width="9" style="1"/>
  </cols>
  <sheetData>
    <row r="2" spans="1:16" x14ac:dyDescent="0.3">
      <c r="A2" s="12" t="s">
        <v>6</v>
      </c>
      <c r="B2" s="13"/>
      <c r="D2" s="11" t="s">
        <v>3</v>
      </c>
      <c r="E2" s="11"/>
      <c r="F2" s="11"/>
      <c r="H2" s="14" t="s">
        <v>10</v>
      </c>
      <c r="I2" s="15"/>
      <c r="J2" s="15"/>
      <c r="K2" s="15"/>
      <c r="L2" s="15"/>
      <c r="M2" s="15"/>
      <c r="N2" s="15"/>
      <c r="O2" s="15"/>
    </row>
    <row r="3" spans="1:16" x14ac:dyDescent="0.3">
      <c r="A3" s="6" t="s">
        <v>0</v>
      </c>
      <c r="B3" s="6" t="s">
        <v>1</v>
      </c>
      <c r="C3" s="9" t="s">
        <v>11</v>
      </c>
      <c r="D3" s="7"/>
      <c r="E3" s="6" t="s">
        <v>2</v>
      </c>
      <c r="F3" s="6" t="s">
        <v>1</v>
      </c>
      <c r="H3" s="4">
        <v>1</v>
      </c>
      <c r="I3" s="4">
        <v>2</v>
      </c>
      <c r="J3" s="4">
        <v>3</v>
      </c>
      <c r="K3" s="4">
        <v>4</v>
      </c>
      <c r="L3" s="4" t="s">
        <v>4</v>
      </c>
      <c r="M3" s="4" t="s">
        <v>5</v>
      </c>
      <c r="N3" s="5" t="s">
        <v>7</v>
      </c>
      <c r="O3" s="5" t="s">
        <v>8</v>
      </c>
      <c r="P3" s="5" t="s">
        <v>12</v>
      </c>
    </row>
    <row r="4" spans="1:16" x14ac:dyDescent="0.3">
      <c r="A4" s="2">
        <v>-0.496</v>
      </c>
      <c r="B4" s="2">
        <v>0.67500000000000004</v>
      </c>
      <c r="C4" s="9">
        <f>IF(L4=1,1,IF(M4=1,2,IF(N4=1,3,4)))</f>
        <v>2</v>
      </c>
      <c r="D4" s="8">
        <v>1</v>
      </c>
      <c r="E4" s="3">
        <v>0.74233333333333329</v>
      </c>
      <c r="F4" s="3">
        <v>0.58866666666666667</v>
      </c>
      <c r="H4" s="3">
        <v>1.2413391514364189</v>
      </c>
      <c r="I4" s="3">
        <v>0.31969277786997669</v>
      </c>
      <c r="J4" s="3">
        <v>1.4378668710589617</v>
      </c>
      <c r="K4" s="3">
        <v>1.5147847899949354</v>
      </c>
      <c r="L4" s="2">
        <f>IF(H4 &lt; SMALL($H4:$K4, 2), 1, 0)</f>
        <v>0</v>
      </c>
      <c r="M4" s="2">
        <f>IF(I4 &lt; SMALL($H4:$K4, 2), 1, 0)</f>
        <v>1</v>
      </c>
      <c r="N4" s="2">
        <f>IF(J4 &lt; SMALL($H4:$K4, 2), 1, 0)</f>
        <v>0</v>
      </c>
      <c r="O4" s="2">
        <f>IF(K4 &lt; SMALL($H4:$K4, 2), 1, 0)</f>
        <v>0</v>
      </c>
      <c r="P4" s="3">
        <f>H4*L4 + I4*M4 + J4*N4 + K4*O4</f>
        <v>0.31969277786997669</v>
      </c>
    </row>
    <row r="5" spans="1:16" x14ac:dyDescent="0.3">
      <c r="A5" s="2">
        <v>0.98699999999999999</v>
      </c>
      <c r="B5" s="2">
        <v>-0.53600000000000003</v>
      </c>
      <c r="C5" s="9">
        <f t="shared" ref="C5:C23" si="0">IF(L5=1,1,IF(M5=1,2,IF(N5=1,3,4)))</f>
        <v>4</v>
      </c>
      <c r="D5" s="8">
        <v>2</v>
      </c>
      <c r="E5" s="3">
        <v>-0.60183333333333333</v>
      </c>
      <c r="F5" s="3">
        <v>0.37333333333333335</v>
      </c>
      <c r="H5" s="3">
        <v>1.1509721494844647</v>
      </c>
      <c r="I5" s="3">
        <v>1.8306497404534332</v>
      </c>
      <c r="J5" s="3">
        <v>1.7165401652419581</v>
      </c>
      <c r="K5" s="3">
        <v>0.40158655355975253</v>
      </c>
      <c r="L5" s="2">
        <f t="shared" ref="L5:L23" si="1">IF(H5 &lt; SMALL($H5:$K5, 2), 1, 0)</f>
        <v>0</v>
      </c>
      <c r="M5" s="2">
        <f t="shared" ref="M5:M23" si="2">IF(I5 &lt; SMALL($H5:$K5, 2), 1, 0)</f>
        <v>0</v>
      </c>
      <c r="N5" s="2">
        <f t="shared" ref="N5:N23" si="3">IF(J5 &lt; SMALL($H5:$K5, 2), 1, 0)</f>
        <v>0</v>
      </c>
      <c r="O5" s="2">
        <f t="shared" ref="O5:O23" si="4">IF(K5 &lt; SMALL($H5:$K5, 2), 1, 0)</f>
        <v>1</v>
      </c>
      <c r="P5" s="3">
        <f t="shared" ref="P5:P23" si="5">H5*L5 + I5*M5 + J5*N5 + K5*O5</f>
        <v>0.40158655355975253</v>
      </c>
    </row>
    <row r="6" spans="1:16" x14ac:dyDescent="0.3">
      <c r="A6" s="2">
        <v>0.63400000000000001</v>
      </c>
      <c r="B6" s="2">
        <v>0.56699999999999995</v>
      </c>
      <c r="C6" s="9">
        <f t="shared" si="0"/>
        <v>1</v>
      </c>
      <c r="D6" s="8">
        <v>3</v>
      </c>
      <c r="E6" s="3">
        <v>-0.71666666666666667</v>
      </c>
      <c r="F6" s="3">
        <v>-0.74583333333333346</v>
      </c>
      <c r="H6" s="3">
        <v>0.11047875612784364</v>
      </c>
      <c r="I6" s="3">
        <v>1.2509159866096347</v>
      </c>
      <c r="J6" s="3">
        <v>1.883568901196756</v>
      </c>
      <c r="K6" s="3">
        <v>0.87587633830353018</v>
      </c>
      <c r="L6" s="2">
        <f t="shared" si="1"/>
        <v>1</v>
      </c>
      <c r="M6" s="2">
        <f t="shared" si="2"/>
        <v>0</v>
      </c>
      <c r="N6" s="2">
        <f t="shared" si="3"/>
        <v>0</v>
      </c>
      <c r="O6" s="2">
        <f t="shared" si="4"/>
        <v>0</v>
      </c>
      <c r="P6" s="3">
        <f t="shared" si="5"/>
        <v>0.11047875612784364</v>
      </c>
    </row>
    <row r="7" spans="1:16" x14ac:dyDescent="0.3">
      <c r="A7" s="2">
        <v>-0.48199999999999998</v>
      </c>
      <c r="B7" s="2">
        <v>0.38700000000000001</v>
      </c>
      <c r="C7" s="9">
        <f t="shared" si="0"/>
        <v>2</v>
      </c>
      <c r="D7" s="8">
        <v>4</v>
      </c>
      <c r="E7" s="3">
        <v>0.65600000000000003</v>
      </c>
      <c r="F7" s="3">
        <v>-0.30859999999999999</v>
      </c>
      <c r="H7" s="3">
        <v>1.2408309939534696</v>
      </c>
      <c r="I7" s="3">
        <v>0.12061013869304503</v>
      </c>
      <c r="J7" s="3">
        <v>1.1568836612017459</v>
      </c>
      <c r="K7" s="3">
        <v>1.3337553598767653</v>
      </c>
      <c r="L7" s="2">
        <f t="shared" si="1"/>
        <v>0</v>
      </c>
      <c r="M7" s="2">
        <f t="shared" si="2"/>
        <v>1</v>
      </c>
      <c r="N7" s="2">
        <f t="shared" si="3"/>
        <v>0</v>
      </c>
      <c r="O7" s="2">
        <f t="shared" si="4"/>
        <v>0</v>
      </c>
      <c r="P7" s="3">
        <f t="shared" si="5"/>
        <v>0.12061013869304503</v>
      </c>
    </row>
    <row r="8" spans="1:16" x14ac:dyDescent="0.3">
      <c r="A8" s="2">
        <v>-0.999</v>
      </c>
      <c r="B8" s="2">
        <v>-0.64700000000000002</v>
      </c>
      <c r="C8" s="9">
        <f t="shared" si="0"/>
        <v>3</v>
      </c>
      <c r="H8" s="3">
        <v>2.1352081605522422</v>
      </c>
      <c r="I8" s="3">
        <v>1.0949070609975178</v>
      </c>
      <c r="J8" s="3">
        <v>0.29913231000493562</v>
      </c>
      <c r="K8" s="3">
        <v>1.6892423035195396</v>
      </c>
      <c r="L8" s="2">
        <f t="shared" si="1"/>
        <v>0</v>
      </c>
      <c r="M8" s="2">
        <f t="shared" si="2"/>
        <v>0</v>
      </c>
      <c r="N8" s="2">
        <f t="shared" si="3"/>
        <v>1</v>
      </c>
      <c r="O8" s="2">
        <f t="shared" si="4"/>
        <v>0</v>
      </c>
      <c r="P8" s="3">
        <f t="shared" si="5"/>
        <v>0.29913231000493562</v>
      </c>
    </row>
    <row r="9" spans="1:16" x14ac:dyDescent="0.3">
      <c r="A9" s="2">
        <v>-0.65400000000000003</v>
      </c>
      <c r="B9" s="2">
        <v>0.23400000000000001</v>
      </c>
      <c r="C9" s="9">
        <f t="shared" si="0"/>
        <v>2</v>
      </c>
      <c r="H9" s="3">
        <v>1.4406717954559332</v>
      </c>
      <c r="I9" s="3">
        <v>0.14877882540499132</v>
      </c>
      <c r="J9" s="3">
        <v>0.98183525717007247</v>
      </c>
      <c r="K9" s="3">
        <v>1.4179262181086856</v>
      </c>
      <c r="L9" s="2">
        <f t="shared" si="1"/>
        <v>0</v>
      </c>
      <c r="M9" s="2">
        <f t="shared" si="2"/>
        <v>1</v>
      </c>
      <c r="N9" s="2">
        <f t="shared" si="3"/>
        <v>0</v>
      </c>
      <c r="O9" s="2">
        <f t="shared" si="4"/>
        <v>0</v>
      </c>
      <c r="P9" s="3">
        <f t="shared" si="5"/>
        <v>0.14877882540499132</v>
      </c>
    </row>
    <row r="10" spans="1:16" x14ac:dyDescent="0.3">
      <c r="A10" s="2">
        <v>0.56399999999999995</v>
      </c>
      <c r="B10" s="2">
        <v>-0.124</v>
      </c>
      <c r="C10" s="9">
        <f t="shared" si="0"/>
        <v>4</v>
      </c>
      <c r="H10" s="3">
        <v>0.73464042602864943</v>
      </c>
      <c r="I10" s="3">
        <v>1.2674808896214393</v>
      </c>
      <c r="J10" s="3">
        <v>1.4236515744927041</v>
      </c>
      <c r="K10" s="3">
        <v>0.20625508478580598</v>
      </c>
      <c r="L10" s="2">
        <f t="shared" si="1"/>
        <v>0</v>
      </c>
      <c r="M10" s="2">
        <f t="shared" si="2"/>
        <v>0</v>
      </c>
      <c r="N10" s="2">
        <f t="shared" si="3"/>
        <v>0</v>
      </c>
      <c r="O10" s="2">
        <f t="shared" si="4"/>
        <v>1</v>
      </c>
      <c r="P10" s="3">
        <f t="shared" si="5"/>
        <v>0.20625508478580598</v>
      </c>
    </row>
    <row r="11" spans="1:16" x14ac:dyDescent="0.3">
      <c r="A11" s="2">
        <v>-0.92100000000000004</v>
      </c>
      <c r="B11" s="2">
        <v>0.17699999999999999</v>
      </c>
      <c r="C11" s="9">
        <f t="shared" si="0"/>
        <v>2</v>
      </c>
      <c r="E11" s="1" t="s">
        <v>13</v>
      </c>
      <c r="F11" s="10">
        <f>P24</f>
        <v>4.3664104373732213</v>
      </c>
      <c r="H11" s="3">
        <v>1.7135189588161031</v>
      </c>
      <c r="I11" s="3">
        <v>0.37471874638038716</v>
      </c>
      <c r="J11" s="3">
        <v>0.94518435885398688</v>
      </c>
      <c r="K11" s="3">
        <v>1.6500716226879364</v>
      </c>
      <c r="L11" s="2">
        <f t="shared" si="1"/>
        <v>0</v>
      </c>
      <c r="M11" s="2">
        <f t="shared" si="2"/>
        <v>1</v>
      </c>
      <c r="N11" s="2">
        <f t="shared" si="3"/>
        <v>0</v>
      </c>
      <c r="O11" s="2">
        <f t="shared" si="4"/>
        <v>0</v>
      </c>
      <c r="P11" s="3">
        <f t="shared" si="5"/>
        <v>0.37471874638038716</v>
      </c>
    </row>
    <row r="12" spans="1:16" x14ac:dyDescent="0.3">
      <c r="A12" s="2">
        <v>0.72099999999999997</v>
      </c>
      <c r="B12" s="2">
        <v>0.74299999999999999</v>
      </c>
      <c r="C12" s="9">
        <f t="shared" si="0"/>
        <v>1</v>
      </c>
      <c r="H12" s="3">
        <v>0.15580079874278208</v>
      </c>
      <c r="I12" s="3">
        <v>1.3735142781282699</v>
      </c>
      <c r="J12" s="3">
        <v>2.0696642575279909</v>
      </c>
      <c r="K12" s="3">
        <v>1.0536069286028829</v>
      </c>
      <c r="L12" s="2">
        <f t="shared" si="1"/>
        <v>1</v>
      </c>
      <c r="M12" s="2">
        <f t="shared" si="2"/>
        <v>0</v>
      </c>
      <c r="N12" s="2">
        <f t="shared" si="3"/>
        <v>0</v>
      </c>
      <c r="O12" s="2">
        <f t="shared" si="4"/>
        <v>0</v>
      </c>
      <c r="P12" s="3">
        <f t="shared" si="5"/>
        <v>0.15580079874278208</v>
      </c>
    </row>
    <row r="13" spans="1:16" x14ac:dyDescent="0.3">
      <c r="A13" s="2">
        <v>0.89300000000000002</v>
      </c>
      <c r="B13" s="2">
        <v>-0.25</v>
      </c>
      <c r="C13" s="9">
        <f t="shared" si="0"/>
        <v>4</v>
      </c>
      <c r="H13" s="3">
        <v>0.85209284835763188</v>
      </c>
      <c r="I13" s="3">
        <v>1.6195898057498659</v>
      </c>
      <c r="J13" s="3">
        <v>1.6843032601708703</v>
      </c>
      <c r="K13" s="3">
        <v>0.2441371745556174</v>
      </c>
      <c r="L13" s="2">
        <f t="shared" si="1"/>
        <v>0</v>
      </c>
      <c r="M13" s="2">
        <f t="shared" si="2"/>
        <v>0</v>
      </c>
      <c r="N13" s="2">
        <f t="shared" si="3"/>
        <v>0</v>
      </c>
      <c r="O13" s="2">
        <f t="shared" si="4"/>
        <v>1</v>
      </c>
      <c r="P13" s="3">
        <f t="shared" si="5"/>
        <v>0.2441371745556174</v>
      </c>
    </row>
    <row r="14" spans="1:16" x14ac:dyDescent="0.3">
      <c r="A14" s="2">
        <v>0.872</v>
      </c>
      <c r="B14" s="2">
        <v>0.45600000000000002</v>
      </c>
      <c r="C14" s="9">
        <f t="shared" si="0"/>
        <v>1</v>
      </c>
      <c r="H14" s="3">
        <v>0.18550980806655182</v>
      </c>
      <c r="I14" s="3">
        <v>1.4761498813542688</v>
      </c>
      <c r="J14" s="3">
        <v>1.992050486029129</v>
      </c>
      <c r="K14" s="3">
        <v>0.79452448672146037</v>
      </c>
      <c r="L14" s="2">
        <f t="shared" si="1"/>
        <v>1</v>
      </c>
      <c r="M14" s="2">
        <f t="shared" si="2"/>
        <v>0</v>
      </c>
      <c r="N14" s="2">
        <f t="shared" si="3"/>
        <v>0</v>
      </c>
      <c r="O14" s="2">
        <f t="shared" si="4"/>
        <v>0</v>
      </c>
      <c r="P14" s="3">
        <f t="shared" si="5"/>
        <v>0.18550980806655182</v>
      </c>
    </row>
    <row r="15" spans="1:16" x14ac:dyDescent="0.3">
      <c r="A15" s="2">
        <v>-0.495</v>
      </c>
      <c r="B15" s="2">
        <v>-0.82599999999999996</v>
      </c>
      <c r="C15" s="9">
        <f t="shared" si="0"/>
        <v>3</v>
      </c>
      <c r="H15" s="3">
        <v>1.8794349032503241</v>
      </c>
      <c r="I15" s="3">
        <v>1.2040821423622043</v>
      </c>
      <c r="J15" s="3">
        <v>0.23571763946628077</v>
      </c>
      <c r="K15" s="3">
        <v>1.2619444361777583</v>
      </c>
      <c r="L15" s="2">
        <f t="shared" si="1"/>
        <v>0</v>
      </c>
      <c r="M15" s="2">
        <f t="shared" si="2"/>
        <v>0</v>
      </c>
      <c r="N15" s="2">
        <f t="shared" si="3"/>
        <v>1</v>
      </c>
      <c r="O15" s="2">
        <f t="shared" si="4"/>
        <v>0</v>
      </c>
      <c r="P15" s="3">
        <f t="shared" si="5"/>
        <v>0.23571763946628077</v>
      </c>
    </row>
    <row r="16" spans="1:16" x14ac:dyDescent="0.3">
      <c r="A16" s="2">
        <v>-0.66500000000000004</v>
      </c>
      <c r="B16" s="2">
        <v>-0.64400000000000002</v>
      </c>
      <c r="C16" s="9">
        <f t="shared" si="0"/>
        <v>3</v>
      </c>
      <c r="H16" s="3">
        <v>1.8708431848292957</v>
      </c>
      <c r="I16" s="3">
        <v>1.0192924697499188</v>
      </c>
      <c r="J16" s="3">
        <v>0.11419050845942599</v>
      </c>
      <c r="K16" s="3">
        <v>1.3629138490748418</v>
      </c>
      <c r="L16" s="2">
        <f t="shared" si="1"/>
        <v>0</v>
      </c>
      <c r="M16" s="2">
        <f t="shared" si="2"/>
        <v>0</v>
      </c>
      <c r="N16" s="2">
        <f t="shared" si="3"/>
        <v>1</v>
      </c>
      <c r="O16" s="2">
        <f t="shared" si="4"/>
        <v>0</v>
      </c>
      <c r="P16" s="3">
        <f t="shared" si="5"/>
        <v>0.11419050845942599</v>
      </c>
    </row>
    <row r="17" spans="1:16" x14ac:dyDescent="0.3">
      <c r="A17" s="2">
        <v>0.51100000000000001</v>
      </c>
      <c r="B17" s="2">
        <v>-0.28799999999999998</v>
      </c>
      <c r="C17" s="9">
        <f t="shared" si="0"/>
        <v>4</v>
      </c>
      <c r="H17" s="3">
        <v>0.90667499996170375</v>
      </c>
      <c r="I17" s="3">
        <v>1.2945114157687276</v>
      </c>
      <c r="J17" s="3">
        <v>1.3102582972664418</v>
      </c>
      <c r="K17" s="3">
        <v>0.14645600021849567</v>
      </c>
      <c r="L17" s="2">
        <f t="shared" si="1"/>
        <v>0</v>
      </c>
      <c r="M17" s="2">
        <f t="shared" si="2"/>
        <v>0</v>
      </c>
      <c r="N17" s="2">
        <f t="shared" si="3"/>
        <v>0</v>
      </c>
      <c r="O17" s="2">
        <f t="shared" si="4"/>
        <v>1</v>
      </c>
      <c r="P17" s="3">
        <f t="shared" si="5"/>
        <v>0.14645600021849567</v>
      </c>
    </row>
    <row r="18" spans="1:16" x14ac:dyDescent="0.3">
      <c r="A18" s="2">
        <v>-0.626</v>
      </c>
      <c r="B18" s="2">
        <v>0.45300000000000001</v>
      </c>
      <c r="C18" s="9">
        <f t="shared" si="0"/>
        <v>2</v>
      </c>
      <c r="H18" s="3">
        <v>1.3750423831851712</v>
      </c>
      <c r="I18" s="3">
        <v>8.3251459780327913E-2</v>
      </c>
      <c r="J18" s="3">
        <v>1.2022569631969515</v>
      </c>
      <c r="K18" s="3">
        <v>1.4911601389522187</v>
      </c>
      <c r="L18" s="2">
        <f t="shared" si="1"/>
        <v>0</v>
      </c>
      <c r="M18" s="2">
        <f t="shared" si="2"/>
        <v>1</v>
      </c>
      <c r="N18" s="2">
        <f t="shared" si="3"/>
        <v>0</v>
      </c>
      <c r="O18" s="2">
        <f t="shared" si="4"/>
        <v>0</v>
      </c>
      <c r="P18" s="3">
        <f t="shared" si="5"/>
        <v>8.3251459780327913E-2</v>
      </c>
    </row>
    <row r="19" spans="1:16" x14ac:dyDescent="0.3">
      <c r="A19" s="2">
        <v>-0.68400000000000005</v>
      </c>
      <c r="B19" s="2">
        <v>-0.94699999999999995</v>
      </c>
      <c r="C19" s="9">
        <f t="shared" si="0"/>
        <v>3</v>
      </c>
      <c r="H19" s="3">
        <v>2.0958766397116242</v>
      </c>
      <c r="I19" s="3">
        <v>1.3228875508607005</v>
      </c>
      <c r="J19" s="3">
        <v>0.20380171463677341</v>
      </c>
      <c r="K19" s="3">
        <v>1.4843027184506536</v>
      </c>
      <c r="L19" s="2">
        <f t="shared" si="1"/>
        <v>0</v>
      </c>
      <c r="M19" s="2">
        <f t="shared" si="2"/>
        <v>0</v>
      </c>
      <c r="N19" s="2">
        <f t="shared" si="3"/>
        <v>1</v>
      </c>
      <c r="O19" s="2">
        <f t="shared" si="4"/>
        <v>0</v>
      </c>
      <c r="P19" s="3">
        <f t="shared" si="5"/>
        <v>0.20380171463677341</v>
      </c>
    </row>
    <row r="20" spans="1:16" x14ac:dyDescent="0.3">
      <c r="A20" s="2">
        <v>0.32500000000000001</v>
      </c>
      <c r="B20" s="2">
        <v>-0.34499999999999997</v>
      </c>
      <c r="C20" s="9">
        <f t="shared" si="0"/>
        <v>4</v>
      </c>
      <c r="H20" s="3">
        <v>1.0226927962763577</v>
      </c>
      <c r="I20" s="3">
        <v>1.1726136642370988</v>
      </c>
      <c r="J20" s="3">
        <v>1.1161258018501123</v>
      </c>
      <c r="K20" s="3">
        <v>0.33299543540415083</v>
      </c>
      <c r="L20" s="2">
        <f t="shared" si="1"/>
        <v>0</v>
      </c>
      <c r="M20" s="2">
        <f t="shared" si="2"/>
        <v>0</v>
      </c>
      <c r="N20" s="2">
        <f t="shared" si="3"/>
        <v>0</v>
      </c>
      <c r="O20" s="2">
        <f t="shared" si="4"/>
        <v>1</v>
      </c>
      <c r="P20" s="3">
        <f t="shared" si="5"/>
        <v>0.33299543540415083</v>
      </c>
    </row>
    <row r="21" spans="1:16" x14ac:dyDescent="0.3">
      <c r="A21" s="2">
        <v>-0.432</v>
      </c>
      <c r="B21" s="2">
        <v>0.314</v>
      </c>
      <c r="C21" s="9">
        <f t="shared" si="0"/>
        <v>2</v>
      </c>
      <c r="H21" s="3">
        <v>1.2060267640295366</v>
      </c>
      <c r="I21" s="3">
        <v>0.179899431782192</v>
      </c>
      <c r="J21" s="3">
        <v>1.0973977426419081</v>
      </c>
      <c r="K21" s="3">
        <v>1.2535448775372984</v>
      </c>
      <c r="L21" s="2">
        <f t="shared" si="1"/>
        <v>0</v>
      </c>
      <c r="M21" s="2">
        <f t="shared" si="2"/>
        <v>1</v>
      </c>
      <c r="N21" s="2">
        <f t="shared" si="3"/>
        <v>0</v>
      </c>
      <c r="O21" s="2">
        <f t="shared" si="4"/>
        <v>0</v>
      </c>
      <c r="P21" s="3">
        <f t="shared" si="5"/>
        <v>0.179899431782192</v>
      </c>
    </row>
    <row r="22" spans="1:16" x14ac:dyDescent="0.3">
      <c r="A22" s="2">
        <v>-0.88200000000000001</v>
      </c>
      <c r="B22" s="2">
        <v>-0.90200000000000002</v>
      </c>
      <c r="C22" s="9">
        <f t="shared" si="0"/>
        <v>3</v>
      </c>
      <c r="H22" s="3">
        <v>2.204664575142643</v>
      </c>
      <c r="I22" s="3">
        <v>1.3057444130541866</v>
      </c>
      <c r="J22" s="3">
        <v>0.2274272166845667</v>
      </c>
      <c r="K22" s="3">
        <v>1.6485046436088677</v>
      </c>
      <c r="L22" s="2">
        <f t="shared" si="1"/>
        <v>0</v>
      </c>
      <c r="M22" s="2">
        <f t="shared" si="2"/>
        <v>0</v>
      </c>
      <c r="N22" s="2">
        <f t="shared" si="3"/>
        <v>1</v>
      </c>
      <c r="O22" s="2">
        <f t="shared" si="4"/>
        <v>0</v>
      </c>
      <c r="P22" s="3">
        <f t="shared" si="5"/>
        <v>0.2274272166845667</v>
      </c>
    </row>
    <row r="23" spans="1:16" x14ac:dyDescent="0.3">
      <c r="A23" s="2">
        <v>-0.57499999999999996</v>
      </c>
      <c r="B23" s="2">
        <v>-0.50900000000000001</v>
      </c>
      <c r="C23" s="9">
        <f t="shared" si="0"/>
        <v>3</v>
      </c>
      <c r="H23" s="3">
        <v>1.7147125771458673</v>
      </c>
      <c r="I23" s="3">
        <v>0.8827412638417268</v>
      </c>
      <c r="J23" s="3">
        <v>0.2759700567493189</v>
      </c>
      <c r="K23" s="3">
        <v>1.2472053399500822</v>
      </c>
      <c r="L23" s="2">
        <f t="shared" si="1"/>
        <v>0</v>
      </c>
      <c r="M23" s="2">
        <f t="shared" si="2"/>
        <v>0</v>
      </c>
      <c r="N23" s="2">
        <f t="shared" si="3"/>
        <v>1</v>
      </c>
      <c r="O23" s="2">
        <f t="shared" si="4"/>
        <v>0</v>
      </c>
      <c r="P23" s="3">
        <f t="shared" si="5"/>
        <v>0.2759700567493189</v>
      </c>
    </row>
    <row r="24" spans="1:16" x14ac:dyDescent="0.3">
      <c r="K24" s="2" t="s">
        <v>9</v>
      </c>
      <c r="L24" s="2">
        <f>SUM(L4:L23)</f>
        <v>3</v>
      </c>
      <c r="M24" s="2">
        <f t="shared" ref="M24:P24" si="6">SUM(M4:M23)</f>
        <v>6</v>
      </c>
      <c r="N24" s="2">
        <f t="shared" si="6"/>
        <v>6</v>
      </c>
      <c r="O24" s="2">
        <f t="shared" si="6"/>
        <v>5</v>
      </c>
      <c r="P24" s="3">
        <f t="shared" si="6"/>
        <v>4.3664104373732213</v>
      </c>
    </row>
  </sheetData>
  <mergeCells count="3">
    <mergeCell ref="D2:F2"/>
    <mergeCell ref="A2:B2"/>
    <mergeCell ref="H2:O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Center">
                <anchor moveWithCells="1" sizeWithCells="1">
                  <from>
                    <xdr:col>3</xdr:col>
                    <xdr:colOff>95250</xdr:colOff>
                    <xdr:row>7</xdr:row>
                    <xdr:rowOff>57150</xdr:rowOff>
                  </from>
                  <to>
                    <xdr:col>4</xdr:col>
                    <xdr:colOff>295275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meansStep">
                <anchor moveWithCells="1" sizeWithCells="1">
                  <from>
                    <xdr:col>4</xdr:col>
                    <xdr:colOff>323850</xdr:colOff>
                    <xdr:row>7</xdr:row>
                    <xdr:rowOff>57150</xdr:rowOff>
                  </from>
                  <to>
                    <xdr:col>5</xdr:col>
                    <xdr:colOff>571500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2016-05-29T15:04:15Z</dcterms:created>
  <dcterms:modified xsi:type="dcterms:W3CDTF">2017-01-01T05:22:07Z</dcterms:modified>
</cp:coreProperties>
</file>