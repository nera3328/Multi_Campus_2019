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ong\Desktop\교육자료(3)\(R)퀀트트레이딩\(R)퀀트트레이딩(2017)\실습파일\"/>
    </mc:Choice>
  </mc:AlternateContent>
  <bookViews>
    <workbookView xWindow="360" yWindow="90" windowWidth="11205" windowHeight="735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C5" i="1" l="1"/>
  <c r="B5" i="1"/>
  <c r="Q19" i="1" l="1"/>
  <c r="R18" i="1" l="1"/>
  <c r="M19" i="1"/>
  <c r="N18" i="1"/>
  <c r="R13" i="1"/>
  <c r="R14" i="1"/>
  <c r="R15" i="1"/>
  <c r="R16" i="1"/>
  <c r="R17" i="1"/>
  <c r="R12" i="1"/>
  <c r="N24" i="1" l="1"/>
  <c r="R19" i="1"/>
  <c r="N23" i="1"/>
  <c r="N17" i="1"/>
  <c r="N16" i="1"/>
  <c r="N15" i="1"/>
  <c r="N14" i="1"/>
  <c r="N13" i="1"/>
  <c r="N12" i="1"/>
  <c r="H6" i="1"/>
  <c r="H7" i="1" s="1"/>
  <c r="I7" i="1" s="1"/>
  <c r="A11" i="1"/>
  <c r="B6" i="1"/>
  <c r="C6" i="1"/>
  <c r="A14" i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E11" i="1"/>
  <c r="O23" i="1" l="1"/>
  <c r="N19" i="1"/>
  <c r="B7" i="1"/>
  <c r="C7" i="1"/>
</calcChain>
</file>

<file path=xl/comments1.xml><?xml version="1.0" encoding="utf-8"?>
<comments xmlns="http://schemas.openxmlformats.org/spreadsheetml/2006/main">
  <authors>
    <author>ch</author>
  </authors>
  <commentList>
    <comment ref="H4" authorId="0" shapeId="0">
      <text>
        <r>
          <rPr>
            <b/>
            <sz val="9"/>
            <color indexed="81"/>
            <rFont val="굴림"/>
            <family val="3"/>
            <charset val="129"/>
          </rPr>
          <t>Left triangle matrix</t>
        </r>
        <r>
          <rPr>
            <sz val="9"/>
            <color indexed="81"/>
            <rFont val="굴림"/>
            <family val="3"/>
            <charset val="129"/>
          </rPr>
          <t xml:space="preserve">
</t>
        </r>
      </text>
    </comment>
    <comment ref="J11" authorId="0" shapeId="0">
      <text>
        <r>
          <rPr>
            <b/>
            <sz val="9"/>
            <color indexed="81"/>
            <rFont val="굴림"/>
            <family val="3"/>
            <charset val="129"/>
          </rPr>
          <t>Normalized Price Index</t>
        </r>
        <r>
          <rPr>
            <sz val="9"/>
            <color indexed="81"/>
            <rFont val="굴림"/>
            <family val="3"/>
            <charset val="129"/>
          </rPr>
          <t xml:space="preserve">
</t>
        </r>
      </text>
    </comment>
    <comment ref="D12" authorId="0" shapeId="0">
      <text>
        <r>
          <rPr>
            <sz val="9"/>
            <color indexed="81"/>
            <rFont val="굴림"/>
            <family val="3"/>
            <charset val="129"/>
          </rPr>
          <t xml:space="preserve">종목 A의 수익률
</t>
        </r>
      </text>
    </comment>
    <comment ref="E12" authorId="0" shapeId="0">
      <text>
        <r>
          <rPr>
            <sz val="9"/>
            <color indexed="81"/>
            <rFont val="굴림"/>
            <family val="3"/>
            <charset val="129"/>
          </rPr>
          <t xml:space="preserve">종목 B의 수익률
</t>
        </r>
      </text>
    </comment>
  </commentList>
</comments>
</file>

<file path=xl/sharedStrings.xml><?xml version="1.0" encoding="utf-8"?>
<sst xmlns="http://schemas.openxmlformats.org/spreadsheetml/2006/main" count="64" uniqueCount="51">
  <si>
    <t>Correl =</t>
    <phoneticPr fontId="1" type="noConversion"/>
  </si>
  <si>
    <t>항목</t>
    <phoneticPr fontId="1" type="noConversion"/>
  </si>
  <si>
    <t>단위</t>
    <phoneticPr fontId="1" type="noConversion"/>
  </si>
  <si>
    <t>무위험 수익률</t>
    <phoneticPr fontId="1" type="noConversion"/>
  </si>
  <si>
    <t>연</t>
    <phoneticPr fontId="1" type="noConversion"/>
  </si>
  <si>
    <t>변동성</t>
    <phoneticPr fontId="1" type="noConversion"/>
  </si>
  <si>
    <t>Correlation Matrix</t>
    <phoneticPr fontId="1" type="noConversion"/>
  </si>
  <si>
    <t>일일 수익률</t>
    <phoneticPr fontId="1" type="noConversion"/>
  </si>
  <si>
    <t>일</t>
    <phoneticPr fontId="1" type="noConversion"/>
  </si>
  <si>
    <t>A</t>
    <phoneticPr fontId="1" type="noConversion"/>
  </si>
  <si>
    <t>B</t>
    <phoneticPr fontId="1" type="noConversion"/>
  </si>
  <si>
    <t>일일 변동성</t>
    <phoneticPr fontId="1" type="noConversion"/>
  </si>
  <si>
    <t>평균수익률</t>
    <phoneticPr fontId="1" type="noConversion"/>
  </si>
  <si>
    <t>No</t>
    <phoneticPr fontId="1" type="noConversion"/>
  </si>
  <si>
    <t>W1</t>
    <phoneticPr fontId="1" type="noConversion"/>
  </si>
  <si>
    <t>W2</t>
    <phoneticPr fontId="1" type="noConversion"/>
  </si>
  <si>
    <t>R(A)</t>
    <phoneticPr fontId="1" type="noConversion"/>
  </si>
  <si>
    <t>R(B)</t>
    <phoneticPr fontId="1" type="noConversion"/>
  </si>
  <si>
    <t>NPI</t>
    <phoneticPr fontId="1" type="noConversion"/>
  </si>
  <si>
    <t>Cholesky</t>
    <phoneticPr fontId="1" type="noConversion"/>
  </si>
  <si>
    <t>Decomposition</t>
    <phoneticPr fontId="1" type="noConversion"/>
  </si>
  <si>
    <t>가상 주가</t>
    <phoneticPr fontId="1" type="noConversion"/>
  </si>
  <si>
    <t>1차 만기</t>
    <phoneticPr fontId="1" type="noConversion"/>
  </si>
  <si>
    <t>2차 만기</t>
    <phoneticPr fontId="1" type="noConversion"/>
  </si>
  <si>
    <t>3차 만기</t>
    <phoneticPr fontId="1" type="noConversion"/>
  </si>
  <si>
    <t>4차 만기</t>
    <phoneticPr fontId="1" type="noConversion"/>
  </si>
  <si>
    <t>5차 만기</t>
    <phoneticPr fontId="1" type="noConversion"/>
  </si>
  <si>
    <t>수익률</t>
    <phoneticPr fontId="1" type="noConversion"/>
  </si>
  <si>
    <t>기준가격 대비</t>
    <phoneticPr fontId="1" type="noConversion"/>
  </si>
  <si>
    <t>연간 환산</t>
    <phoneticPr fontId="1" type="noConversion"/>
  </si>
  <si>
    <t>기준 가격 대비</t>
    <phoneticPr fontId="1" type="noConversion"/>
  </si>
  <si>
    <t>기대수익률</t>
    <phoneticPr fontId="1" type="noConversion"/>
  </si>
  <si>
    <t>No</t>
    <phoneticPr fontId="1" type="noConversion"/>
  </si>
  <si>
    <t>수익률</t>
    <phoneticPr fontId="1" type="noConversion"/>
  </si>
  <si>
    <t>시행횟수</t>
    <phoneticPr fontId="1" type="noConversion"/>
  </si>
  <si>
    <t>시뮬 횟수</t>
    <phoneticPr fontId="1" type="noConversion"/>
  </si>
  <si>
    <t>횟수</t>
    <phoneticPr fontId="1" type="noConversion"/>
  </si>
  <si>
    <t>확률</t>
    <phoneticPr fontId="1" type="noConversion"/>
  </si>
  <si>
    <t>상환</t>
    <phoneticPr fontId="1" type="noConversion"/>
  </si>
  <si>
    <t>만기</t>
    <phoneticPr fontId="1" type="noConversion"/>
  </si>
  <si>
    <t>수익률</t>
    <phoneticPr fontId="1" type="noConversion"/>
  </si>
  <si>
    <t>기대 수익률</t>
    <phoneticPr fontId="1" type="noConversion"/>
  </si>
  <si>
    <t>상품 요약</t>
    <phoneticPr fontId="1" type="noConversion"/>
  </si>
  <si>
    <t>만기 상환</t>
    <phoneticPr fontId="1" type="noConversion"/>
  </si>
  <si>
    <t>만기 청산</t>
    <phoneticPr fontId="1" type="noConversion"/>
  </si>
  <si>
    <t>만기 일수</t>
    <phoneticPr fontId="1" type="noConversion"/>
  </si>
  <si>
    <t>반복 결과</t>
    <phoneticPr fontId="1" type="noConversion"/>
  </si>
  <si>
    <t>Weiner</t>
    <phoneticPr fontId="1" type="noConversion"/>
  </si>
  <si>
    <t>2개의 기초자산과, 조기상환 구조를 갖는 ELS 상품 평가 예시</t>
    <phoneticPr fontId="1" type="noConversion"/>
  </si>
  <si>
    <t>종목 A</t>
    <phoneticPr fontId="1" type="noConversion"/>
  </si>
  <si>
    <t>종목 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</si>
</sst>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_ "/>
    <numFmt numFmtId="178" formatCode="0_);[Red]\(0\)"/>
    <numFmt numFmtId="179" formatCode="0.000_ "/>
    <numFmt numFmtId="180" formatCode="0.000%"/>
    <numFmt numFmtId="181" formatCode="#,##0_ "/>
  </numFmts>
  <fonts count="9" x14ac:knownFonts="1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9"/>
      <color indexed="81"/>
      <name val="굴림"/>
      <family val="3"/>
      <charset val="129"/>
    </font>
    <font>
      <b/>
      <sz val="9"/>
      <color indexed="81"/>
      <name val="굴림"/>
      <family val="3"/>
      <charset val="129"/>
    </font>
    <font>
      <b/>
      <sz val="8"/>
      <color indexed="8"/>
      <name val="돋움"/>
      <family val="3"/>
      <charset val="129"/>
    </font>
    <font>
      <sz val="8"/>
      <color indexed="8"/>
      <name val="돋움"/>
      <family val="3"/>
      <charset val="129"/>
    </font>
    <font>
      <b/>
      <sz val="11"/>
      <color rgb="FF000000"/>
      <name val="굴림"/>
      <family val="3"/>
      <charset val="129"/>
    </font>
    <font>
      <b/>
      <sz val="10"/>
      <color indexed="8"/>
      <name val="돋움"/>
      <family val="3"/>
      <charset val="129"/>
    </font>
    <font>
      <b/>
      <sz val="8"/>
      <color rgb="FFFF0000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10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180" fontId="5" fillId="0" borderId="1" xfId="0" applyNumberFormat="1" applyFont="1" applyBorder="1">
      <alignment vertical="center"/>
    </xf>
    <xf numFmtId="0" fontId="5" fillId="0" borderId="0" xfId="0" applyFont="1" applyBorder="1">
      <alignment vertical="center"/>
    </xf>
    <xf numFmtId="179" fontId="5" fillId="0" borderId="0" xfId="0" applyNumberFormat="1" applyFont="1" applyFill="1" applyBorder="1">
      <alignment vertical="center"/>
    </xf>
    <xf numFmtId="179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right" vertical="center"/>
    </xf>
    <xf numFmtId="177" fontId="5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176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7" fontId="5" fillId="0" borderId="0" xfId="0" applyNumberFormat="1" applyFont="1">
      <alignment vertical="center"/>
    </xf>
    <xf numFmtId="0" fontId="5" fillId="2" borderId="1" xfId="0" applyFont="1" applyFill="1" applyBorder="1" applyAlignment="1">
      <alignment horizontal="center" vertical="center"/>
    </xf>
    <xf numFmtId="10" fontId="5" fillId="0" borderId="1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8" fontId="5" fillId="0" borderId="0" xfId="0" applyNumberFormat="1" applyFont="1" applyBorder="1" applyAlignment="1">
      <alignment horizontal="center" vertical="center"/>
    </xf>
    <xf numFmtId="178" fontId="5" fillId="0" borderId="0" xfId="0" applyNumberFormat="1" applyFont="1">
      <alignment vertical="center"/>
    </xf>
    <xf numFmtId="178" fontId="5" fillId="0" borderId="0" xfId="0" applyNumberFormat="1" applyFont="1" applyFill="1" applyBorder="1">
      <alignment vertical="center"/>
    </xf>
    <xf numFmtId="176" fontId="5" fillId="0" borderId="0" xfId="0" applyNumberFormat="1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Fill="1" applyBorder="1" applyAlignment="1">
      <alignment horizontal="center" vertical="center"/>
    </xf>
    <xf numFmtId="176" fontId="5" fillId="0" borderId="4" xfId="0" applyNumberFormat="1" applyFont="1" applyBorder="1">
      <alignment vertical="center"/>
    </xf>
    <xf numFmtId="10" fontId="5" fillId="0" borderId="0" xfId="0" applyNumberFormat="1" applyFont="1" applyBorder="1">
      <alignment vertical="center"/>
    </xf>
    <xf numFmtId="176" fontId="5" fillId="3" borderId="1" xfId="0" applyNumberFormat="1" applyFont="1" applyFill="1" applyBorder="1">
      <alignment vertical="center"/>
    </xf>
    <xf numFmtId="178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>
      <alignment vertical="center"/>
    </xf>
    <xf numFmtId="176" fontId="5" fillId="0" borderId="1" xfId="0" applyNumberFormat="1" applyFont="1" applyFill="1" applyBorder="1">
      <alignment vertical="center"/>
    </xf>
    <xf numFmtId="177" fontId="5" fillId="0" borderId="0" xfId="0" applyNumberFormat="1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177" fontId="5" fillId="3" borderId="1" xfId="0" applyNumberFormat="1" applyFont="1" applyFill="1" applyBorder="1">
      <alignment vertical="center"/>
    </xf>
    <xf numFmtId="0" fontId="5" fillId="3" borderId="1" xfId="0" applyFont="1" applyFill="1" applyBorder="1">
      <alignment vertical="center"/>
    </xf>
    <xf numFmtId="10" fontId="5" fillId="5" borderId="1" xfId="0" applyNumberFormat="1" applyFont="1" applyFill="1" applyBorder="1">
      <alignment vertical="center"/>
    </xf>
    <xf numFmtId="10" fontId="5" fillId="0" borderId="1" xfId="0" applyNumberFormat="1" applyFont="1" applyBorder="1" applyAlignment="1">
      <alignment horizontal="center" vertical="center"/>
    </xf>
    <xf numFmtId="10" fontId="5" fillId="0" borderId="11" xfId="0" applyNumberFormat="1" applyFont="1" applyBorder="1" applyAlignment="1">
      <alignment horizontal="center" vertical="center"/>
    </xf>
    <xf numFmtId="10" fontId="4" fillId="0" borderId="14" xfId="0" applyNumberFormat="1" applyFont="1" applyFill="1" applyBorder="1" applyAlignment="1">
      <alignment horizontal="center" vertical="center"/>
    </xf>
    <xf numFmtId="10" fontId="4" fillId="3" borderId="14" xfId="0" applyNumberFormat="1" applyFont="1" applyFill="1" applyBorder="1" applyAlignment="1">
      <alignment horizontal="center" vertical="center"/>
    </xf>
    <xf numFmtId="0" fontId="5" fillId="0" borderId="14" xfId="0" applyFont="1" applyBorder="1">
      <alignment vertical="center"/>
    </xf>
    <xf numFmtId="10" fontId="5" fillId="0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>
      <alignment vertical="center"/>
    </xf>
    <xf numFmtId="9" fontId="5" fillId="0" borderId="0" xfId="0" applyNumberFormat="1" applyFont="1" applyFill="1" applyBorder="1" applyAlignment="1">
      <alignment horizontal="center" vertical="center"/>
    </xf>
    <xf numFmtId="10" fontId="5" fillId="0" borderId="0" xfId="0" applyNumberFormat="1" applyFont="1" applyFill="1" applyBorder="1" applyAlignment="1">
      <alignment horizontal="center" vertical="center"/>
    </xf>
    <xf numFmtId="181" fontId="5" fillId="0" borderId="0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0" fontId="5" fillId="0" borderId="0" xfId="0" applyNumberFormat="1" applyFont="1">
      <alignment vertical="center"/>
    </xf>
    <xf numFmtId="0" fontId="5" fillId="0" borderId="9" xfId="0" applyFont="1" applyBorder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10" fontId="5" fillId="0" borderId="10" xfId="0" applyNumberFormat="1" applyFont="1" applyBorder="1" applyAlignment="1">
      <alignment horizontal="center" vertical="center"/>
    </xf>
    <xf numFmtId="10" fontId="5" fillId="0" borderId="12" xfId="0" applyNumberFormat="1" applyFont="1" applyBorder="1" applyAlignment="1">
      <alignment horizontal="center" vertical="center"/>
    </xf>
    <xf numFmtId="10" fontId="5" fillId="6" borderId="8" xfId="0" applyNumberFormat="1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176" fontId="5" fillId="0" borderId="20" xfId="0" applyNumberFormat="1" applyFont="1" applyBorder="1">
      <alignment vertical="center"/>
    </xf>
    <xf numFmtId="176" fontId="5" fillId="0" borderId="16" xfId="0" applyNumberFormat="1" applyFont="1" applyBorder="1">
      <alignment vertical="center"/>
    </xf>
    <xf numFmtId="10" fontId="5" fillId="0" borderId="14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179" fontId="5" fillId="7" borderId="1" xfId="0" applyNumberFormat="1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0" fontId="5" fillId="0" borderId="22" xfId="0" applyNumberFormat="1" applyFont="1" applyBorder="1" applyAlignment="1">
      <alignment horizontal="center" vertical="center"/>
    </xf>
    <xf numFmtId="177" fontId="5" fillId="0" borderId="14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10" fontId="7" fillId="0" borderId="19" xfId="0" applyNumberFormat="1" applyFont="1" applyBorder="1" applyAlignment="1">
      <alignment horizontal="center" vertical="center"/>
    </xf>
    <xf numFmtId="10" fontId="7" fillId="0" borderId="21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0" fontId="7" fillId="0" borderId="2" xfId="0" applyNumberFormat="1" applyFont="1" applyBorder="1" applyAlignment="1">
      <alignment horizontal="center" vertical="center"/>
    </xf>
    <xf numFmtId="10" fontId="7" fillId="0" borderId="16" xfId="0" applyNumberFormat="1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val>
            <c:numRef>
              <c:f>Sheet1!$J$13:$J$768</c:f>
              <c:numCache>
                <c:formatCode>0.00_ </c:formatCode>
                <c:ptCount val="756"/>
                <c:pt idx="0">
                  <c:v>1.7900095784066941</c:v>
                </c:pt>
                <c:pt idx="1">
                  <c:v>1.6812528696376021</c:v>
                </c:pt>
                <c:pt idx="2">
                  <c:v>1.8082462043520968</c:v>
                </c:pt>
                <c:pt idx="3">
                  <c:v>1.957146445939139</c:v>
                </c:pt>
                <c:pt idx="4">
                  <c:v>2.1952281024214582</c:v>
                </c:pt>
                <c:pt idx="5">
                  <c:v>2.1752770421945509</c:v>
                </c:pt>
                <c:pt idx="6">
                  <c:v>2.1748436112720455</c:v>
                </c:pt>
                <c:pt idx="7">
                  <c:v>2.1035325020792182</c:v>
                </c:pt>
                <c:pt idx="8">
                  <c:v>2.2625579743062039</c:v>
                </c:pt>
                <c:pt idx="9">
                  <c:v>2.1378967855111277</c:v>
                </c:pt>
                <c:pt idx="10">
                  <c:v>2.2843026906527117</c:v>
                </c:pt>
                <c:pt idx="11">
                  <c:v>2.2044056936215624</c:v>
                </c:pt>
                <c:pt idx="12">
                  <c:v>2.1342670573725515</c:v>
                </c:pt>
                <c:pt idx="13">
                  <c:v>2.1620834745899824</c:v>
                </c:pt>
                <c:pt idx="14">
                  <c:v>2.0273519828360009</c:v>
                </c:pt>
                <c:pt idx="15">
                  <c:v>1.9921466536500523</c:v>
                </c:pt>
                <c:pt idx="16">
                  <c:v>2.0169914645472216</c:v>
                </c:pt>
                <c:pt idx="17">
                  <c:v>1.9348998697294102</c:v>
                </c:pt>
                <c:pt idx="18">
                  <c:v>1.8938580936381817</c:v>
                </c:pt>
                <c:pt idx="19">
                  <c:v>2.2849522678885501</c:v>
                </c:pt>
                <c:pt idx="20">
                  <c:v>2.4319248115333316</c:v>
                </c:pt>
                <c:pt idx="21">
                  <c:v>2.6777817406097717</c:v>
                </c:pt>
                <c:pt idx="22">
                  <c:v>2.7016998921600224</c:v>
                </c:pt>
                <c:pt idx="23">
                  <c:v>2.7791115899575636</c:v>
                </c:pt>
                <c:pt idx="24">
                  <c:v>2.8602452896695811</c:v>
                </c:pt>
                <c:pt idx="25">
                  <c:v>2.9880228736562793</c:v>
                </c:pt>
                <c:pt idx="26">
                  <c:v>2.9557645910165391</c:v>
                </c:pt>
                <c:pt idx="27">
                  <c:v>3.1453736675306612</c:v>
                </c:pt>
                <c:pt idx="28">
                  <c:v>3.1894422294075899</c:v>
                </c:pt>
                <c:pt idx="29">
                  <c:v>2.8177893741109217</c:v>
                </c:pt>
                <c:pt idx="30">
                  <c:v>2.9523893451254923</c:v>
                </c:pt>
                <c:pt idx="31">
                  <c:v>2.823299915212873</c:v>
                </c:pt>
                <c:pt idx="32">
                  <c:v>2.7934006004235994</c:v>
                </c:pt>
                <c:pt idx="33">
                  <c:v>2.7210034609219576</c:v>
                </c:pt>
                <c:pt idx="34">
                  <c:v>2.5952127698107343</c:v>
                </c:pt>
                <c:pt idx="35">
                  <c:v>2.395233313434995</c:v>
                </c:pt>
                <c:pt idx="36">
                  <c:v>2.5867965547730356</c:v>
                </c:pt>
                <c:pt idx="37">
                  <c:v>2.5732297312386252</c:v>
                </c:pt>
                <c:pt idx="38">
                  <c:v>2.4734862126200938</c:v>
                </c:pt>
                <c:pt idx="39">
                  <c:v>2.3539841886616246</c:v>
                </c:pt>
                <c:pt idx="40">
                  <c:v>2.2196457143634243</c:v>
                </c:pt>
                <c:pt idx="41">
                  <c:v>2.2922529006523766</c:v>
                </c:pt>
                <c:pt idx="42">
                  <c:v>2.1820598131685238</c:v>
                </c:pt>
                <c:pt idx="43">
                  <c:v>1.8832131161082377</c:v>
                </c:pt>
                <c:pt idx="44">
                  <c:v>1.8034402353503045</c:v>
                </c:pt>
                <c:pt idx="45">
                  <c:v>1.725544353555728</c:v>
                </c:pt>
                <c:pt idx="46">
                  <c:v>1.7318000529130733</c:v>
                </c:pt>
                <c:pt idx="47">
                  <c:v>1.6302345355221273</c:v>
                </c:pt>
                <c:pt idx="48">
                  <c:v>1.6709270133851166</c:v>
                </c:pt>
                <c:pt idx="49">
                  <c:v>2.1384584560861599</c:v>
                </c:pt>
                <c:pt idx="50">
                  <c:v>2.024601901410036</c:v>
                </c:pt>
                <c:pt idx="51">
                  <c:v>1.9524877420739191</c:v>
                </c:pt>
                <c:pt idx="52">
                  <c:v>1.9631534603903475</c:v>
                </c:pt>
                <c:pt idx="53">
                  <c:v>2.0164511743213787</c:v>
                </c:pt>
                <c:pt idx="54">
                  <c:v>2.0064400228242016</c:v>
                </c:pt>
                <c:pt idx="55">
                  <c:v>1.6812266840516947</c:v>
                </c:pt>
                <c:pt idx="56">
                  <c:v>1.7497323658382531</c:v>
                </c:pt>
                <c:pt idx="57">
                  <c:v>1.7687486983945995</c:v>
                </c:pt>
                <c:pt idx="58">
                  <c:v>1.6349566776692497</c:v>
                </c:pt>
                <c:pt idx="59">
                  <c:v>1.7664421761256277</c:v>
                </c:pt>
                <c:pt idx="60">
                  <c:v>1.8442416867314564</c:v>
                </c:pt>
                <c:pt idx="61">
                  <c:v>1.6258354108344346</c:v>
                </c:pt>
                <c:pt idx="62">
                  <c:v>1.5276996570382513</c:v>
                </c:pt>
                <c:pt idx="63">
                  <c:v>1.5562388056869507</c:v>
                </c:pt>
                <c:pt idx="64">
                  <c:v>1.5811104230434105</c:v>
                </c:pt>
                <c:pt idx="65">
                  <c:v>1.8141617883429979</c:v>
                </c:pt>
                <c:pt idx="66">
                  <c:v>1.7426833025483166</c:v>
                </c:pt>
                <c:pt idx="67">
                  <c:v>1.8482987005728462</c:v>
                </c:pt>
                <c:pt idx="68">
                  <c:v>1.7085678770955754</c:v>
                </c:pt>
                <c:pt idx="69">
                  <c:v>1.5835081635204005</c:v>
                </c:pt>
                <c:pt idx="70">
                  <c:v>1.4418866453620611</c:v>
                </c:pt>
                <c:pt idx="71">
                  <c:v>1.3554586734674583</c:v>
                </c:pt>
                <c:pt idx="72">
                  <c:v>1.41417726731548</c:v>
                </c:pt>
                <c:pt idx="73">
                  <c:v>1.2008352701363421</c:v>
                </c:pt>
                <c:pt idx="74">
                  <c:v>1.0651910083485094</c:v>
                </c:pt>
                <c:pt idx="75">
                  <c:v>1.0727984432461664</c:v>
                </c:pt>
                <c:pt idx="76">
                  <c:v>1.0284959744850859</c:v>
                </c:pt>
                <c:pt idx="77">
                  <c:v>1.2515600563651919</c:v>
                </c:pt>
                <c:pt idx="78">
                  <c:v>1.3592577413779741</c:v>
                </c:pt>
                <c:pt idx="79">
                  <c:v>1.3530362972584715</c:v>
                </c:pt>
                <c:pt idx="80">
                  <c:v>1.4148404518124571</c:v>
                </c:pt>
                <c:pt idx="81">
                  <c:v>1.5560306139453606</c:v>
                </c:pt>
                <c:pt idx="82">
                  <c:v>1.5156221754981329</c:v>
                </c:pt>
                <c:pt idx="83">
                  <c:v>1.5845395116820566</c:v>
                </c:pt>
                <c:pt idx="84">
                  <c:v>1.4506036947298646</c:v>
                </c:pt>
                <c:pt idx="85">
                  <c:v>1.5027664000039878</c:v>
                </c:pt>
                <c:pt idx="86">
                  <c:v>1.3642413112881284</c:v>
                </c:pt>
                <c:pt idx="87">
                  <c:v>1.1919824502527994</c:v>
                </c:pt>
                <c:pt idx="88">
                  <c:v>1.2008477563082078</c:v>
                </c:pt>
                <c:pt idx="89">
                  <c:v>1.2969303337864047</c:v>
                </c:pt>
                <c:pt idx="90">
                  <c:v>1.0917526614965742</c:v>
                </c:pt>
                <c:pt idx="91">
                  <c:v>1.0030561011239856</c:v>
                </c:pt>
                <c:pt idx="92">
                  <c:v>1.0234389812585565</c:v>
                </c:pt>
                <c:pt idx="93">
                  <c:v>1.0848016729385206</c:v>
                </c:pt>
                <c:pt idx="94">
                  <c:v>0.9882973995749913</c:v>
                </c:pt>
                <c:pt idx="95">
                  <c:v>0.80116737380459824</c:v>
                </c:pt>
                <c:pt idx="96">
                  <c:v>0.76565639312916378</c:v>
                </c:pt>
                <c:pt idx="97">
                  <c:v>0.73129066530594189</c:v>
                </c:pt>
                <c:pt idx="98">
                  <c:v>0.69101263896711917</c:v>
                </c:pt>
                <c:pt idx="99">
                  <c:v>0.60688940742858077</c:v>
                </c:pt>
                <c:pt idx="100">
                  <c:v>0.77165053610626899</c:v>
                </c:pt>
                <c:pt idx="101">
                  <c:v>0.86348712686365392</c:v>
                </c:pt>
                <c:pt idx="102">
                  <c:v>0.83045688773075466</c:v>
                </c:pt>
                <c:pt idx="103">
                  <c:v>0.8763201708901921</c:v>
                </c:pt>
                <c:pt idx="104">
                  <c:v>0.91849241449430219</c:v>
                </c:pt>
                <c:pt idx="105">
                  <c:v>0.90887448804260129</c:v>
                </c:pt>
                <c:pt idx="106">
                  <c:v>1.0081386921077697</c:v>
                </c:pt>
                <c:pt idx="107">
                  <c:v>0.85187954153426471</c:v>
                </c:pt>
                <c:pt idx="108">
                  <c:v>0.94141020573033507</c:v>
                </c:pt>
                <c:pt idx="109">
                  <c:v>1.0915830288349118</c:v>
                </c:pt>
                <c:pt idx="110">
                  <c:v>1.0284150781339596</c:v>
                </c:pt>
                <c:pt idx="111">
                  <c:v>1.0109960856574518</c:v>
                </c:pt>
                <c:pt idx="112">
                  <c:v>0.79938407021015645</c:v>
                </c:pt>
                <c:pt idx="113">
                  <c:v>0.68273450949681946</c:v>
                </c:pt>
                <c:pt idx="114">
                  <c:v>0.56847718954092308</c:v>
                </c:pt>
                <c:pt idx="115">
                  <c:v>0.55951396975299561</c:v>
                </c:pt>
                <c:pt idx="116">
                  <c:v>0.71565888478560891</c:v>
                </c:pt>
                <c:pt idx="117">
                  <c:v>0.63573758353348997</c:v>
                </c:pt>
                <c:pt idx="118">
                  <c:v>0.72307432952009176</c:v>
                </c:pt>
                <c:pt idx="119">
                  <c:v>0.6146434606357033</c:v>
                </c:pt>
                <c:pt idx="120">
                  <c:v>0.59846926792054123</c:v>
                </c:pt>
                <c:pt idx="121">
                  <c:v>0.66330636649751284</c:v>
                </c:pt>
                <c:pt idx="122">
                  <c:v>0.61804536616211647</c:v>
                </c:pt>
                <c:pt idx="123">
                  <c:v>0.55187176973218899</c:v>
                </c:pt>
                <c:pt idx="124">
                  <c:v>0.52708117297812518</c:v>
                </c:pt>
                <c:pt idx="125">
                  <c:v>0.45022720584471709</c:v>
                </c:pt>
                <c:pt idx="126">
                  <c:v>0.74693905967144381</c:v>
                </c:pt>
                <c:pt idx="127">
                  <c:v>0.84862394920806761</c:v>
                </c:pt>
                <c:pt idx="128">
                  <c:v>0.68102944752184724</c:v>
                </c:pt>
                <c:pt idx="129">
                  <c:v>0.77894824013742103</c:v>
                </c:pt>
                <c:pt idx="130">
                  <c:v>0.81674732207691625</c:v>
                </c:pt>
                <c:pt idx="131">
                  <c:v>0.85018682068982843</c:v>
                </c:pt>
                <c:pt idx="132">
                  <c:v>0.8569601924800746</c:v>
                </c:pt>
                <c:pt idx="133">
                  <c:v>0.8877384250687208</c:v>
                </c:pt>
                <c:pt idx="134">
                  <c:v>0.81745528435441872</c:v>
                </c:pt>
                <c:pt idx="135">
                  <c:v>0.87980248554382467</c:v>
                </c:pt>
                <c:pt idx="136">
                  <c:v>0.82610076022336665</c:v>
                </c:pt>
                <c:pt idx="137">
                  <c:v>0.74629439314746215</c:v>
                </c:pt>
                <c:pt idx="138">
                  <c:v>0.75336370593805857</c:v>
                </c:pt>
                <c:pt idx="139">
                  <c:v>0.91485260926932188</c:v>
                </c:pt>
                <c:pt idx="140">
                  <c:v>1.0255845071369074</c:v>
                </c:pt>
                <c:pt idx="141">
                  <c:v>0.97537855215436642</c:v>
                </c:pt>
                <c:pt idx="142">
                  <c:v>0.88534079566456625</c:v>
                </c:pt>
                <c:pt idx="143">
                  <c:v>0.84130602552284461</c:v>
                </c:pt>
                <c:pt idx="144">
                  <c:v>0.97322203479676017</c:v>
                </c:pt>
                <c:pt idx="145">
                  <c:v>0.80220824212009756</c:v>
                </c:pt>
                <c:pt idx="146">
                  <c:v>0.87633765640082339</c:v>
                </c:pt>
                <c:pt idx="147">
                  <c:v>0.98383276628162231</c:v>
                </c:pt>
                <c:pt idx="148">
                  <c:v>0.85985273426451314</c:v>
                </c:pt>
                <c:pt idx="149">
                  <c:v>0.88758293841326708</c:v>
                </c:pt>
                <c:pt idx="150">
                  <c:v>0.94778294450542433</c:v>
                </c:pt>
                <c:pt idx="151">
                  <c:v>0.945465219463966</c:v>
                </c:pt>
                <c:pt idx="152">
                  <c:v>0.99799488586085061</c:v>
                </c:pt>
                <c:pt idx="153">
                  <c:v>1.0369208296056678</c:v>
                </c:pt>
                <c:pt idx="154">
                  <c:v>0.97292046171515389</c:v>
                </c:pt>
                <c:pt idx="155">
                  <c:v>0.88690452979060752</c:v>
                </c:pt>
                <c:pt idx="156">
                  <c:v>0.88024720855640803</c:v>
                </c:pt>
                <c:pt idx="157">
                  <c:v>1.0083869226833035</c:v>
                </c:pt>
                <c:pt idx="158">
                  <c:v>1.1299623567786765</c:v>
                </c:pt>
                <c:pt idx="159">
                  <c:v>1.0195877686542836</c:v>
                </c:pt>
                <c:pt idx="160">
                  <c:v>1.1625205190642955</c:v>
                </c:pt>
                <c:pt idx="161">
                  <c:v>1.1714739313830098</c:v>
                </c:pt>
                <c:pt idx="162">
                  <c:v>1.1368506036623878</c:v>
                </c:pt>
                <c:pt idx="163">
                  <c:v>1.0588306752172165</c:v>
                </c:pt>
                <c:pt idx="164">
                  <c:v>0.94637975642312255</c:v>
                </c:pt>
                <c:pt idx="165">
                  <c:v>1.0666182581960342</c:v>
                </c:pt>
                <c:pt idx="166">
                  <c:v>0.83838023921206106</c:v>
                </c:pt>
                <c:pt idx="167">
                  <c:v>0.8808932238156526</c:v>
                </c:pt>
                <c:pt idx="168">
                  <c:v>1.0561075864455083</c:v>
                </c:pt>
                <c:pt idx="169">
                  <c:v>1.0812254254117666</c:v>
                </c:pt>
                <c:pt idx="170">
                  <c:v>1.0888480407340466</c:v>
                </c:pt>
                <c:pt idx="171">
                  <c:v>1.0315509259650244</c:v>
                </c:pt>
                <c:pt idx="172">
                  <c:v>1.1065783079147564</c:v>
                </c:pt>
                <c:pt idx="173">
                  <c:v>1.1068435569734776</c:v>
                </c:pt>
                <c:pt idx="174">
                  <c:v>1.2151367162054934</c:v>
                </c:pt>
                <c:pt idx="175">
                  <c:v>1.199712336395951</c:v>
                </c:pt>
                <c:pt idx="176">
                  <c:v>1.1985417908592397</c:v>
                </c:pt>
                <c:pt idx="177">
                  <c:v>1.3419048152142934</c:v>
                </c:pt>
                <c:pt idx="178">
                  <c:v>1.3269260233436457</c:v>
                </c:pt>
                <c:pt idx="179">
                  <c:v>1.1255945791707358</c:v>
                </c:pt>
                <c:pt idx="180">
                  <c:v>0.88312625101626718</c:v>
                </c:pt>
                <c:pt idx="181">
                  <c:v>0.67433679204501051</c:v>
                </c:pt>
                <c:pt idx="182">
                  <c:v>0.54902869386685049</c:v>
                </c:pt>
                <c:pt idx="183">
                  <c:v>0.50598627643640237</c:v>
                </c:pt>
                <c:pt idx="184">
                  <c:v>0.50468760982606187</c:v>
                </c:pt>
                <c:pt idx="185">
                  <c:v>0.57442349485169908</c:v>
                </c:pt>
                <c:pt idx="186">
                  <c:v>0.46677276598623374</c:v>
                </c:pt>
                <c:pt idx="187">
                  <c:v>0.42632336329626819</c:v>
                </c:pt>
                <c:pt idx="188">
                  <c:v>0.24659041868405229</c:v>
                </c:pt>
                <c:pt idx="189">
                  <c:v>0.36378503790792061</c:v>
                </c:pt>
                <c:pt idx="190">
                  <c:v>0.17223655945133004</c:v>
                </c:pt>
                <c:pt idx="191">
                  <c:v>0.13277840258600634</c:v>
                </c:pt>
                <c:pt idx="192">
                  <c:v>1.8261491413956329E-2</c:v>
                </c:pt>
                <c:pt idx="193">
                  <c:v>8.6897160433243012E-2</c:v>
                </c:pt>
                <c:pt idx="194">
                  <c:v>0.18754943101488533</c:v>
                </c:pt>
                <c:pt idx="195">
                  <c:v>0.15358956411767558</c:v>
                </c:pt>
                <c:pt idx="196">
                  <c:v>3.2641745460342986E-2</c:v>
                </c:pt>
                <c:pt idx="197">
                  <c:v>0.10338517601043189</c:v>
                </c:pt>
                <c:pt idx="198">
                  <c:v>0.22728969308661195</c:v>
                </c:pt>
                <c:pt idx="199">
                  <c:v>0.28391234288871031</c:v>
                </c:pt>
                <c:pt idx="200">
                  <c:v>0.35458635798316934</c:v>
                </c:pt>
                <c:pt idx="201">
                  <c:v>0.43123785530357978</c:v>
                </c:pt>
                <c:pt idx="202">
                  <c:v>0.27710727155442816</c:v>
                </c:pt>
                <c:pt idx="203">
                  <c:v>0.27332180567776432</c:v>
                </c:pt>
                <c:pt idx="204">
                  <c:v>0.34260993381779475</c:v>
                </c:pt>
                <c:pt idx="205">
                  <c:v>0.38528644146924812</c:v>
                </c:pt>
                <c:pt idx="206">
                  <c:v>0.35090466001335097</c:v>
                </c:pt>
                <c:pt idx="207">
                  <c:v>5.4496134613984143E-2</c:v>
                </c:pt>
                <c:pt idx="208">
                  <c:v>-4.7849034368580685E-2</c:v>
                </c:pt>
                <c:pt idx="209">
                  <c:v>4.814297321621884E-2</c:v>
                </c:pt>
                <c:pt idx="210">
                  <c:v>4.80067663373627E-2</c:v>
                </c:pt>
                <c:pt idx="211">
                  <c:v>1.5090217347145742E-2</c:v>
                </c:pt>
                <c:pt idx="212">
                  <c:v>9.9459668989444999E-2</c:v>
                </c:pt>
                <c:pt idx="213">
                  <c:v>0.1658932030110962</c:v>
                </c:pt>
                <c:pt idx="214">
                  <c:v>0.11060461389666863</c:v>
                </c:pt>
                <c:pt idx="215">
                  <c:v>0.26598816308435086</c:v>
                </c:pt>
                <c:pt idx="216">
                  <c:v>0.16302371363124216</c:v>
                </c:pt>
                <c:pt idx="217">
                  <c:v>0.12015456926511184</c:v>
                </c:pt>
                <c:pt idx="218">
                  <c:v>2.9652628313718055E-2</c:v>
                </c:pt>
                <c:pt idx="219">
                  <c:v>0.14249136419340699</c:v>
                </c:pt>
                <c:pt idx="220">
                  <c:v>9.9309784206281379E-2</c:v>
                </c:pt>
                <c:pt idx="221">
                  <c:v>0.10165588323431056</c:v>
                </c:pt>
                <c:pt idx="222">
                  <c:v>0.16766293749249134</c:v>
                </c:pt>
                <c:pt idx="223">
                  <c:v>0.18693465067978124</c:v>
                </c:pt>
                <c:pt idx="224">
                  <c:v>0.37618834234584364</c:v>
                </c:pt>
                <c:pt idx="225">
                  <c:v>0.45542270480349073</c:v>
                </c:pt>
                <c:pt idx="226">
                  <c:v>0.40045779124451397</c:v>
                </c:pt>
                <c:pt idx="227">
                  <c:v>0.31627829614894098</c:v>
                </c:pt>
                <c:pt idx="228">
                  <c:v>0.33619547864664895</c:v>
                </c:pt>
                <c:pt idx="229">
                  <c:v>0.36911244426177858</c:v>
                </c:pt>
                <c:pt idx="230">
                  <c:v>0.27066380508146554</c:v>
                </c:pt>
                <c:pt idx="231">
                  <c:v>0.17970675402852895</c:v>
                </c:pt>
                <c:pt idx="232">
                  <c:v>1.9713056678739946E-2</c:v>
                </c:pt>
                <c:pt idx="233">
                  <c:v>-0.1243920190339264</c:v>
                </c:pt>
                <c:pt idx="234">
                  <c:v>-0.15300077513762592</c:v>
                </c:pt>
                <c:pt idx="235">
                  <c:v>-0.10648737596685549</c:v>
                </c:pt>
                <c:pt idx="236">
                  <c:v>-0.20293037948873555</c:v>
                </c:pt>
                <c:pt idx="237">
                  <c:v>-0.32664410818912532</c:v>
                </c:pt>
                <c:pt idx="238">
                  <c:v>-0.43215482596112786</c:v>
                </c:pt>
                <c:pt idx="239">
                  <c:v>-0.48874480406789256</c:v>
                </c:pt>
                <c:pt idx="240">
                  <c:v>-0.6318701657550807</c:v>
                </c:pt>
                <c:pt idx="241">
                  <c:v>-0.69091167298257317</c:v>
                </c:pt>
                <c:pt idx="242">
                  <c:v>-0.77075297888042049</c:v>
                </c:pt>
                <c:pt idx="243">
                  <c:v>-0.90370914690508453</c:v>
                </c:pt>
                <c:pt idx="244">
                  <c:v>-0.84492689087687112</c:v>
                </c:pt>
                <c:pt idx="245">
                  <c:v>-0.96303795359111943</c:v>
                </c:pt>
                <c:pt idx="246">
                  <c:v>-0.97284714230663183</c:v>
                </c:pt>
                <c:pt idx="247">
                  <c:v>-0.96249021568760651</c:v>
                </c:pt>
                <c:pt idx="248">
                  <c:v>-0.88302284303150702</c:v>
                </c:pt>
                <c:pt idx="249">
                  <c:v>-0.861988874886505</c:v>
                </c:pt>
                <c:pt idx="250">
                  <c:v>-0.84559737972956028</c:v>
                </c:pt>
                <c:pt idx="251">
                  <c:v>-0.94162362047359183</c:v>
                </c:pt>
                <c:pt idx="252">
                  <c:v>-0.92370137053403334</c:v>
                </c:pt>
                <c:pt idx="253">
                  <c:v>-1.081797793031998</c:v>
                </c:pt>
                <c:pt idx="254">
                  <c:v>-1.116032291580676</c:v>
                </c:pt>
                <c:pt idx="255">
                  <c:v>-1.1859739796454314</c:v>
                </c:pt>
                <c:pt idx="256">
                  <c:v>-1.1471723949134527</c:v>
                </c:pt>
                <c:pt idx="257">
                  <c:v>-1.0860731522141769</c:v>
                </c:pt>
                <c:pt idx="258">
                  <c:v>-0.96969801932355559</c:v>
                </c:pt>
                <c:pt idx="259">
                  <c:v>-1.1141451837019516</c:v>
                </c:pt>
                <c:pt idx="260">
                  <c:v>-1.0408209786363456</c:v>
                </c:pt>
                <c:pt idx="261">
                  <c:v>-1.0117794878116382</c:v>
                </c:pt>
                <c:pt idx="262">
                  <c:v>-1.1260152967862345</c:v>
                </c:pt>
                <c:pt idx="263">
                  <c:v>-1.1681387437064787</c:v>
                </c:pt>
                <c:pt idx="264">
                  <c:v>-1.2895407460885793</c:v>
                </c:pt>
                <c:pt idx="265">
                  <c:v>-1.2623562468770737</c:v>
                </c:pt>
                <c:pt idx="266">
                  <c:v>-1.2251970765532314</c:v>
                </c:pt>
                <c:pt idx="267">
                  <c:v>-1.2773725353515919</c:v>
                </c:pt>
                <c:pt idx="268">
                  <c:v>-1.3485443731476086</c:v>
                </c:pt>
                <c:pt idx="269">
                  <c:v>-1.2252750678789441</c:v>
                </c:pt>
                <c:pt idx="270">
                  <c:v>-1.2634572167273055</c:v>
                </c:pt>
                <c:pt idx="271">
                  <c:v>-1.2739507700635921</c:v>
                </c:pt>
                <c:pt idx="272">
                  <c:v>-1.2818542574727012</c:v>
                </c:pt>
                <c:pt idx="273">
                  <c:v>-1.3259032574375809</c:v>
                </c:pt>
                <c:pt idx="274">
                  <c:v>-1.3052937279219523</c:v>
                </c:pt>
                <c:pt idx="275">
                  <c:v>-1.337026563030989</c:v>
                </c:pt>
                <c:pt idx="276">
                  <c:v>-1.3900352852231526</c:v>
                </c:pt>
                <c:pt idx="277">
                  <c:v>-1.4539334009761211</c:v>
                </c:pt>
                <c:pt idx="278">
                  <c:v>-1.3892820427736132</c:v>
                </c:pt>
                <c:pt idx="279">
                  <c:v>-1.3995385041847048</c:v>
                </c:pt>
                <c:pt idx="280">
                  <c:v>-1.311904249208772</c:v>
                </c:pt>
                <c:pt idx="281">
                  <c:v>-1.2418191966748005</c:v>
                </c:pt>
                <c:pt idx="282">
                  <c:v>-1.213427359492699</c:v>
                </c:pt>
                <c:pt idx="283">
                  <c:v>-1.2654332687222016</c:v>
                </c:pt>
                <c:pt idx="284">
                  <c:v>-1.3403993225308559</c:v>
                </c:pt>
                <c:pt idx="285">
                  <c:v>-1.3210624328902343</c:v>
                </c:pt>
                <c:pt idx="286">
                  <c:v>-1.2340123143889894</c:v>
                </c:pt>
                <c:pt idx="287">
                  <c:v>-1.2717597764158715</c:v>
                </c:pt>
                <c:pt idx="288">
                  <c:v>-1.252756790181129</c:v>
                </c:pt>
                <c:pt idx="289">
                  <c:v>-1.3221280580834553</c:v>
                </c:pt>
                <c:pt idx="290">
                  <c:v>-1.4060373116469049</c:v>
                </c:pt>
                <c:pt idx="291">
                  <c:v>-1.4980513206002197</c:v>
                </c:pt>
                <c:pt idx="292">
                  <c:v>-1.5482339765994058</c:v>
                </c:pt>
                <c:pt idx="293">
                  <c:v>-1.6108999841001621</c:v>
                </c:pt>
                <c:pt idx="294">
                  <c:v>-1.5633006748578184</c:v>
                </c:pt>
                <c:pt idx="295">
                  <c:v>-1.6041055887859121</c:v>
                </c:pt>
                <c:pt idx="296">
                  <c:v>-1.5003953278994313</c:v>
                </c:pt>
                <c:pt idx="297">
                  <c:v>-1.4345868873111403</c:v>
                </c:pt>
                <c:pt idx="298">
                  <c:v>-1.4573886894281054</c:v>
                </c:pt>
                <c:pt idx="299">
                  <c:v>-1.4967462782792349</c:v>
                </c:pt>
                <c:pt idx="300">
                  <c:v>-1.3807086255596237</c:v>
                </c:pt>
                <c:pt idx="301">
                  <c:v>-1.3628197672646427</c:v>
                </c:pt>
                <c:pt idx="302">
                  <c:v>-1.428650451848579</c:v>
                </c:pt>
                <c:pt idx="303">
                  <c:v>-1.3731135552199578</c:v>
                </c:pt>
                <c:pt idx="304">
                  <c:v>-1.3521879421136729</c:v>
                </c:pt>
                <c:pt idx="305">
                  <c:v>-1.4127421062481911</c:v>
                </c:pt>
                <c:pt idx="306">
                  <c:v>-1.459705124905943</c:v>
                </c:pt>
                <c:pt idx="307">
                  <c:v>-1.470256227811797</c:v>
                </c:pt>
                <c:pt idx="308">
                  <c:v>-1.5071089543454377</c:v>
                </c:pt>
                <c:pt idx="309">
                  <c:v>-1.5387885976365421</c:v>
                </c:pt>
                <c:pt idx="310">
                  <c:v>-1.4950440989794578</c:v>
                </c:pt>
                <c:pt idx="311">
                  <c:v>-1.4425403834377144</c:v>
                </c:pt>
                <c:pt idx="312">
                  <c:v>-1.4341941701193734</c:v>
                </c:pt>
                <c:pt idx="313">
                  <c:v>-1.4601773298823042</c:v>
                </c:pt>
                <c:pt idx="314">
                  <c:v>-1.4357986314081626</c:v>
                </c:pt>
                <c:pt idx="315">
                  <c:v>-1.4373750070548352</c:v>
                </c:pt>
                <c:pt idx="316">
                  <c:v>-1.5084972065341578</c:v>
                </c:pt>
                <c:pt idx="317">
                  <c:v>-1.492821783516753</c:v>
                </c:pt>
                <c:pt idx="318">
                  <c:v>-1.4343436428534302</c:v>
                </c:pt>
                <c:pt idx="319">
                  <c:v>-1.4776466876074028</c:v>
                </c:pt>
                <c:pt idx="320">
                  <c:v>-1.3995074404119472</c:v>
                </c:pt>
                <c:pt idx="321">
                  <c:v>-1.2827055526504785</c:v>
                </c:pt>
                <c:pt idx="322">
                  <c:v>-1.1873950808679785</c:v>
                </c:pt>
                <c:pt idx="323">
                  <c:v>-1.1748860567638082</c:v>
                </c:pt>
                <c:pt idx="324">
                  <c:v>-1.1155030316177748</c:v>
                </c:pt>
                <c:pt idx="325">
                  <c:v>-1.1547129866734716</c:v>
                </c:pt>
                <c:pt idx="326">
                  <c:v>-1.1223069979205158</c:v>
                </c:pt>
                <c:pt idx="327">
                  <c:v>-1.1500503962615707</c:v>
                </c:pt>
                <c:pt idx="328">
                  <c:v>-1.2302045539856219</c:v>
                </c:pt>
                <c:pt idx="329">
                  <c:v>-1.144017593932948</c:v>
                </c:pt>
                <c:pt idx="330">
                  <c:v>-1.1422817888021546</c:v>
                </c:pt>
                <c:pt idx="331">
                  <c:v>-1.2308403074772662</c:v>
                </c:pt>
                <c:pt idx="332">
                  <c:v>-1.1334079301870335</c:v>
                </c:pt>
                <c:pt idx="333">
                  <c:v>-1.1769503953979958</c:v>
                </c:pt>
                <c:pt idx="334">
                  <c:v>-1.0752935442724785</c:v>
                </c:pt>
                <c:pt idx="335">
                  <c:v>-1.04817109553407</c:v>
                </c:pt>
                <c:pt idx="336">
                  <c:v>-0.98069807177073065</c:v>
                </c:pt>
                <c:pt idx="337">
                  <c:v>-1.0327842020382685</c:v>
                </c:pt>
                <c:pt idx="338">
                  <c:v>-1.1052398458760715</c:v>
                </c:pt>
                <c:pt idx="339">
                  <c:v>-1.0782776944894943</c:v>
                </c:pt>
                <c:pt idx="340">
                  <c:v>-1.1219276062286498</c:v>
                </c:pt>
                <c:pt idx="341">
                  <c:v>-1.077850992057185</c:v>
                </c:pt>
                <c:pt idx="342">
                  <c:v>-1.0873368627464997</c:v>
                </c:pt>
                <c:pt idx="343">
                  <c:v>-0.96904431795116597</c:v>
                </c:pt>
                <c:pt idx="344">
                  <c:v>-1.1058803354935443</c:v>
                </c:pt>
                <c:pt idx="345">
                  <c:v>-1.1494531961427981</c:v>
                </c:pt>
                <c:pt idx="346">
                  <c:v>-1.0918098047661835</c:v>
                </c:pt>
                <c:pt idx="347">
                  <c:v>-1.1502301693498571</c:v>
                </c:pt>
                <c:pt idx="348">
                  <c:v>-1.0831904666044412</c:v>
                </c:pt>
                <c:pt idx="349">
                  <c:v>-1.1368881173457661</c:v>
                </c:pt>
                <c:pt idx="350">
                  <c:v>-1.1661176304646168</c:v>
                </c:pt>
                <c:pt idx="351">
                  <c:v>-1.2085920743986724</c:v>
                </c:pt>
                <c:pt idx="352">
                  <c:v>-1.1454312919810055</c:v>
                </c:pt>
                <c:pt idx="353">
                  <c:v>-1.1322278007055342</c:v>
                </c:pt>
                <c:pt idx="354">
                  <c:v>-1.0875045698691195</c:v>
                </c:pt>
                <c:pt idx="355">
                  <c:v>-1.0240615592480746</c:v>
                </c:pt>
                <c:pt idx="356">
                  <c:v>-0.84942455911950054</c:v>
                </c:pt>
                <c:pt idx="357">
                  <c:v>-0.87670654010928062</c:v>
                </c:pt>
                <c:pt idx="358">
                  <c:v>-0.75426419007856593</c:v>
                </c:pt>
                <c:pt idx="359">
                  <c:v>-0.68313663054182805</c:v>
                </c:pt>
                <c:pt idx="360">
                  <c:v>-0.64231503652924959</c:v>
                </c:pt>
                <c:pt idx="361">
                  <c:v>-0.78044369848009565</c:v>
                </c:pt>
                <c:pt idx="362">
                  <c:v>-0.7889698102351117</c:v>
                </c:pt>
                <c:pt idx="363">
                  <c:v>-0.65568366542478784</c:v>
                </c:pt>
                <c:pt idx="364">
                  <c:v>-0.70700294354831816</c:v>
                </c:pt>
                <c:pt idx="365">
                  <c:v>-0.78980594014530603</c:v>
                </c:pt>
                <c:pt idx="366">
                  <c:v>-0.68115668950707997</c:v>
                </c:pt>
                <c:pt idx="367">
                  <c:v>-0.74832458580304462</c:v>
                </c:pt>
                <c:pt idx="368">
                  <c:v>-0.78655297692991011</c:v>
                </c:pt>
                <c:pt idx="369">
                  <c:v>-0.74943983191214669</c:v>
                </c:pt>
                <c:pt idx="370">
                  <c:v>-0.7180265780635231</c:v>
                </c:pt>
                <c:pt idx="371">
                  <c:v>-0.77159657019960837</c:v>
                </c:pt>
                <c:pt idx="372">
                  <c:v>-0.78597169411355738</c:v>
                </c:pt>
                <c:pt idx="373">
                  <c:v>-0.73423046169935657</c:v>
                </c:pt>
                <c:pt idx="374">
                  <c:v>-0.82340897993568096</c:v>
                </c:pt>
                <c:pt idx="375">
                  <c:v>-0.91300658217605579</c:v>
                </c:pt>
                <c:pt idx="376">
                  <c:v>-0.90202812295809065</c:v>
                </c:pt>
                <c:pt idx="377">
                  <c:v>-0.81200998029500571</c:v>
                </c:pt>
                <c:pt idx="378">
                  <c:v>-0.83817823243887379</c:v>
                </c:pt>
                <c:pt idx="379">
                  <c:v>-0.82872347872980845</c:v>
                </c:pt>
                <c:pt idx="380">
                  <c:v>-0.81766053494900337</c:v>
                </c:pt>
                <c:pt idx="381">
                  <c:v>-0.7833628547931748</c:v>
                </c:pt>
                <c:pt idx="382">
                  <c:v>-0.75882541639774803</c:v>
                </c:pt>
                <c:pt idx="383">
                  <c:v>-0.73936586375523861</c:v>
                </c:pt>
                <c:pt idx="384">
                  <c:v>-0.70977799554768151</c:v>
                </c:pt>
                <c:pt idx="385">
                  <c:v>-0.76879127301872652</c:v>
                </c:pt>
                <c:pt idx="386">
                  <c:v>-0.70898141090517486</c:v>
                </c:pt>
                <c:pt idx="387">
                  <c:v>-0.82979375412831646</c:v>
                </c:pt>
                <c:pt idx="388">
                  <c:v>-0.69488792781730335</c:v>
                </c:pt>
                <c:pt idx="389">
                  <c:v>-0.67357823446268783</c:v>
                </c:pt>
                <c:pt idx="390">
                  <c:v>-0.59695692246854382</c:v>
                </c:pt>
                <c:pt idx="391">
                  <c:v>-0.46479428014011981</c:v>
                </c:pt>
                <c:pt idx="392">
                  <c:v>-0.66200845204199388</c:v>
                </c:pt>
                <c:pt idx="393">
                  <c:v>-0.66345441188800514</c:v>
                </c:pt>
                <c:pt idx="394">
                  <c:v>-0.67696941679350797</c:v>
                </c:pt>
                <c:pt idx="395">
                  <c:v>-0.76361284725523881</c:v>
                </c:pt>
                <c:pt idx="396">
                  <c:v>-0.83088154071750842</c:v>
                </c:pt>
                <c:pt idx="397">
                  <c:v>-0.82991624711789502</c:v>
                </c:pt>
                <c:pt idx="398">
                  <c:v>-0.85769665302874865</c:v>
                </c:pt>
                <c:pt idx="399">
                  <c:v>-0.82722632008203489</c:v>
                </c:pt>
                <c:pt idx="400" formatCode="General">
                  <c:v>-0.8678066140521834</c:v>
                </c:pt>
                <c:pt idx="401" formatCode="General">
                  <c:v>-0.80438304055017273</c:v>
                </c:pt>
                <c:pt idx="402" formatCode="General">
                  <c:v>-0.93811517983595982</c:v>
                </c:pt>
                <c:pt idx="403" formatCode="General">
                  <c:v>-0.95248171492623701</c:v>
                </c:pt>
                <c:pt idx="404" formatCode="General">
                  <c:v>-1.0988402640891073</c:v>
                </c:pt>
                <c:pt idx="405" formatCode="General">
                  <c:v>-1.0866666819329975</c:v>
                </c:pt>
                <c:pt idx="406" formatCode="General">
                  <c:v>-1.2058295247402242</c:v>
                </c:pt>
                <c:pt idx="407" formatCode="General">
                  <c:v>-1.2036930908612486</c:v>
                </c:pt>
                <c:pt idx="408" formatCode="General">
                  <c:v>-1.2146213972670805</c:v>
                </c:pt>
                <c:pt idx="409" formatCode="General">
                  <c:v>-1.2161806305280272</c:v>
                </c:pt>
                <c:pt idx="410" formatCode="General">
                  <c:v>-1.2047538835569342</c:v>
                </c:pt>
                <c:pt idx="411" formatCode="General">
                  <c:v>-1.1421740083831216</c:v>
                </c:pt>
                <c:pt idx="412" formatCode="General">
                  <c:v>-1.1399426019328378</c:v>
                </c:pt>
                <c:pt idx="413" formatCode="General">
                  <c:v>-1.1804387485022174</c:v>
                </c:pt>
                <c:pt idx="414" formatCode="General">
                  <c:v>-0.98635468830947848</c:v>
                </c:pt>
                <c:pt idx="415" formatCode="General">
                  <c:v>-0.98269719184809812</c:v>
                </c:pt>
                <c:pt idx="416" formatCode="General">
                  <c:v>-0.96250665858935802</c:v>
                </c:pt>
                <c:pt idx="417" formatCode="General">
                  <c:v>-1.041516389532875</c:v>
                </c:pt>
                <c:pt idx="418" formatCode="General">
                  <c:v>-1.0780597063781039</c:v>
                </c:pt>
                <c:pt idx="419" formatCode="General">
                  <c:v>-1.0777380361373565</c:v>
                </c:pt>
                <c:pt idx="420" formatCode="General">
                  <c:v>-0.9271981505146476</c:v>
                </c:pt>
                <c:pt idx="421" formatCode="General">
                  <c:v>-0.96434483664219839</c:v>
                </c:pt>
                <c:pt idx="422" formatCode="General">
                  <c:v>-0.94631778554708834</c:v>
                </c:pt>
                <c:pt idx="423" formatCode="General">
                  <c:v>-0.82240970328284402</c:v>
                </c:pt>
                <c:pt idx="424" formatCode="General">
                  <c:v>-0.86956715680942032</c:v>
                </c:pt>
                <c:pt idx="425" formatCode="General">
                  <c:v>-0.86211887459178227</c:v>
                </c:pt>
                <c:pt idx="426" formatCode="General">
                  <c:v>-0.82646790614309673</c:v>
                </c:pt>
                <c:pt idx="427" formatCode="General">
                  <c:v>-0.75612061077747894</c:v>
                </c:pt>
                <c:pt idx="428" formatCode="General">
                  <c:v>-0.61008653963506065</c:v>
                </c:pt>
                <c:pt idx="429" formatCode="General">
                  <c:v>-0.5858746276794532</c:v>
                </c:pt>
                <c:pt idx="430" formatCode="General">
                  <c:v>-0.59250178352739746</c:v>
                </c:pt>
                <c:pt idx="431" formatCode="General">
                  <c:v>-0.62562392785664256</c:v>
                </c:pt>
                <c:pt idx="432" formatCode="General">
                  <c:v>-0.75773460217020128</c:v>
                </c:pt>
                <c:pt idx="433" formatCode="General">
                  <c:v>-0.68758742306857346</c:v>
                </c:pt>
                <c:pt idx="434" formatCode="General">
                  <c:v>-0.68952553986989651</c:v>
                </c:pt>
                <c:pt idx="435" formatCode="General">
                  <c:v>-0.6982598559697496</c:v>
                </c:pt>
                <c:pt idx="436" formatCode="General">
                  <c:v>-0.74306191986548253</c:v>
                </c:pt>
                <c:pt idx="437" formatCode="General">
                  <c:v>-0.75352761150886183</c:v>
                </c:pt>
                <c:pt idx="438" formatCode="General">
                  <c:v>-0.7624449120678104</c:v>
                </c:pt>
                <c:pt idx="439" formatCode="General">
                  <c:v>-0.77545458065376005</c:v>
                </c:pt>
                <c:pt idx="440" formatCode="General">
                  <c:v>-0.68530169858521295</c:v>
                </c:pt>
                <c:pt idx="441" formatCode="General">
                  <c:v>-0.72467402336162789</c:v>
                </c:pt>
                <c:pt idx="442" formatCode="General">
                  <c:v>-0.68738261784080079</c:v>
                </c:pt>
                <c:pt idx="443" formatCode="General">
                  <c:v>-0.73268513857575501</c:v>
                </c:pt>
                <c:pt idx="444" formatCode="General">
                  <c:v>-0.60270695675435637</c:v>
                </c:pt>
                <c:pt idx="445" formatCode="General">
                  <c:v>-0.66125027536716208</c:v>
                </c:pt>
                <c:pt idx="446" formatCode="General">
                  <c:v>-0.62662237543772847</c:v>
                </c:pt>
                <c:pt idx="447" formatCode="General">
                  <c:v>-0.67580282341373143</c:v>
                </c:pt>
                <c:pt idx="448" formatCode="General">
                  <c:v>-0.52907385164957821</c:v>
                </c:pt>
                <c:pt idx="449" formatCode="General">
                  <c:v>-0.51731900779375672</c:v>
                </c:pt>
                <c:pt idx="450" formatCode="General">
                  <c:v>-0.51296422383346119</c:v>
                </c:pt>
                <c:pt idx="451" formatCode="General">
                  <c:v>-0.52660924589853131</c:v>
                </c:pt>
                <c:pt idx="452" formatCode="General">
                  <c:v>-0.56812682101925227</c:v>
                </c:pt>
                <c:pt idx="453" formatCode="General">
                  <c:v>-0.53386112194824464</c:v>
                </c:pt>
                <c:pt idx="454" formatCode="General">
                  <c:v>-0.53563593716750235</c:v>
                </c:pt>
                <c:pt idx="455" formatCode="General">
                  <c:v>-0.63722492485258531</c:v>
                </c:pt>
                <c:pt idx="456" formatCode="General">
                  <c:v>-0.592720308227069</c:v>
                </c:pt>
                <c:pt idx="457" formatCode="General">
                  <c:v>-0.60715396383442199</c:v>
                </c:pt>
                <c:pt idx="458" formatCode="General">
                  <c:v>-0.61142817434621222</c:v>
                </c:pt>
                <c:pt idx="459" formatCode="General">
                  <c:v>-0.64685526073897959</c:v>
                </c:pt>
                <c:pt idx="460" formatCode="General">
                  <c:v>-0.55852643354357379</c:v>
                </c:pt>
                <c:pt idx="461" formatCode="General">
                  <c:v>-0.50939217818405846</c:v>
                </c:pt>
                <c:pt idx="462" formatCode="General">
                  <c:v>-0.50529999612378951</c:v>
                </c:pt>
                <c:pt idx="463" formatCode="General">
                  <c:v>-0.51451735263258569</c:v>
                </c:pt>
                <c:pt idx="464" formatCode="General">
                  <c:v>-0.44444695716392507</c:v>
                </c:pt>
                <c:pt idx="465" formatCode="General">
                  <c:v>-0.24461294974833117</c:v>
                </c:pt>
                <c:pt idx="466" formatCode="General">
                  <c:v>-0.2904170500384668</c:v>
                </c:pt>
                <c:pt idx="467" formatCode="General">
                  <c:v>-0.27051775268323597</c:v>
                </c:pt>
                <c:pt idx="468" formatCode="General">
                  <c:v>-0.27885594480822012</c:v>
                </c:pt>
                <c:pt idx="469" formatCode="General">
                  <c:v>-0.2521292438897948</c:v>
                </c:pt>
                <c:pt idx="470" formatCode="General">
                  <c:v>-0.22484143672502013</c:v>
                </c:pt>
                <c:pt idx="471" formatCode="General">
                  <c:v>-0.33033088620074219</c:v>
                </c:pt>
                <c:pt idx="472" formatCode="General">
                  <c:v>-0.41193229364109368</c:v>
                </c:pt>
                <c:pt idx="473" formatCode="General">
                  <c:v>-0.39653252411644818</c:v>
                </c:pt>
                <c:pt idx="474" formatCode="General">
                  <c:v>-0.24171094020930722</c:v>
                </c:pt>
                <c:pt idx="475" formatCode="General">
                  <c:v>-0.33588548537222401</c:v>
                </c:pt>
                <c:pt idx="476" formatCode="General">
                  <c:v>-0.43016863031904962</c:v>
                </c:pt>
                <c:pt idx="477" formatCode="General">
                  <c:v>-0.3606311486506471</c:v>
                </c:pt>
                <c:pt idx="478" formatCode="General">
                  <c:v>-0.24289722992013926</c:v>
                </c:pt>
                <c:pt idx="479" formatCode="General">
                  <c:v>-0.36549206774743259</c:v>
                </c:pt>
                <c:pt idx="480" formatCode="General">
                  <c:v>-0.21186864281458012</c:v>
                </c:pt>
                <c:pt idx="481" formatCode="General">
                  <c:v>-0.14770325228887363</c:v>
                </c:pt>
                <c:pt idx="482" formatCode="General">
                  <c:v>-9.5974016745486973E-2</c:v>
                </c:pt>
                <c:pt idx="483" formatCode="General">
                  <c:v>-0.21306715360036907</c:v>
                </c:pt>
                <c:pt idx="484" formatCode="General">
                  <c:v>-0.2961068931264389</c:v>
                </c:pt>
                <c:pt idx="485" formatCode="General">
                  <c:v>-0.13329215978349476</c:v>
                </c:pt>
                <c:pt idx="486" formatCode="General">
                  <c:v>-7.0806380437298935E-2</c:v>
                </c:pt>
                <c:pt idx="487" formatCode="General">
                  <c:v>-4.3218888699113139E-2</c:v>
                </c:pt>
                <c:pt idx="488" formatCode="General">
                  <c:v>-1.3293640095461542E-2</c:v>
                </c:pt>
                <c:pt idx="489" formatCode="General">
                  <c:v>-3.6572027578335609E-2</c:v>
                </c:pt>
                <c:pt idx="490" formatCode="General">
                  <c:v>-0.18058193154039492</c:v>
                </c:pt>
                <c:pt idx="491" formatCode="General">
                  <c:v>-8.4694496219213086E-2</c:v>
                </c:pt>
                <c:pt idx="492" formatCode="General">
                  <c:v>-0.18395721872411536</c:v>
                </c:pt>
                <c:pt idx="493" formatCode="General">
                  <c:v>-0.30200335554596486</c:v>
                </c:pt>
                <c:pt idx="494" formatCode="General">
                  <c:v>-0.24052431141229422</c:v>
                </c:pt>
                <c:pt idx="495" formatCode="General">
                  <c:v>-0.29296612713820197</c:v>
                </c:pt>
                <c:pt idx="496" formatCode="General">
                  <c:v>-0.20692086656391917</c:v>
                </c:pt>
                <c:pt idx="497" formatCode="General">
                  <c:v>-0.19545055344184029</c:v>
                </c:pt>
                <c:pt idx="498" formatCode="General">
                  <c:v>-0.15008353772514751</c:v>
                </c:pt>
                <c:pt idx="499" formatCode="General">
                  <c:v>-0.26960218708415107</c:v>
                </c:pt>
                <c:pt idx="500" formatCode="General">
                  <c:v>-0.19010825194912348</c:v>
                </c:pt>
                <c:pt idx="501" formatCode="General">
                  <c:v>-0.22224376157128681</c:v>
                </c:pt>
                <c:pt idx="502" formatCode="General">
                  <c:v>-0.14938926025000351</c:v>
                </c:pt>
                <c:pt idx="503" formatCode="General">
                  <c:v>-7.6746881857945204E-2</c:v>
                </c:pt>
                <c:pt idx="504" formatCode="General">
                  <c:v>-7.2046915350794313E-2</c:v>
                </c:pt>
                <c:pt idx="505" formatCode="General">
                  <c:v>-5.873735884950923E-2</c:v>
                </c:pt>
                <c:pt idx="506" formatCode="General">
                  <c:v>-2.4718698653067604E-2</c:v>
                </c:pt>
                <c:pt idx="507" formatCode="General">
                  <c:v>1.2274954630882531E-2</c:v>
                </c:pt>
                <c:pt idx="508" formatCode="General">
                  <c:v>-3.9305141927851166E-2</c:v>
                </c:pt>
                <c:pt idx="509" formatCode="General">
                  <c:v>-0.10237380375681376</c:v>
                </c:pt>
                <c:pt idx="510" formatCode="General">
                  <c:v>7.4692810744557109E-2</c:v>
                </c:pt>
                <c:pt idx="511" formatCode="General">
                  <c:v>-1.5224967184574467E-3</c:v>
                </c:pt>
                <c:pt idx="512" formatCode="General">
                  <c:v>9.4245622540651552E-2</c:v>
                </c:pt>
                <c:pt idx="513" formatCode="General">
                  <c:v>-0.15006558751205654</c:v>
                </c:pt>
                <c:pt idx="514" formatCode="General">
                  <c:v>-0.24529361046830009</c:v>
                </c:pt>
                <c:pt idx="515" formatCode="General">
                  <c:v>-0.19316134038174793</c:v>
                </c:pt>
                <c:pt idx="516" formatCode="General">
                  <c:v>-0.10867635613332205</c:v>
                </c:pt>
                <c:pt idx="517" formatCode="General">
                  <c:v>-0.12064416304011384</c:v>
                </c:pt>
                <c:pt idx="518" formatCode="General">
                  <c:v>-8.6496791023161074E-2</c:v>
                </c:pt>
                <c:pt idx="519" formatCode="General">
                  <c:v>-1.6999319632155924E-2</c:v>
                </c:pt>
                <c:pt idx="520" formatCode="General">
                  <c:v>-7.9243107652877148E-2</c:v>
                </c:pt>
                <c:pt idx="521" formatCode="General">
                  <c:v>-2.9410215926781082E-2</c:v>
                </c:pt>
                <c:pt idx="522" formatCode="General">
                  <c:v>7.2262522228758955E-3</c:v>
                </c:pt>
                <c:pt idx="523" formatCode="General">
                  <c:v>5.144645771077673E-2</c:v>
                </c:pt>
                <c:pt idx="524" formatCode="General">
                  <c:v>-0.18543543814231958</c:v>
                </c:pt>
                <c:pt idx="525" formatCode="General">
                  <c:v>-5.3134067363331483E-2</c:v>
                </c:pt>
                <c:pt idx="526" formatCode="General">
                  <c:v>-6.5894801729793173E-2</c:v>
                </c:pt>
                <c:pt idx="527" formatCode="General">
                  <c:v>-0.22676796586056161</c:v>
                </c:pt>
                <c:pt idx="528" formatCode="General">
                  <c:v>-0.25074850166891999</c:v>
                </c:pt>
                <c:pt idx="529" formatCode="General">
                  <c:v>-0.18745888003043071</c:v>
                </c:pt>
                <c:pt idx="530" formatCode="General">
                  <c:v>-4.4981916761462674E-2</c:v>
                </c:pt>
                <c:pt idx="531" formatCode="General">
                  <c:v>-0.12833162722482677</c:v>
                </c:pt>
                <c:pt idx="532" formatCode="General">
                  <c:v>-0.10554000728303027</c:v>
                </c:pt>
                <c:pt idx="533" formatCode="General">
                  <c:v>9.1519323003914372E-3</c:v>
                </c:pt>
                <c:pt idx="534" formatCode="General">
                  <c:v>-6.1029699723611414E-2</c:v>
                </c:pt>
                <c:pt idx="535" formatCode="General">
                  <c:v>-3.7240158840550473E-3</c:v>
                </c:pt>
                <c:pt idx="536" formatCode="General">
                  <c:v>-7.7124371292771624E-2</c:v>
                </c:pt>
                <c:pt idx="537" formatCode="General">
                  <c:v>-7.596125240886907E-2</c:v>
                </c:pt>
                <c:pt idx="538" formatCode="General">
                  <c:v>0.1352338120769227</c:v>
                </c:pt>
                <c:pt idx="539" formatCode="General">
                  <c:v>1.4166721666056594E-2</c:v>
                </c:pt>
                <c:pt idx="540" formatCode="General">
                  <c:v>5.7709873656037587E-2</c:v>
                </c:pt>
                <c:pt idx="541" formatCode="General">
                  <c:v>0.13792194308752403</c:v>
                </c:pt>
                <c:pt idx="542" formatCode="General">
                  <c:v>1.354235507282537E-2</c:v>
                </c:pt>
                <c:pt idx="543" formatCode="General">
                  <c:v>0.13881753395713059</c:v>
                </c:pt>
                <c:pt idx="544" formatCode="General">
                  <c:v>0.25036685476659942</c:v>
                </c:pt>
                <c:pt idx="545" formatCode="General">
                  <c:v>0.25215845523045421</c:v>
                </c:pt>
                <c:pt idx="546" formatCode="General">
                  <c:v>6.6517495273248226E-2</c:v>
                </c:pt>
                <c:pt idx="547" formatCode="General">
                  <c:v>8.7401562253267784E-2</c:v>
                </c:pt>
                <c:pt idx="548" formatCode="General">
                  <c:v>9.6986721181685567E-2</c:v>
                </c:pt>
                <c:pt idx="549" formatCode="General">
                  <c:v>6.2856517049104416E-2</c:v>
                </c:pt>
                <c:pt idx="550" formatCode="General">
                  <c:v>4.3194957757229549E-2</c:v>
                </c:pt>
                <c:pt idx="551" formatCode="General">
                  <c:v>0.1291881565091568</c:v>
                </c:pt>
                <c:pt idx="552" formatCode="General">
                  <c:v>0.21587087617636455</c:v>
                </c:pt>
                <c:pt idx="553" formatCode="General">
                  <c:v>0.24166547840993521</c:v>
                </c:pt>
                <c:pt idx="554" formatCode="General">
                  <c:v>0.2519886667246099</c:v>
                </c:pt>
                <c:pt idx="555" formatCode="General">
                  <c:v>9.5847082088168611E-2</c:v>
                </c:pt>
                <c:pt idx="556" formatCode="General">
                  <c:v>0.15453248371812564</c:v>
                </c:pt>
                <c:pt idx="557" formatCode="General">
                  <c:v>0.15874231622286367</c:v>
                </c:pt>
                <c:pt idx="558" formatCode="General">
                  <c:v>0.24492855346653569</c:v>
                </c:pt>
                <c:pt idx="559" formatCode="General">
                  <c:v>0.49054927454443764</c:v>
                </c:pt>
                <c:pt idx="560" formatCode="General">
                  <c:v>0.5473060607862219</c:v>
                </c:pt>
                <c:pt idx="561" formatCode="General">
                  <c:v>0.67212104455814026</c:v>
                </c:pt>
                <c:pt idx="562" formatCode="General">
                  <c:v>0.61118134674236513</c:v>
                </c:pt>
                <c:pt idx="563" formatCode="General">
                  <c:v>0.4900385667116387</c:v>
                </c:pt>
                <c:pt idx="564" formatCode="General">
                  <c:v>0.33091564079026109</c:v>
                </c:pt>
                <c:pt idx="565" formatCode="General">
                  <c:v>0.32840776362777324</c:v>
                </c:pt>
                <c:pt idx="566" formatCode="General">
                  <c:v>0.22500320387464648</c:v>
                </c:pt>
                <c:pt idx="567" formatCode="General">
                  <c:v>0.14028399394926497</c:v>
                </c:pt>
                <c:pt idx="568" formatCode="General">
                  <c:v>0.13438243803683242</c:v>
                </c:pt>
                <c:pt idx="569" formatCode="General">
                  <c:v>0.17470578143204168</c:v>
                </c:pt>
                <c:pt idx="570" formatCode="General">
                  <c:v>0.10551245742651726</c:v>
                </c:pt>
                <c:pt idx="571" formatCode="General">
                  <c:v>0.15509874442138494</c:v>
                </c:pt>
                <c:pt idx="572" formatCode="General">
                  <c:v>0.16969158563049724</c:v>
                </c:pt>
                <c:pt idx="573" formatCode="General">
                  <c:v>0.22926499789392593</c:v>
                </c:pt>
                <c:pt idx="574" formatCode="General">
                  <c:v>0.2345779190424917</c:v>
                </c:pt>
                <c:pt idx="575" formatCode="General">
                  <c:v>0.21813745705987497</c:v>
                </c:pt>
                <c:pt idx="576" formatCode="General">
                  <c:v>0.16634808412339688</c:v>
                </c:pt>
                <c:pt idx="577" formatCode="General">
                  <c:v>0.17574489667893728</c:v>
                </c:pt>
                <c:pt idx="578" formatCode="General">
                  <c:v>0.20741340138384515</c:v>
                </c:pt>
                <c:pt idx="579" formatCode="General">
                  <c:v>0.35311096073398324</c:v>
                </c:pt>
                <c:pt idx="580" formatCode="General">
                  <c:v>0.36566068042436484</c:v>
                </c:pt>
                <c:pt idx="581" formatCode="General">
                  <c:v>0.5350626736176185</c:v>
                </c:pt>
                <c:pt idx="582" formatCode="General">
                  <c:v>0.48390763734748676</c:v>
                </c:pt>
                <c:pt idx="583" formatCode="General">
                  <c:v>0.80179097340689898</c:v>
                </c:pt>
                <c:pt idx="584" formatCode="General">
                  <c:v>0.82728157039077788</c:v>
                </c:pt>
                <c:pt idx="585" formatCode="General">
                  <c:v>0.78140820484820905</c:v>
                </c:pt>
                <c:pt idx="586" formatCode="General">
                  <c:v>0.98301805914774398</c:v>
                </c:pt>
                <c:pt idx="587" formatCode="General">
                  <c:v>0.88984944978590941</c:v>
                </c:pt>
                <c:pt idx="588" formatCode="General">
                  <c:v>0.91063053584554099</c:v>
                </c:pt>
                <c:pt idx="589" formatCode="General">
                  <c:v>0.76969959639134689</c:v>
                </c:pt>
                <c:pt idx="590" formatCode="General">
                  <c:v>0.64471631210454783</c:v>
                </c:pt>
                <c:pt idx="591" formatCode="General">
                  <c:v>0.61613376249369423</c:v>
                </c:pt>
                <c:pt idx="592" formatCode="General">
                  <c:v>0.43977759662499954</c:v>
                </c:pt>
                <c:pt idx="593" formatCode="General">
                  <c:v>0.33296252628089945</c:v>
                </c:pt>
                <c:pt idx="594" formatCode="General">
                  <c:v>0.52503644567030028</c:v>
                </c:pt>
                <c:pt idx="595" formatCode="General">
                  <c:v>0.427213772510246</c:v>
                </c:pt>
                <c:pt idx="596" formatCode="General">
                  <c:v>0.40986809895629411</c:v>
                </c:pt>
                <c:pt idx="597" formatCode="General">
                  <c:v>0.38189746039849248</c:v>
                </c:pt>
                <c:pt idx="598" formatCode="General">
                  <c:v>0.47507121632853688</c:v>
                </c:pt>
                <c:pt idx="599" formatCode="General">
                  <c:v>0.4487857009407884</c:v>
                </c:pt>
                <c:pt idx="600" formatCode="General">
                  <c:v>0.46708350577346863</c:v>
                </c:pt>
                <c:pt idx="601" formatCode="General">
                  <c:v>0.40921282764635392</c:v>
                </c:pt>
                <c:pt idx="602" formatCode="General">
                  <c:v>0.44458568722727959</c:v>
                </c:pt>
                <c:pt idx="603" formatCode="General">
                  <c:v>0.50394259314715195</c:v>
                </c:pt>
                <c:pt idx="604" formatCode="General">
                  <c:v>0.40952413446068525</c:v>
                </c:pt>
                <c:pt idx="605" formatCode="General">
                  <c:v>0.35079159377122199</c:v>
                </c:pt>
                <c:pt idx="606" formatCode="General">
                  <c:v>0.35523544711632743</c:v>
                </c:pt>
                <c:pt idx="607" formatCode="General">
                  <c:v>0.17403578695611832</c:v>
                </c:pt>
                <c:pt idx="608" formatCode="General">
                  <c:v>0.13876779492057872</c:v>
                </c:pt>
                <c:pt idx="609" formatCode="General">
                  <c:v>0.1012461176947244</c:v>
                </c:pt>
                <c:pt idx="610" formatCode="General">
                  <c:v>2.4858534391987288E-2</c:v>
                </c:pt>
                <c:pt idx="611" formatCode="General">
                  <c:v>-0.2680765605875069</c:v>
                </c:pt>
                <c:pt idx="612" formatCode="General">
                  <c:v>-0.37208958114483076</c:v>
                </c:pt>
                <c:pt idx="613" formatCode="General">
                  <c:v>-0.378141753068099</c:v>
                </c:pt>
                <c:pt idx="614" formatCode="General">
                  <c:v>-0.36142429397660603</c:v>
                </c:pt>
                <c:pt idx="615" formatCode="General">
                  <c:v>-0.3500202424418018</c:v>
                </c:pt>
                <c:pt idx="616" formatCode="General">
                  <c:v>-0.27191154150912056</c:v>
                </c:pt>
                <c:pt idx="617" formatCode="General">
                  <c:v>-0.35620242881191094</c:v>
                </c:pt>
                <c:pt idx="618" formatCode="General">
                  <c:v>-0.43708379475392584</c:v>
                </c:pt>
                <c:pt idx="619" formatCode="General">
                  <c:v>-0.45796902039672543</c:v>
                </c:pt>
                <c:pt idx="620" formatCode="General">
                  <c:v>-0.39561835782668503</c:v>
                </c:pt>
                <c:pt idx="621" formatCode="General">
                  <c:v>-0.27316609729278396</c:v>
                </c:pt>
                <c:pt idx="622" formatCode="General">
                  <c:v>-0.24743326525344048</c:v>
                </c:pt>
                <c:pt idx="623" formatCode="General">
                  <c:v>-0.24868597157264233</c:v>
                </c:pt>
                <c:pt idx="624" formatCode="General">
                  <c:v>-0.21715180613572213</c:v>
                </c:pt>
                <c:pt idx="625" formatCode="General">
                  <c:v>-0.14158290468243406</c:v>
                </c:pt>
                <c:pt idx="626" formatCode="General">
                  <c:v>-0.20134205588566798</c:v>
                </c:pt>
                <c:pt idx="627" formatCode="General">
                  <c:v>-0.18611072668529705</c:v>
                </c:pt>
                <c:pt idx="628" formatCode="General">
                  <c:v>9.0464126305686478E-3</c:v>
                </c:pt>
                <c:pt idx="629" formatCode="General">
                  <c:v>0.10477947835003325</c:v>
                </c:pt>
                <c:pt idx="630" formatCode="General">
                  <c:v>0.1037933970281537</c:v>
                </c:pt>
                <c:pt idx="631" formatCode="General">
                  <c:v>0.13227548136467196</c:v>
                </c:pt>
                <c:pt idx="632" formatCode="General">
                  <c:v>0.19568574431065944</c:v>
                </c:pt>
                <c:pt idx="633" formatCode="General">
                  <c:v>0.22429396120258505</c:v>
                </c:pt>
                <c:pt idx="634" formatCode="General">
                  <c:v>0.21151079276260848</c:v>
                </c:pt>
                <c:pt idx="635" formatCode="General">
                  <c:v>0.18767157185981073</c:v>
                </c:pt>
                <c:pt idx="636" formatCode="General">
                  <c:v>0.26181050465939792</c:v>
                </c:pt>
                <c:pt idx="637" formatCode="General">
                  <c:v>0.31179289548026012</c:v>
                </c:pt>
                <c:pt idx="638" formatCode="General">
                  <c:v>0.26786998974220733</c:v>
                </c:pt>
                <c:pt idx="639" formatCode="General">
                  <c:v>0.43085247320228631</c:v>
                </c:pt>
                <c:pt idx="640" formatCode="General">
                  <c:v>0.38033635583619541</c:v>
                </c:pt>
                <c:pt idx="641" formatCode="General">
                  <c:v>0.28837733671319804</c:v>
                </c:pt>
                <c:pt idx="642" formatCode="General">
                  <c:v>3.9776287196666774E-2</c:v>
                </c:pt>
                <c:pt idx="643" formatCode="General">
                  <c:v>-0.11419741239249123</c:v>
                </c:pt>
                <c:pt idx="644" formatCode="General">
                  <c:v>-0.12266615630992689</c:v>
                </c:pt>
                <c:pt idx="645" formatCode="General">
                  <c:v>-0.20488152714678989</c:v>
                </c:pt>
                <c:pt idx="646" formatCode="General">
                  <c:v>-0.2103408220950414</c:v>
                </c:pt>
                <c:pt idx="647" formatCode="General">
                  <c:v>-0.15177180524677614</c:v>
                </c:pt>
                <c:pt idx="648" formatCode="General">
                  <c:v>-9.0465615056162241E-2</c:v>
                </c:pt>
                <c:pt idx="649" formatCode="General">
                  <c:v>-0.13329954045899511</c:v>
                </c:pt>
                <c:pt idx="650" formatCode="General">
                  <c:v>-0.15652235899300596</c:v>
                </c:pt>
                <c:pt idx="651" formatCode="General">
                  <c:v>-4.8709225316325877E-2</c:v>
                </c:pt>
                <c:pt idx="652" formatCode="General">
                  <c:v>-2.8564935786606217E-2</c:v>
                </c:pt>
                <c:pt idx="653" formatCode="General">
                  <c:v>-9.1304798265813308E-2</c:v>
                </c:pt>
                <c:pt idx="654" formatCode="General">
                  <c:v>-7.9432617587725962E-2</c:v>
                </c:pt>
                <c:pt idx="655" formatCode="General">
                  <c:v>-7.0143445644550134E-2</c:v>
                </c:pt>
                <c:pt idx="656" formatCode="General">
                  <c:v>-5.9492159135927005E-3</c:v>
                </c:pt>
                <c:pt idx="657" formatCode="General">
                  <c:v>-0.11309059409069955</c:v>
                </c:pt>
                <c:pt idx="658" formatCode="General">
                  <c:v>-0.14208936867492966</c:v>
                </c:pt>
                <c:pt idx="659" formatCode="General">
                  <c:v>-0.12593388189103913</c:v>
                </c:pt>
                <c:pt idx="660" formatCode="General">
                  <c:v>3.0054532620241572E-2</c:v>
                </c:pt>
                <c:pt idx="661" formatCode="General">
                  <c:v>-8.1462781328278833E-2</c:v>
                </c:pt>
                <c:pt idx="662" formatCode="General">
                  <c:v>-9.8835315701186519E-2</c:v>
                </c:pt>
                <c:pt idx="663" formatCode="General">
                  <c:v>-0.21225829423362891</c:v>
                </c:pt>
                <c:pt idx="664" formatCode="General">
                  <c:v>-0.27023285398474761</c:v>
                </c:pt>
                <c:pt idx="665" formatCode="General">
                  <c:v>-0.15207256139619105</c:v>
                </c:pt>
                <c:pt idx="666" formatCode="General">
                  <c:v>-2.7105653355328552E-2</c:v>
                </c:pt>
                <c:pt idx="667" formatCode="General">
                  <c:v>-0.2566107592869955</c:v>
                </c:pt>
                <c:pt idx="668" formatCode="General">
                  <c:v>-0.23176040058617034</c:v>
                </c:pt>
                <c:pt idx="669" formatCode="General">
                  <c:v>-0.29552194716799229</c:v>
                </c:pt>
                <c:pt idx="670" formatCode="General">
                  <c:v>-0.36606780156911378</c:v>
                </c:pt>
                <c:pt idx="671" formatCode="General">
                  <c:v>-0.37969326829073019</c:v>
                </c:pt>
                <c:pt idx="672" formatCode="General">
                  <c:v>-0.40022766413446503</c:v>
                </c:pt>
                <c:pt idx="673" formatCode="General">
                  <c:v>-0.4477172052339653</c:v>
                </c:pt>
                <c:pt idx="674" formatCode="General">
                  <c:v>-0.4980615527063913</c:v>
                </c:pt>
                <c:pt idx="675" formatCode="General">
                  <c:v>-0.53644783458773604</c:v>
                </c:pt>
                <c:pt idx="676" formatCode="General">
                  <c:v>-0.44691539706172206</c:v>
                </c:pt>
                <c:pt idx="677" formatCode="General">
                  <c:v>-0.48767287011338556</c:v>
                </c:pt>
                <c:pt idx="678" formatCode="General">
                  <c:v>-0.54234730462011937</c:v>
                </c:pt>
                <c:pt idx="679" formatCode="General">
                  <c:v>-0.46714397060180757</c:v>
                </c:pt>
                <c:pt idx="680" formatCode="General">
                  <c:v>-0.43764501436967373</c:v>
                </c:pt>
                <c:pt idx="681" formatCode="General">
                  <c:v>-0.56150660358755111</c:v>
                </c:pt>
                <c:pt idx="682" formatCode="General">
                  <c:v>-0.45166042196152595</c:v>
                </c:pt>
                <c:pt idx="683" formatCode="General">
                  <c:v>-0.33986398612082741</c:v>
                </c:pt>
                <c:pt idx="684" formatCode="General">
                  <c:v>-0.3932922973014264</c:v>
                </c:pt>
                <c:pt idx="685" formatCode="General">
                  <c:v>-0.43532031975121971</c:v>
                </c:pt>
                <c:pt idx="686" formatCode="General">
                  <c:v>-0.5103368756710952</c:v>
                </c:pt>
                <c:pt idx="687" formatCode="General">
                  <c:v>-0.44643155491218284</c:v>
                </c:pt>
                <c:pt idx="688" formatCode="General">
                  <c:v>-0.41636922678627342</c:v>
                </c:pt>
                <c:pt idx="689" formatCode="General">
                  <c:v>-0.45298653377848552</c:v>
                </c:pt>
                <c:pt idx="690" formatCode="General">
                  <c:v>-0.43415337036675317</c:v>
                </c:pt>
                <c:pt idx="691" formatCode="General">
                  <c:v>-0.44901906581600948</c:v>
                </c:pt>
                <c:pt idx="692" formatCode="General">
                  <c:v>-0.42828099642308298</c:v>
                </c:pt>
                <c:pt idx="693" formatCode="General">
                  <c:v>-0.44350846686574946</c:v>
                </c:pt>
                <c:pt idx="694" formatCode="General">
                  <c:v>-0.35673720818695476</c:v>
                </c:pt>
                <c:pt idx="695" formatCode="General">
                  <c:v>-0.46875462503562193</c:v>
                </c:pt>
                <c:pt idx="696" formatCode="General">
                  <c:v>-0.50348354908831661</c:v>
                </c:pt>
                <c:pt idx="697" formatCode="General">
                  <c:v>-0.5203063094125332</c:v>
                </c:pt>
                <c:pt idx="698" formatCode="General">
                  <c:v>-0.5637965567729043</c:v>
                </c:pt>
                <c:pt idx="699" formatCode="General">
                  <c:v>-0.50602062155851368</c:v>
                </c:pt>
                <c:pt idx="700" formatCode="General">
                  <c:v>-0.38074175334654359</c:v>
                </c:pt>
                <c:pt idx="701" formatCode="General">
                  <c:v>-0.47269727106835774</c:v>
                </c:pt>
                <c:pt idx="702" formatCode="General">
                  <c:v>-0.49597912735964095</c:v>
                </c:pt>
                <c:pt idx="703" formatCode="General">
                  <c:v>-0.44235031582277162</c:v>
                </c:pt>
                <c:pt idx="704" formatCode="General">
                  <c:v>-0.3408022332790101</c:v>
                </c:pt>
                <c:pt idx="705" formatCode="General">
                  <c:v>-0.22496841090171729</c:v>
                </c:pt>
                <c:pt idx="706" formatCode="General">
                  <c:v>-0.282274950190334</c:v>
                </c:pt>
                <c:pt idx="707" formatCode="General">
                  <c:v>-0.40711124149499939</c:v>
                </c:pt>
                <c:pt idx="708" formatCode="General">
                  <c:v>-0.39343285548549101</c:v>
                </c:pt>
                <c:pt idx="709" formatCode="General">
                  <c:v>-0.48815187872450982</c:v>
                </c:pt>
                <c:pt idx="710" formatCode="General">
                  <c:v>-0.57225357706769253</c:v>
                </c:pt>
                <c:pt idx="711" formatCode="General">
                  <c:v>-0.7093702705066961</c:v>
                </c:pt>
                <c:pt idx="712" formatCode="General">
                  <c:v>-0.66193579460076701</c:v>
                </c:pt>
                <c:pt idx="713" formatCode="General">
                  <c:v>-0.63427930732497917</c:v>
                </c:pt>
                <c:pt idx="714" formatCode="General">
                  <c:v>-0.49298259354774304</c:v>
                </c:pt>
                <c:pt idx="715" formatCode="General">
                  <c:v>-0.44443134452792971</c:v>
                </c:pt>
                <c:pt idx="716" formatCode="General">
                  <c:v>-0.5793473697423418</c:v>
                </c:pt>
                <c:pt idx="717" formatCode="General">
                  <c:v>-0.60755899400454605</c:v>
                </c:pt>
                <c:pt idx="718" formatCode="General">
                  <c:v>-0.55740392942136341</c:v>
                </c:pt>
                <c:pt idx="719" formatCode="General">
                  <c:v>-0.56262607658159525</c:v>
                </c:pt>
                <c:pt idx="720" formatCode="General">
                  <c:v>-0.55405099016550463</c:v>
                </c:pt>
                <c:pt idx="721" formatCode="General">
                  <c:v>-0.51505593512438386</c:v>
                </c:pt>
                <c:pt idx="722" formatCode="General">
                  <c:v>-0.59491688721821112</c:v>
                </c:pt>
                <c:pt idx="723" formatCode="General">
                  <c:v>-0.61750748529043353</c:v>
                </c:pt>
                <c:pt idx="724" formatCode="General">
                  <c:v>-0.6909726192677621</c:v>
                </c:pt>
                <c:pt idx="725" formatCode="General">
                  <c:v>-0.81229528343702395</c:v>
                </c:pt>
                <c:pt idx="726" formatCode="General">
                  <c:v>-0.94355478867472109</c:v>
                </c:pt>
                <c:pt idx="727" formatCode="General">
                  <c:v>-0.87501745034408762</c:v>
                </c:pt>
                <c:pt idx="728" formatCode="General">
                  <c:v>-0.92398982563123466</c:v>
                </c:pt>
                <c:pt idx="729" formatCode="General">
                  <c:v>-0.9446177027745063</c:v>
                </c:pt>
                <c:pt idx="730" formatCode="General">
                  <c:v>-0.87797029711582764</c:v>
                </c:pt>
                <c:pt idx="731" formatCode="General">
                  <c:v>-0.7597354280165961</c:v>
                </c:pt>
                <c:pt idx="732" formatCode="General">
                  <c:v>-0.55980413065413726</c:v>
                </c:pt>
                <c:pt idx="733" formatCode="General">
                  <c:v>-0.52927816431802743</c:v>
                </c:pt>
                <c:pt idx="734" formatCode="General">
                  <c:v>-0.61509916303812595</c:v>
                </c:pt>
                <c:pt idx="735" formatCode="General">
                  <c:v>-0.70227942264309073</c:v>
                </c:pt>
                <c:pt idx="736" formatCode="General">
                  <c:v>-0.85671535491423245</c:v>
                </c:pt>
                <c:pt idx="737" formatCode="General">
                  <c:v>-0.89142495683620859</c:v>
                </c:pt>
                <c:pt idx="738" formatCode="General">
                  <c:v>-0.94909088505888362</c:v>
                </c:pt>
                <c:pt idx="739" formatCode="General">
                  <c:v>-0.94131134615100465</c:v>
                </c:pt>
                <c:pt idx="740" formatCode="General">
                  <c:v>-0.877427946987548</c:v>
                </c:pt>
                <c:pt idx="741" formatCode="General">
                  <c:v>-0.79615431358008049</c:v>
                </c:pt>
                <c:pt idx="742" formatCode="General">
                  <c:v>-0.81143148931423981</c:v>
                </c:pt>
                <c:pt idx="743" formatCode="General">
                  <c:v>-0.78709468113705772</c:v>
                </c:pt>
                <c:pt idx="744" formatCode="General">
                  <c:v>-0.83016451932248458</c:v>
                </c:pt>
                <c:pt idx="745" formatCode="General">
                  <c:v>-0.86649282156960605</c:v>
                </c:pt>
                <c:pt idx="746" formatCode="General">
                  <c:v>-0.80742159348744535</c:v>
                </c:pt>
                <c:pt idx="747" formatCode="General">
                  <c:v>-0.79255182871509577</c:v>
                </c:pt>
                <c:pt idx="748" formatCode="General">
                  <c:v>-0.85726453880657316</c:v>
                </c:pt>
                <c:pt idx="749" formatCode="General">
                  <c:v>-0.82787334106256583</c:v>
                </c:pt>
                <c:pt idx="750" formatCode="General">
                  <c:v>-0.83005032727658268</c:v>
                </c:pt>
                <c:pt idx="751" formatCode="General">
                  <c:v>-0.74993678177658063</c:v>
                </c:pt>
                <c:pt idx="752" formatCode="General">
                  <c:v>-0.70818838410397844</c:v>
                </c:pt>
                <c:pt idx="753" formatCode="General">
                  <c:v>-0.71820724579279283</c:v>
                </c:pt>
                <c:pt idx="754" formatCode="General">
                  <c:v>-0.75455625223095235</c:v>
                </c:pt>
                <c:pt idx="755" formatCode="General">
                  <c:v>-0.71582999387751056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BA-4325-941C-D38A854DE09B}"/>
            </c:ext>
          </c:extLst>
        </c:ser>
        <c:ser>
          <c:idx val="1"/>
          <c:order val="1"/>
          <c:spPr>
            <a:ln w="12700"/>
          </c:spPr>
          <c:marker>
            <c:symbol val="none"/>
          </c:marker>
          <c:val>
            <c:numRef>
              <c:f>Sheet1!$K$13:$K$768</c:f>
              <c:numCache>
                <c:formatCode>0.00_ </c:formatCode>
                <c:ptCount val="756"/>
                <c:pt idx="0">
                  <c:v>0.64833275180123962</c:v>
                </c:pt>
                <c:pt idx="1">
                  <c:v>0.62033383574387679</c:v>
                </c:pt>
                <c:pt idx="2">
                  <c:v>0.58524068420486952</c:v>
                </c:pt>
                <c:pt idx="3">
                  <c:v>0.62773218001863318</c:v>
                </c:pt>
                <c:pt idx="4">
                  <c:v>0.51107844802713465</c:v>
                </c:pt>
                <c:pt idx="5">
                  <c:v>0.51836479357069609</c:v>
                </c:pt>
                <c:pt idx="6">
                  <c:v>0.61889588394157669</c:v>
                </c:pt>
                <c:pt idx="7">
                  <c:v>0.74094316009814432</c:v>
                </c:pt>
                <c:pt idx="8">
                  <c:v>0.80187292692080803</c:v>
                </c:pt>
                <c:pt idx="9">
                  <c:v>0.73040781855166093</c:v>
                </c:pt>
                <c:pt idx="10">
                  <c:v>0.75940330722761551</c:v>
                </c:pt>
                <c:pt idx="11">
                  <c:v>0.90891418545872815</c:v>
                </c:pt>
                <c:pt idx="12">
                  <c:v>0.81492598677228412</c:v>
                </c:pt>
                <c:pt idx="13">
                  <c:v>0.87988496948329198</c:v>
                </c:pt>
                <c:pt idx="14">
                  <c:v>0.76300372862700605</c:v>
                </c:pt>
                <c:pt idx="15">
                  <c:v>0.75111527162308123</c:v>
                </c:pt>
                <c:pt idx="16">
                  <c:v>0.69118682548723098</c:v>
                </c:pt>
                <c:pt idx="17">
                  <c:v>0.65706255487254517</c:v>
                </c:pt>
                <c:pt idx="18">
                  <c:v>0.60548063717943212</c:v>
                </c:pt>
                <c:pt idx="19">
                  <c:v>0.80171399039211122</c:v>
                </c:pt>
                <c:pt idx="20">
                  <c:v>0.91972811943905186</c:v>
                </c:pt>
                <c:pt idx="21">
                  <c:v>1.0182874327953799</c:v>
                </c:pt>
                <c:pt idx="22">
                  <c:v>0.97657161262552028</c:v>
                </c:pt>
                <c:pt idx="23">
                  <c:v>0.71726859057095338</c:v>
                </c:pt>
                <c:pt idx="24">
                  <c:v>0.7679358693377496</c:v>
                </c:pt>
                <c:pt idx="25">
                  <c:v>0.85839518594738928</c:v>
                </c:pt>
                <c:pt idx="26">
                  <c:v>0.88667012230958864</c:v>
                </c:pt>
                <c:pt idx="27">
                  <c:v>1.1643320894081588</c:v>
                </c:pt>
                <c:pt idx="28">
                  <c:v>1.2873884646888933</c:v>
                </c:pt>
                <c:pt idx="29">
                  <c:v>1.2029210936688588</c:v>
                </c:pt>
                <c:pt idx="30">
                  <c:v>1.0451609068429064</c:v>
                </c:pt>
                <c:pt idx="31">
                  <c:v>1.0214903214060016</c:v>
                </c:pt>
                <c:pt idx="32">
                  <c:v>0.96942947472553698</c:v>
                </c:pt>
                <c:pt idx="33">
                  <c:v>1.0179716283272666</c:v>
                </c:pt>
                <c:pt idx="34">
                  <c:v>1.0785708909047311</c:v>
                </c:pt>
                <c:pt idx="35">
                  <c:v>1.1001113168161041</c:v>
                </c:pt>
                <c:pt idx="36">
                  <c:v>1.067433588366852</c:v>
                </c:pt>
                <c:pt idx="37">
                  <c:v>0.97881542948107914</c:v>
                </c:pt>
                <c:pt idx="38">
                  <c:v>0.89063261780522274</c:v>
                </c:pt>
                <c:pt idx="39">
                  <c:v>1.1348013727447515</c:v>
                </c:pt>
                <c:pt idx="40">
                  <c:v>1.3432753519761849</c:v>
                </c:pt>
                <c:pt idx="41">
                  <c:v>1.3858357233478669</c:v>
                </c:pt>
                <c:pt idx="42">
                  <c:v>1.2890445669364043</c:v>
                </c:pt>
                <c:pt idx="43">
                  <c:v>1.3175436984475783</c:v>
                </c:pt>
                <c:pt idx="44">
                  <c:v>1.3516638896528932</c:v>
                </c:pt>
                <c:pt idx="45">
                  <c:v>1.3790232174890797</c:v>
                </c:pt>
                <c:pt idx="46">
                  <c:v>1.6697133590903221</c:v>
                </c:pt>
                <c:pt idx="47">
                  <c:v>1.477915630712056</c:v>
                </c:pt>
                <c:pt idx="48">
                  <c:v>1.5052088609563019</c:v>
                </c:pt>
                <c:pt idx="49">
                  <c:v>1.4972070402448898</c:v>
                </c:pt>
                <c:pt idx="50">
                  <c:v>1.6199984797186331</c:v>
                </c:pt>
                <c:pt idx="51">
                  <c:v>1.5146710742993015</c:v>
                </c:pt>
                <c:pt idx="52">
                  <c:v>1.4720610561603973</c:v>
                </c:pt>
                <c:pt idx="53">
                  <c:v>1.6284603439648089</c:v>
                </c:pt>
                <c:pt idx="54">
                  <c:v>1.7160298217077572</c:v>
                </c:pt>
                <c:pt idx="55">
                  <c:v>1.6450585838456417</c:v>
                </c:pt>
                <c:pt idx="56">
                  <c:v>1.6112523825094787</c:v>
                </c:pt>
                <c:pt idx="57">
                  <c:v>1.735063111100861</c:v>
                </c:pt>
                <c:pt idx="58">
                  <c:v>1.7832510719932024</c:v>
                </c:pt>
                <c:pt idx="59">
                  <c:v>1.8038965677703842</c:v>
                </c:pt>
                <c:pt idx="60">
                  <c:v>1.7601581553207148</c:v>
                </c:pt>
                <c:pt idx="61">
                  <c:v>1.7974983432874416</c:v>
                </c:pt>
                <c:pt idx="62">
                  <c:v>1.6880865658642847</c:v>
                </c:pt>
                <c:pt idx="63">
                  <c:v>1.817848917871806</c:v>
                </c:pt>
                <c:pt idx="64">
                  <c:v>1.936695242494479</c:v>
                </c:pt>
                <c:pt idx="65">
                  <c:v>1.9198792021920779</c:v>
                </c:pt>
                <c:pt idx="66">
                  <c:v>2.1959354151966441</c:v>
                </c:pt>
                <c:pt idx="67">
                  <c:v>2.0982021315676893</c:v>
                </c:pt>
                <c:pt idx="68">
                  <c:v>2.1483066157934694</c:v>
                </c:pt>
                <c:pt idx="69">
                  <c:v>2.2728678135584657</c:v>
                </c:pt>
                <c:pt idx="70">
                  <c:v>2.162871113001712</c:v>
                </c:pt>
                <c:pt idx="71">
                  <c:v>2.2168377651519107</c:v>
                </c:pt>
                <c:pt idx="72">
                  <c:v>2.2745258009280058</c:v>
                </c:pt>
                <c:pt idx="73">
                  <c:v>2.236877701177717</c:v>
                </c:pt>
                <c:pt idx="74">
                  <c:v>2.145542669052753</c:v>
                </c:pt>
                <c:pt idx="75">
                  <c:v>1.9472404073120373</c:v>
                </c:pt>
                <c:pt idx="76">
                  <c:v>2.0262660248723949</c:v>
                </c:pt>
                <c:pt idx="77">
                  <c:v>2.0607215430204833</c:v>
                </c:pt>
                <c:pt idx="78">
                  <c:v>1.7747121259787755</c:v>
                </c:pt>
                <c:pt idx="79">
                  <c:v>1.7173501103622166</c:v>
                </c:pt>
                <c:pt idx="80">
                  <c:v>1.8434284910708203</c:v>
                </c:pt>
                <c:pt idx="81">
                  <c:v>1.9827684899558879</c:v>
                </c:pt>
                <c:pt idx="82">
                  <c:v>1.9377394195237032</c:v>
                </c:pt>
                <c:pt idx="83">
                  <c:v>1.8187454030678707</c:v>
                </c:pt>
                <c:pt idx="84">
                  <c:v>1.6513519132107368</c:v>
                </c:pt>
                <c:pt idx="85">
                  <c:v>1.5047191714642176</c:v>
                </c:pt>
                <c:pt idx="86">
                  <c:v>1.6707218698105861</c:v>
                </c:pt>
                <c:pt idx="87">
                  <c:v>1.640460349023702</c:v>
                </c:pt>
                <c:pt idx="88">
                  <c:v>1.6682574650168063</c:v>
                </c:pt>
                <c:pt idx="89">
                  <c:v>1.682087566466024</c:v>
                </c:pt>
                <c:pt idx="90">
                  <c:v>1.5942840282920712</c:v>
                </c:pt>
                <c:pt idx="91">
                  <c:v>1.6953918194009505</c:v>
                </c:pt>
                <c:pt idx="92">
                  <c:v>1.7364760419440972</c:v>
                </c:pt>
                <c:pt idx="93">
                  <c:v>1.6388384229462198</c:v>
                </c:pt>
                <c:pt idx="94">
                  <c:v>1.6802701513468736</c:v>
                </c:pt>
                <c:pt idx="95">
                  <c:v>1.4364528201457545</c:v>
                </c:pt>
                <c:pt idx="96">
                  <c:v>1.400056983439139</c:v>
                </c:pt>
                <c:pt idx="97">
                  <c:v>1.4739997872806634</c:v>
                </c:pt>
                <c:pt idx="98">
                  <c:v>1.4145867941966588</c:v>
                </c:pt>
                <c:pt idx="99">
                  <c:v>1.4347466562336868</c:v>
                </c:pt>
                <c:pt idx="100">
                  <c:v>1.4213068277607313</c:v>
                </c:pt>
                <c:pt idx="101">
                  <c:v>1.4906836506694325</c:v>
                </c:pt>
                <c:pt idx="102">
                  <c:v>1.3496002865911509</c:v>
                </c:pt>
                <c:pt idx="103">
                  <c:v>1.2683198196221084</c:v>
                </c:pt>
                <c:pt idx="104">
                  <c:v>1.4888568530363899</c:v>
                </c:pt>
                <c:pt idx="105">
                  <c:v>1.2764135301496859</c:v>
                </c:pt>
                <c:pt idx="106">
                  <c:v>1.6333674461354755</c:v>
                </c:pt>
                <c:pt idx="107">
                  <c:v>1.5608819618161531</c:v>
                </c:pt>
                <c:pt idx="108">
                  <c:v>1.6588247661734095</c:v>
                </c:pt>
                <c:pt idx="109">
                  <c:v>1.7450241467159562</c:v>
                </c:pt>
                <c:pt idx="110">
                  <c:v>1.7256170881689046</c:v>
                </c:pt>
                <c:pt idx="111">
                  <c:v>1.7220295870035067</c:v>
                </c:pt>
                <c:pt idx="112">
                  <c:v>1.628415462022877</c:v>
                </c:pt>
                <c:pt idx="113">
                  <c:v>1.4828456704846378</c:v>
                </c:pt>
                <c:pt idx="114">
                  <c:v>1.3218556405737532</c:v>
                </c:pt>
                <c:pt idx="115">
                  <c:v>1.1406937218922419</c:v>
                </c:pt>
                <c:pt idx="116">
                  <c:v>1.1094794222994586</c:v>
                </c:pt>
                <c:pt idx="117">
                  <c:v>1.1427311974109002</c:v>
                </c:pt>
                <c:pt idx="118">
                  <c:v>1.005025727442848</c:v>
                </c:pt>
                <c:pt idx="119">
                  <c:v>0.99973373931432119</c:v>
                </c:pt>
                <c:pt idx="120">
                  <c:v>1.0162856026428491</c:v>
                </c:pt>
                <c:pt idx="121">
                  <c:v>0.84785116872999799</c:v>
                </c:pt>
                <c:pt idx="122">
                  <c:v>0.89191716163452717</c:v>
                </c:pt>
                <c:pt idx="123">
                  <c:v>0.75685957061598463</c:v>
                </c:pt>
                <c:pt idx="124">
                  <c:v>0.93147463620469595</c:v>
                </c:pt>
                <c:pt idx="125">
                  <c:v>0.79384219499774133</c:v>
                </c:pt>
                <c:pt idx="126">
                  <c:v>0.87282255374920226</c:v>
                </c:pt>
                <c:pt idx="127">
                  <c:v>0.81096614266727896</c:v>
                </c:pt>
                <c:pt idx="128">
                  <c:v>0.73576800813756049</c:v>
                </c:pt>
                <c:pt idx="129">
                  <c:v>0.56451530211528944</c:v>
                </c:pt>
                <c:pt idx="130">
                  <c:v>0.28806041355001261</c:v>
                </c:pt>
                <c:pt idx="131">
                  <c:v>0.14549723007945847</c:v>
                </c:pt>
                <c:pt idx="132">
                  <c:v>0.19741962517130449</c:v>
                </c:pt>
                <c:pt idx="133">
                  <c:v>0.45699587455112106</c:v>
                </c:pt>
                <c:pt idx="134">
                  <c:v>0.33861137995990853</c:v>
                </c:pt>
                <c:pt idx="135">
                  <c:v>0.45551807805155392</c:v>
                </c:pt>
                <c:pt idx="136">
                  <c:v>0.35737100200698801</c:v>
                </c:pt>
                <c:pt idx="137">
                  <c:v>0.37425538185152063</c:v>
                </c:pt>
                <c:pt idx="138">
                  <c:v>0.40254166157815402</c:v>
                </c:pt>
                <c:pt idx="139">
                  <c:v>0.47321027699927098</c:v>
                </c:pt>
                <c:pt idx="140">
                  <c:v>0.65984140207903963</c:v>
                </c:pt>
                <c:pt idx="141">
                  <c:v>0.63451434903163861</c:v>
                </c:pt>
                <c:pt idx="142">
                  <c:v>0.65130503214106272</c:v>
                </c:pt>
                <c:pt idx="143">
                  <c:v>0.74519818613766953</c:v>
                </c:pt>
                <c:pt idx="144">
                  <c:v>0.66486013567302304</c:v>
                </c:pt>
                <c:pt idx="145">
                  <c:v>0.64510327407723989</c:v>
                </c:pt>
                <c:pt idx="146">
                  <c:v>0.5969629572150702</c:v>
                </c:pt>
                <c:pt idx="147">
                  <c:v>0.49987931721171364</c:v>
                </c:pt>
                <c:pt idx="148">
                  <c:v>0.43566203714461482</c:v>
                </c:pt>
                <c:pt idx="149">
                  <c:v>0.51155688532204069</c:v>
                </c:pt>
                <c:pt idx="150">
                  <c:v>0.5171942703972181</c:v>
                </c:pt>
                <c:pt idx="151">
                  <c:v>0.60526051593516428</c:v>
                </c:pt>
                <c:pt idx="152">
                  <c:v>0.62483885860450183</c:v>
                </c:pt>
                <c:pt idx="153">
                  <c:v>0.68345636981802493</c:v>
                </c:pt>
                <c:pt idx="154">
                  <c:v>0.53927734715225017</c:v>
                </c:pt>
                <c:pt idx="155">
                  <c:v>0.5740461968299535</c:v>
                </c:pt>
                <c:pt idx="156">
                  <c:v>0.59136360201492055</c:v>
                </c:pt>
                <c:pt idx="157">
                  <c:v>0.6482676456893266</c:v>
                </c:pt>
                <c:pt idx="158">
                  <c:v>0.65894980823396798</c:v>
                </c:pt>
                <c:pt idx="159">
                  <c:v>0.72115400955800368</c:v>
                </c:pt>
                <c:pt idx="160">
                  <c:v>0.80811835281348632</c:v>
                </c:pt>
                <c:pt idx="161">
                  <c:v>0.81091224135776907</c:v>
                </c:pt>
                <c:pt idx="162">
                  <c:v>0.74317915000390067</c:v>
                </c:pt>
                <c:pt idx="163">
                  <c:v>0.84083423645030309</c:v>
                </c:pt>
                <c:pt idx="164">
                  <c:v>0.95660446999300575</c:v>
                </c:pt>
                <c:pt idx="165">
                  <c:v>0.69959577574857934</c:v>
                </c:pt>
                <c:pt idx="166">
                  <c:v>0.67901066001031796</c:v>
                </c:pt>
                <c:pt idx="167">
                  <c:v>0.79799117818131726</c:v>
                </c:pt>
                <c:pt idx="168">
                  <c:v>0.81744218787794132</c:v>
                </c:pt>
                <c:pt idx="169">
                  <c:v>0.79313198902019111</c:v>
                </c:pt>
                <c:pt idx="170">
                  <c:v>0.76173011664494583</c:v>
                </c:pt>
                <c:pt idx="171">
                  <c:v>0.75305564387006441</c:v>
                </c:pt>
                <c:pt idx="172">
                  <c:v>0.77804010817863389</c:v>
                </c:pt>
                <c:pt idx="173">
                  <c:v>0.91296242459251908</c:v>
                </c:pt>
                <c:pt idx="174">
                  <c:v>0.97001455540645243</c:v>
                </c:pt>
                <c:pt idx="175">
                  <c:v>0.98780801054963419</c:v>
                </c:pt>
                <c:pt idx="176">
                  <c:v>1.0762826930844493</c:v>
                </c:pt>
                <c:pt idx="177">
                  <c:v>0.9695827082976739</c:v>
                </c:pt>
                <c:pt idx="178">
                  <c:v>0.87895381473305034</c:v>
                </c:pt>
                <c:pt idx="179">
                  <c:v>0.90956176667169575</c:v>
                </c:pt>
                <c:pt idx="180">
                  <c:v>0.81077429824623215</c:v>
                </c:pt>
                <c:pt idx="181">
                  <c:v>0.85465724643945229</c:v>
                </c:pt>
                <c:pt idx="182">
                  <c:v>0.81707310531612576</c:v>
                </c:pt>
                <c:pt idx="183">
                  <c:v>0.83080948271458721</c:v>
                </c:pt>
                <c:pt idx="184">
                  <c:v>0.92606445038044194</c:v>
                </c:pt>
                <c:pt idx="185">
                  <c:v>0.99706547209232121</c:v>
                </c:pt>
                <c:pt idx="186">
                  <c:v>1.0691898315583324</c:v>
                </c:pt>
                <c:pt idx="187">
                  <c:v>1.1293690787448873</c:v>
                </c:pt>
                <c:pt idx="188">
                  <c:v>1.1795467691061146</c:v>
                </c:pt>
                <c:pt idx="189">
                  <c:v>1.0650590871945358</c:v>
                </c:pt>
                <c:pt idx="190">
                  <c:v>1.0101465367744993</c:v>
                </c:pt>
                <c:pt idx="191">
                  <c:v>1.0984922183419796</c:v>
                </c:pt>
                <c:pt idx="192">
                  <c:v>0.91194123818398787</c:v>
                </c:pt>
                <c:pt idx="193">
                  <c:v>0.89386086721435587</c:v>
                </c:pt>
                <c:pt idx="194">
                  <c:v>0.87247143043374231</c:v>
                </c:pt>
                <c:pt idx="195">
                  <c:v>0.77351451550891037</c:v>
                </c:pt>
                <c:pt idx="196">
                  <c:v>0.6549376130815483</c:v>
                </c:pt>
                <c:pt idx="197">
                  <c:v>0.86562489181214031</c:v>
                </c:pt>
                <c:pt idx="198">
                  <c:v>0.87967431961001552</c:v>
                </c:pt>
                <c:pt idx="199">
                  <c:v>0.87344010123072047</c:v>
                </c:pt>
                <c:pt idx="200">
                  <c:v>0.80639528929479543</c:v>
                </c:pt>
                <c:pt idx="201">
                  <c:v>0.86842368810079251</c:v>
                </c:pt>
                <c:pt idx="202">
                  <c:v>0.86591026815405947</c:v>
                </c:pt>
                <c:pt idx="203">
                  <c:v>0.99837748092050815</c:v>
                </c:pt>
                <c:pt idx="204">
                  <c:v>1.120845778807112</c:v>
                </c:pt>
                <c:pt idx="205">
                  <c:v>1.0950088590438101</c:v>
                </c:pt>
                <c:pt idx="206">
                  <c:v>1.2538703820569261</c:v>
                </c:pt>
                <c:pt idx="207">
                  <c:v>1.4490053991194507</c:v>
                </c:pt>
                <c:pt idx="208">
                  <c:v>1.3877602869384218</c:v>
                </c:pt>
                <c:pt idx="209">
                  <c:v>1.3522058127217313</c:v>
                </c:pt>
                <c:pt idx="210">
                  <c:v>1.1907996689764124</c:v>
                </c:pt>
                <c:pt idx="211">
                  <c:v>1.3334284470957767</c:v>
                </c:pt>
                <c:pt idx="212">
                  <c:v>1.3181324627474142</c:v>
                </c:pt>
                <c:pt idx="213">
                  <c:v>1.4117855250705589</c:v>
                </c:pt>
                <c:pt idx="214">
                  <c:v>1.2276717042437566</c:v>
                </c:pt>
                <c:pt idx="215">
                  <c:v>1.0646684065683611</c:v>
                </c:pt>
                <c:pt idx="216">
                  <c:v>1.0750113209284216</c:v>
                </c:pt>
                <c:pt idx="217">
                  <c:v>1.0277507732955951</c:v>
                </c:pt>
                <c:pt idx="218">
                  <c:v>1.311680028915102</c:v>
                </c:pt>
                <c:pt idx="219">
                  <c:v>1.3341018729169247</c:v>
                </c:pt>
                <c:pt idx="220">
                  <c:v>1.387510412573804</c:v>
                </c:pt>
                <c:pt idx="221">
                  <c:v>1.4587256410342886</c:v>
                </c:pt>
                <c:pt idx="222">
                  <c:v>1.4891121826149767</c:v>
                </c:pt>
                <c:pt idx="223">
                  <c:v>1.5303992808632696</c:v>
                </c:pt>
                <c:pt idx="224">
                  <c:v>1.5317143752149429</c:v>
                </c:pt>
                <c:pt idx="225">
                  <c:v>1.7935939034950112</c:v>
                </c:pt>
                <c:pt idx="226">
                  <c:v>1.8124088510449261</c:v>
                </c:pt>
                <c:pt idx="227">
                  <c:v>1.7529330902881084</c:v>
                </c:pt>
                <c:pt idx="228">
                  <c:v>1.8561539684210626</c:v>
                </c:pt>
                <c:pt idx="229">
                  <c:v>1.7295490210624223</c:v>
                </c:pt>
                <c:pt idx="230">
                  <c:v>1.6767184722274333</c:v>
                </c:pt>
                <c:pt idx="231">
                  <c:v>1.8202043911846006</c:v>
                </c:pt>
                <c:pt idx="232">
                  <c:v>1.8332831357952855</c:v>
                </c:pt>
                <c:pt idx="233">
                  <c:v>1.8888063656942757</c:v>
                </c:pt>
                <c:pt idx="234">
                  <c:v>1.8454271391083128</c:v>
                </c:pt>
                <c:pt idx="235">
                  <c:v>1.7333741400964777</c:v>
                </c:pt>
                <c:pt idx="236">
                  <c:v>1.5189641546363573</c:v>
                </c:pt>
                <c:pt idx="237">
                  <c:v>1.3839234920223142</c:v>
                </c:pt>
                <c:pt idx="238">
                  <c:v>1.4029117004586182</c:v>
                </c:pt>
                <c:pt idx="239">
                  <c:v>1.3301113665080277</c:v>
                </c:pt>
                <c:pt idx="240">
                  <c:v>1.1601676374798018</c:v>
                </c:pt>
                <c:pt idx="241">
                  <c:v>1.1072654506273203</c:v>
                </c:pt>
                <c:pt idx="242">
                  <c:v>0.9898782788533419</c:v>
                </c:pt>
                <c:pt idx="243">
                  <c:v>0.80754948230473111</c:v>
                </c:pt>
                <c:pt idx="244">
                  <c:v>0.66093479858391058</c:v>
                </c:pt>
                <c:pt idx="245">
                  <c:v>0.53483270450161313</c:v>
                </c:pt>
                <c:pt idx="246">
                  <c:v>0.58999290656905068</c:v>
                </c:pt>
                <c:pt idx="247">
                  <c:v>0.59376586356223748</c:v>
                </c:pt>
                <c:pt idx="248">
                  <c:v>0.48197153919310248</c:v>
                </c:pt>
                <c:pt idx="249">
                  <c:v>0.58809898892892598</c:v>
                </c:pt>
                <c:pt idx="250">
                  <c:v>0.83837902558336264</c:v>
                </c:pt>
                <c:pt idx="251">
                  <c:v>0.78163869847043832</c:v>
                </c:pt>
                <c:pt idx="252">
                  <c:v>0.83836568787268906</c:v>
                </c:pt>
                <c:pt idx="253">
                  <c:v>0.87671620390147775</c:v>
                </c:pt>
                <c:pt idx="254">
                  <c:v>0.82289362425643031</c:v>
                </c:pt>
                <c:pt idx="255">
                  <c:v>0.80943397603137035</c:v>
                </c:pt>
                <c:pt idx="256">
                  <c:v>0.69549791882514789</c:v>
                </c:pt>
                <c:pt idx="257">
                  <c:v>0.69942690788668282</c:v>
                </c:pt>
                <c:pt idx="258">
                  <c:v>0.59845181703351857</c:v>
                </c:pt>
                <c:pt idx="259">
                  <c:v>0.59681715909176347</c:v>
                </c:pt>
                <c:pt idx="260">
                  <c:v>0.420134209088251</c:v>
                </c:pt>
                <c:pt idx="261">
                  <c:v>0.50133517861741972</c:v>
                </c:pt>
                <c:pt idx="262">
                  <c:v>0.44988337773697101</c:v>
                </c:pt>
                <c:pt idx="263">
                  <c:v>0.42630791508708404</c:v>
                </c:pt>
                <c:pt idx="264">
                  <c:v>0.51668823134771424</c:v>
                </c:pt>
                <c:pt idx="265">
                  <c:v>0.58812068774506732</c:v>
                </c:pt>
                <c:pt idx="266">
                  <c:v>0.46985783441619156</c:v>
                </c:pt>
                <c:pt idx="267">
                  <c:v>0.4821836727921302</c:v>
                </c:pt>
                <c:pt idx="268">
                  <c:v>0.44949994817945799</c:v>
                </c:pt>
                <c:pt idx="269">
                  <c:v>0.45568529757831183</c:v>
                </c:pt>
                <c:pt idx="270">
                  <c:v>0.69056852296520521</c:v>
                </c:pt>
                <c:pt idx="271">
                  <c:v>0.76482271022322001</c:v>
                </c:pt>
                <c:pt idx="272">
                  <c:v>0.70822017444815133</c:v>
                </c:pt>
                <c:pt idx="273">
                  <c:v>0.67568553716086177</c:v>
                </c:pt>
                <c:pt idx="274">
                  <c:v>0.74150197207144297</c:v>
                </c:pt>
                <c:pt idx="275">
                  <c:v>0.71553387518453737</c:v>
                </c:pt>
                <c:pt idx="276">
                  <c:v>0.69431503539338169</c:v>
                </c:pt>
                <c:pt idx="277">
                  <c:v>0.55143517713001067</c:v>
                </c:pt>
                <c:pt idx="278">
                  <c:v>0.59066752848328152</c:v>
                </c:pt>
                <c:pt idx="279">
                  <c:v>0.50067500973765144</c:v>
                </c:pt>
                <c:pt idx="280">
                  <c:v>0.55441292921242136</c:v>
                </c:pt>
                <c:pt idx="281">
                  <c:v>0.55453757328617803</c:v>
                </c:pt>
                <c:pt idx="282">
                  <c:v>0.34575698365147794</c:v>
                </c:pt>
                <c:pt idx="283">
                  <c:v>0.31693638387231032</c:v>
                </c:pt>
                <c:pt idx="284">
                  <c:v>0.54860344926468574</c:v>
                </c:pt>
                <c:pt idx="285">
                  <c:v>0.51658513562219255</c:v>
                </c:pt>
                <c:pt idx="286">
                  <c:v>0.65400437241608578</c:v>
                </c:pt>
                <c:pt idx="287">
                  <c:v>0.68570528538473241</c:v>
                </c:pt>
                <c:pt idx="288">
                  <c:v>0.66181638962005351</c:v>
                </c:pt>
                <c:pt idx="289">
                  <c:v>0.54753667919611815</c:v>
                </c:pt>
                <c:pt idx="290">
                  <c:v>0.46821945089834788</c:v>
                </c:pt>
                <c:pt idx="291">
                  <c:v>0.34110464647394634</c:v>
                </c:pt>
                <c:pt idx="292">
                  <c:v>0.22287702643361648</c:v>
                </c:pt>
                <c:pt idx="293">
                  <c:v>0.10428276158739112</c:v>
                </c:pt>
                <c:pt idx="294">
                  <c:v>0.16902186732615671</c:v>
                </c:pt>
                <c:pt idx="295">
                  <c:v>0.11805120970250543</c:v>
                </c:pt>
                <c:pt idx="296">
                  <c:v>7.4759648936264078E-2</c:v>
                </c:pt>
                <c:pt idx="297">
                  <c:v>-0.12711977429851695</c:v>
                </c:pt>
                <c:pt idx="298">
                  <c:v>8.4038656096278447E-2</c:v>
                </c:pt>
                <c:pt idx="299">
                  <c:v>4.8275331828562654E-2</c:v>
                </c:pt>
                <c:pt idx="300">
                  <c:v>-9.1672904167212268E-3</c:v>
                </c:pt>
                <c:pt idx="301">
                  <c:v>-5.6206562822201855E-3</c:v>
                </c:pt>
                <c:pt idx="302">
                  <c:v>-6.2774916860297333E-2</c:v>
                </c:pt>
                <c:pt idx="303">
                  <c:v>-1.9006177478816198E-2</c:v>
                </c:pt>
                <c:pt idx="304">
                  <c:v>-9.0158580143321121E-2</c:v>
                </c:pt>
                <c:pt idx="305">
                  <c:v>-3.5149934054183603E-2</c:v>
                </c:pt>
                <c:pt idx="306">
                  <c:v>0.31015225335570701</c:v>
                </c:pt>
                <c:pt idx="307">
                  <c:v>0.23560346231715992</c:v>
                </c:pt>
                <c:pt idx="308">
                  <c:v>0.31795175541336923</c:v>
                </c:pt>
                <c:pt idx="309">
                  <c:v>0.43116015694213017</c:v>
                </c:pt>
                <c:pt idx="310">
                  <c:v>0.20058854229297168</c:v>
                </c:pt>
                <c:pt idx="311">
                  <c:v>0.17152906907985369</c:v>
                </c:pt>
                <c:pt idx="312">
                  <c:v>0.16275595094014958</c:v>
                </c:pt>
                <c:pt idx="313">
                  <c:v>0.14209289800501321</c:v>
                </c:pt>
                <c:pt idx="314">
                  <c:v>0.1016251474064299</c:v>
                </c:pt>
                <c:pt idx="315">
                  <c:v>0.32898950324830784</c:v>
                </c:pt>
                <c:pt idx="316">
                  <c:v>0.41065166768985178</c:v>
                </c:pt>
                <c:pt idx="317">
                  <c:v>0.54161547223679607</c:v>
                </c:pt>
                <c:pt idx="318">
                  <c:v>0.55343936463658916</c:v>
                </c:pt>
                <c:pt idx="319">
                  <c:v>0.50188309761359173</c:v>
                </c:pt>
                <c:pt idx="320">
                  <c:v>0.51373308980714694</c:v>
                </c:pt>
                <c:pt idx="321">
                  <c:v>0.46855572766858677</c:v>
                </c:pt>
                <c:pt idx="322">
                  <c:v>0.410594012393867</c:v>
                </c:pt>
                <c:pt idx="323">
                  <c:v>0.34423176640135111</c:v>
                </c:pt>
                <c:pt idx="324">
                  <c:v>0.30975282102948537</c:v>
                </c:pt>
                <c:pt idx="325">
                  <c:v>0.28515474358062243</c:v>
                </c:pt>
                <c:pt idx="326">
                  <c:v>0.34506732591576961</c:v>
                </c:pt>
                <c:pt idx="327">
                  <c:v>0.42427900858737166</c:v>
                </c:pt>
                <c:pt idx="328">
                  <c:v>0.24112840100519611</c:v>
                </c:pt>
                <c:pt idx="329">
                  <c:v>0.32047169017133426</c:v>
                </c:pt>
                <c:pt idx="330">
                  <c:v>0.26341734710871617</c:v>
                </c:pt>
                <c:pt idx="331">
                  <c:v>0.32941439526143673</c:v>
                </c:pt>
                <c:pt idx="332">
                  <c:v>0.38361684466621876</c:v>
                </c:pt>
                <c:pt idx="333">
                  <c:v>0.39740306201560333</c:v>
                </c:pt>
                <c:pt idx="334">
                  <c:v>0.49351201863564076</c:v>
                </c:pt>
                <c:pt idx="335">
                  <c:v>0.4153925553176499</c:v>
                </c:pt>
                <c:pt idx="336">
                  <c:v>0.27221503447272838</c:v>
                </c:pt>
                <c:pt idx="337">
                  <c:v>0.30830243629254411</c:v>
                </c:pt>
                <c:pt idx="338">
                  <c:v>0.22929695487424867</c:v>
                </c:pt>
                <c:pt idx="339">
                  <c:v>0.28737853226428905</c:v>
                </c:pt>
                <c:pt idx="340">
                  <c:v>0.26212413540104834</c:v>
                </c:pt>
                <c:pt idx="341">
                  <c:v>0.33628476962304504</c:v>
                </c:pt>
                <c:pt idx="342">
                  <c:v>0.2345157078034146</c:v>
                </c:pt>
                <c:pt idx="343">
                  <c:v>0.17915553649915911</c:v>
                </c:pt>
                <c:pt idx="344">
                  <c:v>0.23150027910573223</c:v>
                </c:pt>
                <c:pt idx="345">
                  <c:v>3.4584312995504352E-2</c:v>
                </c:pt>
                <c:pt idx="346">
                  <c:v>-5.1708932640351063E-2</c:v>
                </c:pt>
                <c:pt idx="347">
                  <c:v>-0.10111466029856742</c:v>
                </c:pt>
                <c:pt idx="348">
                  <c:v>-9.9978303731376783E-2</c:v>
                </c:pt>
                <c:pt idx="349">
                  <c:v>-8.8787589893165542E-2</c:v>
                </c:pt>
                <c:pt idx="350">
                  <c:v>-0.106759222803941</c:v>
                </c:pt>
                <c:pt idx="351">
                  <c:v>-3.655923195797451E-2</c:v>
                </c:pt>
                <c:pt idx="352">
                  <c:v>1.1090144918050571E-2</c:v>
                </c:pt>
                <c:pt idx="353">
                  <c:v>-0.14092752502414033</c:v>
                </c:pt>
                <c:pt idx="354">
                  <c:v>-0.18202050428840991</c:v>
                </c:pt>
                <c:pt idx="355">
                  <c:v>-0.25421627071032443</c:v>
                </c:pt>
                <c:pt idx="356">
                  <c:v>-0.12780925953864558</c:v>
                </c:pt>
                <c:pt idx="357">
                  <c:v>1.2109791600761737E-3</c:v>
                </c:pt>
                <c:pt idx="358">
                  <c:v>3.3617208989472985E-2</c:v>
                </c:pt>
                <c:pt idx="359">
                  <c:v>-5.614415521011825E-2</c:v>
                </c:pt>
                <c:pt idx="360">
                  <c:v>-6.1613599290626944E-2</c:v>
                </c:pt>
                <c:pt idx="361">
                  <c:v>-0.13859712811823938</c:v>
                </c:pt>
                <c:pt idx="362">
                  <c:v>-0.20838783754009538</c:v>
                </c:pt>
                <c:pt idx="363">
                  <c:v>-0.30382052864946885</c:v>
                </c:pt>
                <c:pt idx="364">
                  <c:v>-0.45972510815339707</c:v>
                </c:pt>
                <c:pt idx="365">
                  <c:v>-0.34551271570827513</c:v>
                </c:pt>
                <c:pt idx="366">
                  <c:v>-0.28385352404030245</c:v>
                </c:pt>
                <c:pt idx="367">
                  <c:v>-0.25570770238007606</c:v>
                </c:pt>
                <c:pt idx="368">
                  <c:v>-0.36289312289278414</c:v>
                </c:pt>
                <c:pt idx="369">
                  <c:v>-0.38252865799700503</c:v>
                </c:pt>
                <c:pt idx="370">
                  <c:v>-0.33795658322975441</c:v>
                </c:pt>
                <c:pt idx="371">
                  <c:v>-0.4291886756762564</c:v>
                </c:pt>
                <c:pt idx="372">
                  <c:v>-0.43032873492924761</c:v>
                </c:pt>
                <c:pt idx="373">
                  <c:v>-0.27115756392533497</c:v>
                </c:pt>
                <c:pt idx="374">
                  <c:v>-0.32920923914263517</c:v>
                </c:pt>
                <c:pt idx="375">
                  <c:v>-0.45771791313631782</c:v>
                </c:pt>
                <c:pt idx="376">
                  <c:v>-0.36887537476468252</c:v>
                </c:pt>
                <c:pt idx="377">
                  <c:v>-0.36478009158635655</c:v>
                </c:pt>
                <c:pt idx="378">
                  <c:v>-0.30962732522343955</c:v>
                </c:pt>
                <c:pt idx="379">
                  <c:v>-0.27490255477564474</c:v>
                </c:pt>
                <c:pt idx="380">
                  <c:v>-0.36297030800980629</c:v>
                </c:pt>
                <c:pt idx="381">
                  <c:v>-0.32453854367809659</c:v>
                </c:pt>
                <c:pt idx="382">
                  <c:v>-0.19705395983630219</c:v>
                </c:pt>
                <c:pt idx="383">
                  <c:v>-0.23675208339323026</c:v>
                </c:pt>
                <c:pt idx="384">
                  <c:v>-0.31577960959139739</c:v>
                </c:pt>
                <c:pt idx="385">
                  <c:v>-0.26604445359786427</c:v>
                </c:pt>
                <c:pt idx="386">
                  <c:v>-0.21428434624622808</c:v>
                </c:pt>
                <c:pt idx="387">
                  <c:v>-0.30765167948289157</c:v>
                </c:pt>
                <c:pt idx="388">
                  <c:v>-0.42654029100141611</c:v>
                </c:pt>
                <c:pt idx="389">
                  <c:v>-0.31924298483186375</c:v>
                </c:pt>
                <c:pt idx="390">
                  <c:v>-0.29889735740917067</c:v>
                </c:pt>
                <c:pt idx="391">
                  <c:v>-0.27014587000097634</c:v>
                </c:pt>
                <c:pt idx="392">
                  <c:v>-0.23113725382547487</c:v>
                </c:pt>
                <c:pt idx="393">
                  <c:v>-0.18013951141496923</c:v>
                </c:pt>
                <c:pt idx="394">
                  <c:v>-0.31622016712820816</c:v>
                </c:pt>
                <c:pt idx="395">
                  <c:v>-0.32027904291040066</c:v>
                </c:pt>
                <c:pt idx="396">
                  <c:v>-0.31183060237767563</c:v>
                </c:pt>
                <c:pt idx="397">
                  <c:v>-0.23992916380350729</c:v>
                </c:pt>
                <c:pt idx="398">
                  <c:v>-0.27956100846461379</c:v>
                </c:pt>
                <c:pt idx="399">
                  <c:v>-0.32409633500589796</c:v>
                </c:pt>
                <c:pt idx="400" formatCode="General">
                  <c:v>-0.30447872786729085</c:v>
                </c:pt>
                <c:pt idx="401" formatCode="General">
                  <c:v>-0.38281057933239193</c:v>
                </c:pt>
                <c:pt idx="402" formatCode="General">
                  <c:v>-0.37545205363193818</c:v>
                </c:pt>
                <c:pt idx="403" formatCode="General">
                  <c:v>-0.31307503157334576</c:v>
                </c:pt>
                <c:pt idx="404" formatCode="General">
                  <c:v>-0.37129070084575738</c:v>
                </c:pt>
                <c:pt idx="405" formatCode="General">
                  <c:v>-0.31235037521332237</c:v>
                </c:pt>
                <c:pt idx="406" formatCode="General">
                  <c:v>-0.29032824834266147</c:v>
                </c:pt>
                <c:pt idx="407" formatCode="General">
                  <c:v>-0.37647413426720422</c:v>
                </c:pt>
                <c:pt idx="408" formatCode="General">
                  <c:v>-0.23866199473280045</c:v>
                </c:pt>
                <c:pt idx="409" formatCode="General">
                  <c:v>-0.38772679530302195</c:v>
                </c:pt>
                <c:pt idx="410" formatCode="General">
                  <c:v>-0.40850744359583957</c:v>
                </c:pt>
                <c:pt idx="411" formatCode="General">
                  <c:v>-0.45715201854299853</c:v>
                </c:pt>
                <c:pt idx="412" formatCode="General">
                  <c:v>-0.55302560492307706</c:v>
                </c:pt>
                <c:pt idx="413" formatCode="General">
                  <c:v>-0.58140775359242836</c:v>
                </c:pt>
                <c:pt idx="414" formatCode="General">
                  <c:v>-0.6175075996500492</c:v>
                </c:pt>
                <c:pt idx="415" formatCode="General">
                  <c:v>-0.7121364077967608</c:v>
                </c:pt>
                <c:pt idx="416" formatCode="General">
                  <c:v>-0.76389661940758302</c:v>
                </c:pt>
                <c:pt idx="417" formatCode="General">
                  <c:v>-0.74723332560107891</c:v>
                </c:pt>
                <c:pt idx="418" formatCode="General">
                  <c:v>-0.7122757926205181</c:v>
                </c:pt>
                <c:pt idx="419" formatCode="General">
                  <c:v>-0.71377994609377182</c:v>
                </c:pt>
                <c:pt idx="420" formatCode="General">
                  <c:v>-0.80582135881950645</c:v>
                </c:pt>
                <c:pt idx="421" formatCode="General">
                  <c:v>-0.79672242845212426</c:v>
                </c:pt>
                <c:pt idx="422" formatCode="General">
                  <c:v>-0.69259309971213523</c:v>
                </c:pt>
                <c:pt idx="423" formatCode="General">
                  <c:v>-0.70884014404024975</c:v>
                </c:pt>
                <c:pt idx="424" formatCode="General">
                  <c:v>-0.77644470620105122</c:v>
                </c:pt>
                <c:pt idx="425" formatCode="General">
                  <c:v>-0.78689334387273047</c:v>
                </c:pt>
                <c:pt idx="426" formatCode="General">
                  <c:v>-0.90250240795724113</c:v>
                </c:pt>
                <c:pt idx="427" formatCode="General">
                  <c:v>-0.92585036839889978</c:v>
                </c:pt>
                <c:pt idx="428" formatCode="General">
                  <c:v>-0.90485431708069997</c:v>
                </c:pt>
                <c:pt idx="429" formatCode="General">
                  <c:v>-0.91348871263836984</c:v>
                </c:pt>
                <c:pt idx="430" formatCode="General">
                  <c:v>-0.82660189579197441</c:v>
                </c:pt>
                <c:pt idx="431" formatCode="General">
                  <c:v>-0.86499694724129106</c:v>
                </c:pt>
                <c:pt idx="432" formatCode="General">
                  <c:v>-0.81047918825781884</c:v>
                </c:pt>
                <c:pt idx="433" formatCode="General">
                  <c:v>-0.86106289588220808</c:v>
                </c:pt>
                <c:pt idx="434" formatCode="General">
                  <c:v>-0.91177118785867806</c:v>
                </c:pt>
                <c:pt idx="435" formatCode="General">
                  <c:v>-0.83705045268152434</c:v>
                </c:pt>
                <c:pt idx="436" formatCode="General">
                  <c:v>-0.93099686258209757</c:v>
                </c:pt>
                <c:pt idx="437" formatCode="General">
                  <c:v>-0.95489942421739238</c:v>
                </c:pt>
                <c:pt idx="438" formatCode="General">
                  <c:v>-0.94601429117519942</c:v>
                </c:pt>
                <c:pt idx="439" formatCode="General">
                  <c:v>-0.90956802753686949</c:v>
                </c:pt>
                <c:pt idx="440" formatCode="General">
                  <c:v>-0.93767724079961956</c:v>
                </c:pt>
                <c:pt idx="441" formatCode="General">
                  <c:v>-0.80448205305280029</c:v>
                </c:pt>
                <c:pt idx="442" formatCode="General">
                  <c:v>-0.83767803640630234</c:v>
                </c:pt>
                <c:pt idx="443" formatCode="General">
                  <c:v>-0.87266485891026913</c:v>
                </c:pt>
                <c:pt idx="444" formatCode="General">
                  <c:v>-0.83559248056373359</c:v>
                </c:pt>
                <c:pt idx="445" formatCode="General">
                  <c:v>-1.027348192216204</c:v>
                </c:pt>
                <c:pt idx="446" formatCode="General">
                  <c:v>-1.0090628985718342</c:v>
                </c:pt>
                <c:pt idx="447" formatCode="General">
                  <c:v>-1.0242950456733462</c:v>
                </c:pt>
                <c:pt idx="448" formatCode="General">
                  <c:v>-1.0872733427106995</c:v>
                </c:pt>
                <c:pt idx="449" formatCode="General">
                  <c:v>-0.97464029640639627</c:v>
                </c:pt>
                <c:pt idx="450" formatCode="General">
                  <c:v>-0.96832579376779271</c:v>
                </c:pt>
                <c:pt idx="451" formatCode="General">
                  <c:v>-0.99184859499578082</c:v>
                </c:pt>
                <c:pt idx="452" formatCode="General">
                  <c:v>-1.0541284403771209</c:v>
                </c:pt>
                <c:pt idx="453" formatCode="General">
                  <c:v>-1.1088611506856967</c:v>
                </c:pt>
                <c:pt idx="454" formatCode="General">
                  <c:v>-1.0250933243128371</c:v>
                </c:pt>
                <c:pt idx="455" formatCode="General">
                  <c:v>-0.991060875736271</c:v>
                </c:pt>
                <c:pt idx="456" formatCode="General">
                  <c:v>-1.1119953849186952</c:v>
                </c:pt>
                <c:pt idx="457" formatCode="General">
                  <c:v>-1.0872440902933833</c:v>
                </c:pt>
                <c:pt idx="458" formatCode="General">
                  <c:v>-1.0963095916096803</c:v>
                </c:pt>
                <c:pt idx="459" formatCode="General">
                  <c:v>-1.0460877953694365</c:v>
                </c:pt>
                <c:pt idx="460" formatCode="General">
                  <c:v>-1.1039993257291516</c:v>
                </c:pt>
                <c:pt idx="461" formatCode="General">
                  <c:v>-1.1860520277858728</c:v>
                </c:pt>
                <c:pt idx="462" formatCode="General">
                  <c:v>-1.1660318565776842</c:v>
                </c:pt>
                <c:pt idx="463" formatCode="General">
                  <c:v>-1.3159351455388584</c:v>
                </c:pt>
                <c:pt idx="464" formatCode="General">
                  <c:v>-1.1808269258218038</c:v>
                </c:pt>
                <c:pt idx="465" formatCode="General">
                  <c:v>-1.0977245247484297</c:v>
                </c:pt>
                <c:pt idx="466" formatCode="General">
                  <c:v>-1.0305378707007817</c:v>
                </c:pt>
                <c:pt idx="467" formatCode="General">
                  <c:v>-1.0091653101077289</c:v>
                </c:pt>
                <c:pt idx="468" formatCode="General">
                  <c:v>-1.0868588154883876</c:v>
                </c:pt>
                <c:pt idx="469" formatCode="General">
                  <c:v>-1.1799855384848479</c:v>
                </c:pt>
                <c:pt idx="470" formatCode="General">
                  <c:v>-1.2376737456773894</c:v>
                </c:pt>
                <c:pt idx="471" formatCode="General">
                  <c:v>-1.1151464369946411</c:v>
                </c:pt>
                <c:pt idx="472" formatCode="General">
                  <c:v>-1.1853669319563327</c:v>
                </c:pt>
                <c:pt idx="473" formatCode="General">
                  <c:v>-1.1820774360360473</c:v>
                </c:pt>
                <c:pt idx="474" formatCode="General">
                  <c:v>-1.1229381538598335</c:v>
                </c:pt>
                <c:pt idx="475" formatCode="General">
                  <c:v>-1.1901407775487036</c:v>
                </c:pt>
                <c:pt idx="476" formatCode="General">
                  <c:v>-1.0909704417694119</c:v>
                </c:pt>
                <c:pt idx="477" formatCode="General">
                  <c:v>-1.0343162788263858</c:v>
                </c:pt>
                <c:pt idx="478" formatCode="General">
                  <c:v>-1.0708026096297409</c:v>
                </c:pt>
                <c:pt idx="479" formatCode="General">
                  <c:v>-1.0708773921736499</c:v>
                </c:pt>
                <c:pt idx="480" formatCode="General">
                  <c:v>-1.1423452097348343</c:v>
                </c:pt>
                <c:pt idx="481" formatCode="General">
                  <c:v>-1.0345055917501087</c:v>
                </c:pt>
                <c:pt idx="482" formatCode="General">
                  <c:v>-1.0372803363300034</c:v>
                </c:pt>
                <c:pt idx="483" formatCode="General">
                  <c:v>-1.1430764315971278</c:v>
                </c:pt>
                <c:pt idx="484" formatCode="General">
                  <c:v>-1.1164793390001893</c:v>
                </c:pt>
                <c:pt idx="485" formatCode="General">
                  <c:v>-1.2195831663852226</c:v>
                </c:pt>
                <c:pt idx="486" formatCode="General">
                  <c:v>-1.1732431191389585</c:v>
                </c:pt>
                <c:pt idx="487" formatCode="General">
                  <c:v>-1.0512947351601878</c:v>
                </c:pt>
                <c:pt idx="488" formatCode="General">
                  <c:v>-1.0484059941126807</c:v>
                </c:pt>
                <c:pt idx="489" formatCode="General">
                  <c:v>-1.03371883857865</c:v>
                </c:pt>
                <c:pt idx="490" formatCode="General">
                  <c:v>-1.0447161862725463</c:v>
                </c:pt>
                <c:pt idx="491" formatCode="General">
                  <c:v>-1.1254961941442718</c:v>
                </c:pt>
                <c:pt idx="492" formatCode="General">
                  <c:v>-1.092953308464172</c:v>
                </c:pt>
                <c:pt idx="493" formatCode="General">
                  <c:v>-1.2260113418723275</c:v>
                </c:pt>
                <c:pt idx="494" formatCode="General">
                  <c:v>-1.1689230460399329</c:v>
                </c:pt>
                <c:pt idx="495" formatCode="General">
                  <c:v>-1.1534507170426933</c:v>
                </c:pt>
                <c:pt idx="496" formatCode="General">
                  <c:v>-1.1767884579663102</c:v>
                </c:pt>
                <c:pt idx="497" formatCode="General">
                  <c:v>-1.2197749985454194</c:v>
                </c:pt>
                <c:pt idx="498" formatCode="General">
                  <c:v>-1.1883294800354354</c:v>
                </c:pt>
                <c:pt idx="499" formatCode="General">
                  <c:v>-1.2296352951745453</c:v>
                </c:pt>
                <c:pt idx="500" formatCode="General">
                  <c:v>-1.1994574837285994</c:v>
                </c:pt>
                <c:pt idx="501" formatCode="General">
                  <c:v>-1.2801189877898944</c:v>
                </c:pt>
                <c:pt idx="502" formatCode="General">
                  <c:v>-1.2161553247811439</c:v>
                </c:pt>
                <c:pt idx="503" formatCode="General">
                  <c:v>-1.2620772318903919</c:v>
                </c:pt>
                <c:pt idx="504" formatCode="General">
                  <c:v>-1.2045802879936984</c:v>
                </c:pt>
                <c:pt idx="505" formatCode="General">
                  <c:v>-1.1069772523230579</c:v>
                </c:pt>
                <c:pt idx="506" formatCode="General">
                  <c:v>-0.96240976126749267</c:v>
                </c:pt>
                <c:pt idx="507" formatCode="General">
                  <c:v>-1.0790460083763951</c:v>
                </c:pt>
                <c:pt idx="508" formatCode="General">
                  <c:v>-1.1202203052089608</c:v>
                </c:pt>
                <c:pt idx="509" formatCode="General">
                  <c:v>-1.0235647404994561</c:v>
                </c:pt>
                <c:pt idx="510" formatCode="General">
                  <c:v>-1.0131465997678457</c:v>
                </c:pt>
                <c:pt idx="511" formatCode="General">
                  <c:v>-0.97948644822160547</c:v>
                </c:pt>
                <c:pt idx="512" formatCode="General">
                  <c:v>-0.98860494946215605</c:v>
                </c:pt>
                <c:pt idx="513" formatCode="General">
                  <c:v>-0.93518223926827126</c:v>
                </c:pt>
                <c:pt idx="514" formatCode="General">
                  <c:v>-0.89873918457498514</c:v>
                </c:pt>
                <c:pt idx="515" formatCode="General">
                  <c:v>-0.81809516927668324</c:v>
                </c:pt>
                <c:pt idx="516" formatCode="General">
                  <c:v>-0.75342089239533183</c:v>
                </c:pt>
                <c:pt idx="517" formatCode="General">
                  <c:v>-0.78566421081728555</c:v>
                </c:pt>
                <c:pt idx="518" formatCode="General">
                  <c:v>-0.74274581637292081</c:v>
                </c:pt>
                <c:pt idx="519" formatCode="General">
                  <c:v>-0.7797874367402996</c:v>
                </c:pt>
                <c:pt idx="520" formatCode="General">
                  <c:v>-0.70276656168593377</c:v>
                </c:pt>
                <c:pt idx="521" formatCode="General">
                  <c:v>-0.6931050521586184</c:v>
                </c:pt>
                <c:pt idx="522" formatCode="General">
                  <c:v>-0.69820713209205176</c:v>
                </c:pt>
                <c:pt idx="523" formatCode="General">
                  <c:v>-0.68488964636530025</c:v>
                </c:pt>
                <c:pt idx="524" formatCode="General">
                  <c:v>-0.71662322240853105</c:v>
                </c:pt>
                <c:pt idx="525" formatCode="General">
                  <c:v>-0.70848368817936713</c:v>
                </c:pt>
                <c:pt idx="526" formatCode="General">
                  <c:v>-0.68341216843230213</c:v>
                </c:pt>
                <c:pt idx="527" formatCode="General">
                  <c:v>-0.72083646533789147</c:v>
                </c:pt>
                <c:pt idx="528" formatCode="General">
                  <c:v>-0.80648667547998465</c:v>
                </c:pt>
                <c:pt idx="529" formatCode="General">
                  <c:v>-0.75556090105534102</c:v>
                </c:pt>
                <c:pt idx="530" formatCode="General">
                  <c:v>-0.61908684268731695</c:v>
                </c:pt>
                <c:pt idx="531" formatCode="General">
                  <c:v>-0.68806778703366089</c:v>
                </c:pt>
                <c:pt idx="532" formatCode="General">
                  <c:v>-0.59462508475602094</c:v>
                </c:pt>
                <c:pt idx="533" formatCode="General">
                  <c:v>-0.53401354573894266</c:v>
                </c:pt>
                <c:pt idx="534" formatCode="General">
                  <c:v>-0.50139798889514198</c:v>
                </c:pt>
                <c:pt idx="535" formatCode="General">
                  <c:v>-0.4565231842593539</c:v>
                </c:pt>
                <c:pt idx="536" formatCode="General">
                  <c:v>-0.47349506577274697</c:v>
                </c:pt>
                <c:pt idx="537" formatCode="General">
                  <c:v>-0.48460445135621522</c:v>
                </c:pt>
                <c:pt idx="538" formatCode="General">
                  <c:v>-0.52613941290074984</c:v>
                </c:pt>
                <c:pt idx="539" formatCode="General">
                  <c:v>-0.61738276886985655</c:v>
                </c:pt>
                <c:pt idx="540" formatCode="General">
                  <c:v>-0.4877976813855644</c:v>
                </c:pt>
                <c:pt idx="541" formatCode="General">
                  <c:v>-0.43041001810572377</c:v>
                </c:pt>
                <c:pt idx="542" formatCode="General">
                  <c:v>-0.43746076064519945</c:v>
                </c:pt>
                <c:pt idx="543" formatCode="General">
                  <c:v>-0.50974597239522257</c:v>
                </c:pt>
                <c:pt idx="544" formatCode="General">
                  <c:v>-0.54644072005524413</c:v>
                </c:pt>
                <c:pt idx="545" formatCode="General">
                  <c:v>-0.42251317258045518</c:v>
                </c:pt>
                <c:pt idx="546" formatCode="General">
                  <c:v>-0.42007036298234163</c:v>
                </c:pt>
                <c:pt idx="547" formatCode="General">
                  <c:v>-0.29019577545436859</c:v>
                </c:pt>
                <c:pt idx="548" formatCode="General">
                  <c:v>-0.23824552890866169</c:v>
                </c:pt>
                <c:pt idx="549" formatCode="General">
                  <c:v>-0.27538197177394219</c:v>
                </c:pt>
                <c:pt idx="550" formatCode="General">
                  <c:v>-0.41816766197752159</c:v>
                </c:pt>
                <c:pt idx="551" formatCode="General">
                  <c:v>-0.26188374272573217</c:v>
                </c:pt>
                <c:pt idx="552" formatCode="General">
                  <c:v>-0.28589400870034826</c:v>
                </c:pt>
                <c:pt idx="553" formatCode="General">
                  <c:v>-0.23825750297939335</c:v>
                </c:pt>
                <c:pt idx="554" formatCode="General">
                  <c:v>-0.22303491424733637</c:v>
                </c:pt>
                <c:pt idx="555" formatCode="General">
                  <c:v>-0.26306872427702854</c:v>
                </c:pt>
                <c:pt idx="556" formatCode="General">
                  <c:v>-0.2408203249306004</c:v>
                </c:pt>
                <c:pt idx="557" formatCode="General">
                  <c:v>-0.19405508429935445</c:v>
                </c:pt>
                <c:pt idx="558" formatCode="General">
                  <c:v>-0.2038269311919699</c:v>
                </c:pt>
                <c:pt idx="559" formatCode="General">
                  <c:v>-0.17015411883890652</c:v>
                </c:pt>
                <c:pt idx="560" formatCode="General">
                  <c:v>-0.13454632963760918</c:v>
                </c:pt>
                <c:pt idx="561" formatCode="General">
                  <c:v>-0.12404244062383234</c:v>
                </c:pt>
                <c:pt idx="562" formatCode="General">
                  <c:v>1.3681233540576819E-2</c:v>
                </c:pt>
                <c:pt idx="563" formatCode="General">
                  <c:v>1.4855620774919E-2</c:v>
                </c:pt>
                <c:pt idx="564" formatCode="General">
                  <c:v>-0.11361230524281375</c:v>
                </c:pt>
                <c:pt idx="565" formatCode="General">
                  <c:v>-0.18976992916757848</c:v>
                </c:pt>
                <c:pt idx="566" formatCode="General">
                  <c:v>-0.33199042953151858</c:v>
                </c:pt>
                <c:pt idx="567" formatCode="General">
                  <c:v>-0.31116037727700668</c:v>
                </c:pt>
                <c:pt idx="568" formatCode="General">
                  <c:v>-0.34262298735262176</c:v>
                </c:pt>
                <c:pt idx="569" formatCode="General">
                  <c:v>-0.37503841004051713</c:v>
                </c:pt>
                <c:pt idx="570" formatCode="General">
                  <c:v>-0.32307389044569351</c:v>
                </c:pt>
                <c:pt idx="571" formatCode="General">
                  <c:v>-0.25702585983297421</c:v>
                </c:pt>
                <c:pt idx="572" formatCode="General">
                  <c:v>-0.34904106472266538</c:v>
                </c:pt>
                <c:pt idx="573" formatCode="General">
                  <c:v>-0.35794438551417623</c:v>
                </c:pt>
                <c:pt idx="574" formatCode="General">
                  <c:v>-0.33279860087383317</c:v>
                </c:pt>
                <c:pt idx="575" formatCode="General">
                  <c:v>-0.42809127615042852</c:v>
                </c:pt>
                <c:pt idx="576" formatCode="General">
                  <c:v>-0.25444421747292895</c:v>
                </c:pt>
                <c:pt idx="577" formatCode="General">
                  <c:v>-0.26359241298581398</c:v>
                </c:pt>
                <c:pt idx="578" formatCode="General">
                  <c:v>-0.30768091443673445</c:v>
                </c:pt>
                <c:pt idx="579" formatCode="General">
                  <c:v>-0.2757225842407367</c:v>
                </c:pt>
                <c:pt idx="580" formatCode="General">
                  <c:v>-0.20854096298543442</c:v>
                </c:pt>
                <c:pt idx="581" formatCode="General">
                  <c:v>-0.23706054707849322</c:v>
                </c:pt>
                <c:pt idx="582" formatCode="General">
                  <c:v>-0.43688232786974768</c:v>
                </c:pt>
                <c:pt idx="583" formatCode="General">
                  <c:v>-0.47123914204374157</c:v>
                </c:pt>
                <c:pt idx="584" formatCode="General">
                  <c:v>-0.52712744312194637</c:v>
                </c:pt>
                <c:pt idx="585" formatCode="General">
                  <c:v>-0.55766557845480569</c:v>
                </c:pt>
                <c:pt idx="586" formatCode="General">
                  <c:v>-0.65364820602530471</c:v>
                </c:pt>
                <c:pt idx="587" formatCode="General">
                  <c:v>-0.58178661671172671</c:v>
                </c:pt>
                <c:pt idx="588" formatCode="General">
                  <c:v>-0.60312300083537074</c:v>
                </c:pt>
                <c:pt idx="589" formatCode="General">
                  <c:v>-0.48287582260664091</c:v>
                </c:pt>
                <c:pt idx="590" formatCode="General">
                  <c:v>-0.51469236023765574</c:v>
                </c:pt>
                <c:pt idx="591" formatCode="General">
                  <c:v>-0.53825623292173141</c:v>
                </c:pt>
                <c:pt idx="592" formatCode="General">
                  <c:v>-0.65485152927826717</c:v>
                </c:pt>
                <c:pt idx="593" formatCode="General">
                  <c:v>-0.58976674104970472</c:v>
                </c:pt>
                <c:pt idx="594" formatCode="General">
                  <c:v>-0.46756503590490806</c:v>
                </c:pt>
                <c:pt idx="595" formatCode="General">
                  <c:v>-0.45821301312670509</c:v>
                </c:pt>
                <c:pt idx="596" formatCode="General">
                  <c:v>-0.44944893181909051</c:v>
                </c:pt>
                <c:pt idx="597" formatCode="General">
                  <c:v>-0.40194252951217174</c:v>
                </c:pt>
                <c:pt idx="598" formatCode="General">
                  <c:v>-0.47037372021476409</c:v>
                </c:pt>
                <c:pt idx="599" formatCode="General">
                  <c:v>-0.51489231799184776</c:v>
                </c:pt>
                <c:pt idx="600" formatCode="General">
                  <c:v>-0.45209320177724305</c:v>
                </c:pt>
                <c:pt idx="601" formatCode="General">
                  <c:v>-0.37652301738978627</c:v>
                </c:pt>
                <c:pt idx="602" formatCode="General">
                  <c:v>-0.29871598844040553</c:v>
                </c:pt>
                <c:pt idx="603" formatCode="General">
                  <c:v>-0.38547998763850372</c:v>
                </c:pt>
                <c:pt idx="604" formatCode="General">
                  <c:v>-0.4891337230874449</c:v>
                </c:pt>
                <c:pt idx="605" formatCode="General">
                  <c:v>-0.54067498606844655</c:v>
                </c:pt>
                <c:pt idx="606" formatCode="General">
                  <c:v>-0.69340115025468141</c:v>
                </c:pt>
                <c:pt idx="607" formatCode="General">
                  <c:v>-0.61239705614214024</c:v>
                </c:pt>
                <c:pt idx="608" formatCode="General">
                  <c:v>-0.56069772216327618</c:v>
                </c:pt>
                <c:pt idx="609" formatCode="General">
                  <c:v>-0.5336039806366174</c:v>
                </c:pt>
                <c:pt idx="610" formatCode="General">
                  <c:v>-0.64950651888026234</c:v>
                </c:pt>
                <c:pt idx="611" formatCode="General">
                  <c:v>-0.79069087972414587</c:v>
                </c:pt>
                <c:pt idx="612" formatCode="General">
                  <c:v>-0.86466716948728273</c:v>
                </c:pt>
                <c:pt idx="613" formatCode="General">
                  <c:v>-0.8688098219524395</c:v>
                </c:pt>
                <c:pt idx="614" formatCode="General">
                  <c:v>-0.79245143069485302</c:v>
                </c:pt>
                <c:pt idx="615" formatCode="General">
                  <c:v>-0.81869236800846801</c:v>
                </c:pt>
                <c:pt idx="616" formatCode="General">
                  <c:v>-0.75979578644366252</c:v>
                </c:pt>
                <c:pt idx="617" formatCode="General">
                  <c:v>-0.71134633090461596</c:v>
                </c:pt>
                <c:pt idx="618" formatCode="General">
                  <c:v>-0.77129052780313057</c:v>
                </c:pt>
                <c:pt idx="619" formatCode="General">
                  <c:v>-0.8409215700063849</c:v>
                </c:pt>
                <c:pt idx="620" formatCode="General">
                  <c:v>-0.92359529601097612</c:v>
                </c:pt>
                <c:pt idx="621" formatCode="General">
                  <c:v>-0.92025237862463694</c:v>
                </c:pt>
                <c:pt idx="622" formatCode="General">
                  <c:v>-0.85764268059098203</c:v>
                </c:pt>
                <c:pt idx="623" formatCode="General">
                  <c:v>-0.93488661579926491</c:v>
                </c:pt>
                <c:pt idx="624" formatCode="General">
                  <c:v>-0.88345443145366664</c:v>
                </c:pt>
                <c:pt idx="625" formatCode="General">
                  <c:v>-0.75158363240016657</c:v>
                </c:pt>
                <c:pt idx="626" formatCode="General">
                  <c:v>-0.85670911062851407</c:v>
                </c:pt>
                <c:pt idx="627" formatCode="General">
                  <c:v>-0.84470210051155814</c:v>
                </c:pt>
                <c:pt idx="628" formatCode="General">
                  <c:v>-0.83183309771291214</c:v>
                </c:pt>
                <c:pt idx="629" formatCode="General">
                  <c:v>-0.80579904669698865</c:v>
                </c:pt>
                <c:pt idx="630" formatCode="General">
                  <c:v>-0.84664959873713064</c:v>
                </c:pt>
                <c:pt idx="631" formatCode="General">
                  <c:v>-0.72672828065512718</c:v>
                </c:pt>
                <c:pt idx="632" formatCode="General">
                  <c:v>-0.5862253601116616</c:v>
                </c:pt>
                <c:pt idx="633" formatCode="General">
                  <c:v>-0.64921884785288941</c:v>
                </c:pt>
                <c:pt idx="634" formatCode="General">
                  <c:v>-0.6202970704000994</c:v>
                </c:pt>
                <c:pt idx="635" formatCode="General">
                  <c:v>-0.62044948281200218</c:v>
                </c:pt>
                <c:pt idx="636" formatCode="General">
                  <c:v>-0.69502724120668946</c:v>
                </c:pt>
                <c:pt idx="637" formatCode="General">
                  <c:v>-0.68702239552670008</c:v>
                </c:pt>
                <c:pt idx="638" formatCode="General">
                  <c:v>-0.50208283610391768</c:v>
                </c:pt>
                <c:pt idx="639" formatCode="General">
                  <c:v>-0.44905211140637341</c:v>
                </c:pt>
                <c:pt idx="640" formatCode="General">
                  <c:v>-0.36578523476042196</c:v>
                </c:pt>
                <c:pt idx="641" formatCode="General">
                  <c:v>-0.31176285115224606</c:v>
                </c:pt>
                <c:pt idx="642" formatCode="General">
                  <c:v>-0.39979899184829404</c:v>
                </c:pt>
                <c:pt idx="643" formatCode="General">
                  <c:v>-0.3926162462597178</c:v>
                </c:pt>
                <c:pt idx="644" formatCode="General">
                  <c:v>-0.46005460385651437</c:v>
                </c:pt>
                <c:pt idx="645" formatCode="General">
                  <c:v>-0.56530830351498706</c:v>
                </c:pt>
                <c:pt idx="646" formatCode="General">
                  <c:v>-0.49817542656102204</c:v>
                </c:pt>
                <c:pt idx="647" formatCode="General">
                  <c:v>-0.47672657866511298</c:v>
                </c:pt>
                <c:pt idx="648" formatCode="General">
                  <c:v>-0.54970124210975579</c:v>
                </c:pt>
                <c:pt idx="649" formatCode="General">
                  <c:v>-0.63102939308552342</c:v>
                </c:pt>
                <c:pt idx="650" formatCode="General">
                  <c:v>-0.67092836273066947</c:v>
                </c:pt>
                <c:pt idx="651" formatCode="General">
                  <c:v>-0.63137748586363462</c:v>
                </c:pt>
                <c:pt idx="652" formatCode="General">
                  <c:v>-0.80734269309758866</c:v>
                </c:pt>
                <c:pt idx="653" formatCode="General">
                  <c:v>-0.81373674993602707</c:v>
                </c:pt>
                <c:pt idx="654" formatCode="General">
                  <c:v>-0.72169570524126858</c:v>
                </c:pt>
                <c:pt idx="655" formatCode="General">
                  <c:v>-0.84041466096466455</c:v>
                </c:pt>
                <c:pt idx="656" formatCode="General">
                  <c:v>-0.75583914111835049</c:v>
                </c:pt>
                <c:pt idx="657" formatCode="General">
                  <c:v>-0.848074723164844</c:v>
                </c:pt>
                <c:pt idx="658" formatCode="General">
                  <c:v>-0.8039452448128549</c:v>
                </c:pt>
                <c:pt idx="659" formatCode="General">
                  <c:v>-0.75774149878135044</c:v>
                </c:pt>
                <c:pt idx="660" formatCode="General">
                  <c:v>-0.82322167073679076</c:v>
                </c:pt>
                <c:pt idx="661" formatCode="General">
                  <c:v>-0.95080729171738199</c:v>
                </c:pt>
                <c:pt idx="662" formatCode="General">
                  <c:v>-0.92376336866176079</c:v>
                </c:pt>
                <c:pt idx="663" formatCode="General">
                  <c:v>-0.8705288138000622</c:v>
                </c:pt>
                <c:pt idx="664" formatCode="General">
                  <c:v>-0.94949026783977375</c:v>
                </c:pt>
                <c:pt idx="665" formatCode="General">
                  <c:v>-0.90549372256446126</c:v>
                </c:pt>
                <c:pt idx="666" formatCode="General">
                  <c:v>-0.89280993552738841</c:v>
                </c:pt>
                <c:pt idx="667" formatCode="General">
                  <c:v>-0.98952431686017361</c:v>
                </c:pt>
                <c:pt idx="668" formatCode="General">
                  <c:v>-0.99254925732311405</c:v>
                </c:pt>
                <c:pt idx="669" formatCode="General">
                  <c:v>-1.0141662007505274</c:v>
                </c:pt>
                <c:pt idx="670" formatCode="General">
                  <c:v>-0.96872014368926318</c:v>
                </c:pt>
                <c:pt idx="671" formatCode="General">
                  <c:v>-0.91606801399940585</c:v>
                </c:pt>
                <c:pt idx="672" formatCode="General">
                  <c:v>-0.91253096383355292</c:v>
                </c:pt>
                <c:pt idx="673" formatCode="General">
                  <c:v>-1.0223904288042256</c:v>
                </c:pt>
                <c:pt idx="674" formatCode="General">
                  <c:v>-0.91754983737039442</c:v>
                </c:pt>
                <c:pt idx="675" formatCode="General">
                  <c:v>-0.92864723841171459</c:v>
                </c:pt>
                <c:pt idx="676" formatCode="General">
                  <c:v>-1.01973927749784</c:v>
                </c:pt>
                <c:pt idx="677" formatCode="General">
                  <c:v>-1.0324484253847981</c:v>
                </c:pt>
                <c:pt idx="678" formatCode="General">
                  <c:v>-1.1147657346826114</c:v>
                </c:pt>
                <c:pt idx="679" formatCode="General">
                  <c:v>-1.1788230640480917</c:v>
                </c:pt>
                <c:pt idx="680" formatCode="General">
                  <c:v>-1.1392556042547839</c:v>
                </c:pt>
                <c:pt idx="681" formatCode="General">
                  <c:v>-1.0937535624559018</c:v>
                </c:pt>
                <c:pt idx="682" formatCode="General">
                  <c:v>-1.0782570780737371</c:v>
                </c:pt>
                <c:pt idx="683" formatCode="General">
                  <c:v>-1.0686529495253652</c:v>
                </c:pt>
                <c:pt idx="684" formatCode="General">
                  <c:v>-1.1050690794531217</c:v>
                </c:pt>
                <c:pt idx="685" formatCode="General">
                  <c:v>-1.1448419395367484</c:v>
                </c:pt>
                <c:pt idx="686" formatCode="General">
                  <c:v>-1.0584287398471608</c:v>
                </c:pt>
                <c:pt idx="687" formatCode="General">
                  <c:v>-1.0750261351388519</c:v>
                </c:pt>
                <c:pt idx="688" formatCode="General">
                  <c:v>-1.043600469374935</c:v>
                </c:pt>
                <c:pt idx="689" formatCode="General">
                  <c:v>-1.0269498119959175</c:v>
                </c:pt>
                <c:pt idx="690" formatCode="General">
                  <c:v>-1.1151042850764012</c:v>
                </c:pt>
                <c:pt idx="691" formatCode="General">
                  <c:v>-1.1456746773020117</c:v>
                </c:pt>
                <c:pt idx="692" formatCode="General">
                  <c:v>-1.08809652140228</c:v>
                </c:pt>
                <c:pt idx="693" formatCode="General">
                  <c:v>-1.1185195998186106</c:v>
                </c:pt>
                <c:pt idx="694" formatCode="General">
                  <c:v>-1.1090460412775816</c:v>
                </c:pt>
                <c:pt idx="695" formatCode="General">
                  <c:v>-1.1904966905681709</c:v>
                </c:pt>
                <c:pt idx="696" formatCode="General">
                  <c:v>-1.1745915308651167</c:v>
                </c:pt>
                <c:pt idx="697" formatCode="General">
                  <c:v>-1.1715509958216739</c:v>
                </c:pt>
                <c:pt idx="698" formatCode="General">
                  <c:v>-1.1480288171612145</c:v>
                </c:pt>
                <c:pt idx="699" formatCode="General">
                  <c:v>-1.1840678386478292</c:v>
                </c:pt>
                <c:pt idx="700" formatCode="General">
                  <c:v>-1.2015582756964585</c:v>
                </c:pt>
                <c:pt idx="701" formatCode="General">
                  <c:v>-1.2665838676335321</c:v>
                </c:pt>
                <c:pt idx="702" formatCode="General">
                  <c:v>-1.2517287816597675</c:v>
                </c:pt>
                <c:pt idx="703" formatCode="General">
                  <c:v>-1.2652009197505232</c:v>
                </c:pt>
                <c:pt idx="704" formatCode="General">
                  <c:v>-1.377316761490988</c:v>
                </c:pt>
                <c:pt idx="705" formatCode="General">
                  <c:v>-1.3161924044916702</c:v>
                </c:pt>
                <c:pt idx="706" formatCode="General">
                  <c:v>-1.3206912051256765</c:v>
                </c:pt>
                <c:pt idx="707" formatCode="General">
                  <c:v>-1.2527015305785103</c:v>
                </c:pt>
                <c:pt idx="708" formatCode="General">
                  <c:v>-1.3512318800894874</c:v>
                </c:pt>
                <c:pt idx="709" formatCode="General">
                  <c:v>-1.3164577307940111</c:v>
                </c:pt>
                <c:pt idx="710" formatCode="General">
                  <c:v>-1.411042311818514</c:v>
                </c:pt>
                <c:pt idx="711" formatCode="General">
                  <c:v>-1.4517605124722988</c:v>
                </c:pt>
                <c:pt idx="712" formatCode="General">
                  <c:v>-1.4254343970839465</c:v>
                </c:pt>
                <c:pt idx="713" formatCode="General">
                  <c:v>-1.3361132700751424</c:v>
                </c:pt>
                <c:pt idx="714" formatCode="General">
                  <c:v>-1.3877986925547499</c:v>
                </c:pt>
                <c:pt idx="715" formatCode="General">
                  <c:v>-1.246331829865678</c:v>
                </c:pt>
                <c:pt idx="716" formatCode="General">
                  <c:v>-1.2908786004307082</c:v>
                </c:pt>
                <c:pt idx="717" formatCode="General">
                  <c:v>-1.3678182246199304</c:v>
                </c:pt>
                <c:pt idx="718" formatCode="General">
                  <c:v>-1.4377311779339772</c:v>
                </c:pt>
                <c:pt idx="719" formatCode="General">
                  <c:v>-1.4607783432575221</c:v>
                </c:pt>
                <c:pt idx="720" formatCode="General">
                  <c:v>-1.473080013816098</c:v>
                </c:pt>
                <c:pt idx="721" formatCode="General">
                  <c:v>-1.4473124560160278</c:v>
                </c:pt>
                <c:pt idx="722" formatCode="General">
                  <c:v>-1.4654234603088918</c:v>
                </c:pt>
                <c:pt idx="723" formatCode="General">
                  <c:v>-1.445841256638883</c:v>
                </c:pt>
                <c:pt idx="724" formatCode="General">
                  <c:v>-1.4246082452640996</c:v>
                </c:pt>
                <c:pt idx="725" formatCode="General">
                  <c:v>-1.4010979600118099</c:v>
                </c:pt>
                <c:pt idx="726" formatCode="General">
                  <c:v>-1.4852371793020598</c:v>
                </c:pt>
                <c:pt idx="727" formatCode="General">
                  <c:v>-1.5294870027710548</c:v>
                </c:pt>
                <c:pt idx="728" formatCode="General">
                  <c:v>-1.521372128905804</c:v>
                </c:pt>
                <c:pt idx="729" formatCode="General">
                  <c:v>-1.3834068692482853</c:v>
                </c:pt>
                <c:pt idx="730" formatCode="General">
                  <c:v>-1.405713199575686</c:v>
                </c:pt>
                <c:pt idx="731" formatCode="General">
                  <c:v>-1.4572991009919629</c:v>
                </c:pt>
                <c:pt idx="732" formatCode="General">
                  <c:v>-1.608999272781285</c:v>
                </c:pt>
                <c:pt idx="733" formatCode="General">
                  <c:v>-1.6748771282123431</c:v>
                </c:pt>
                <c:pt idx="734" formatCode="General">
                  <c:v>-1.6428330754104727</c:v>
                </c:pt>
                <c:pt idx="735" formatCode="General">
                  <c:v>-1.6000060967414942</c:v>
                </c:pt>
                <c:pt idx="736" formatCode="General">
                  <c:v>-1.5967582950363068</c:v>
                </c:pt>
                <c:pt idx="737" formatCode="General">
                  <c:v>-1.6500172792825814</c:v>
                </c:pt>
                <c:pt idx="738" formatCode="General">
                  <c:v>-1.7132677593708698</c:v>
                </c:pt>
                <c:pt idx="739" formatCode="General">
                  <c:v>-1.7774849023651156</c:v>
                </c:pt>
                <c:pt idx="740" formatCode="General">
                  <c:v>-1.7869746851443451</c:v>
                </c:pt>
                <c:pt idx="741" formatCode="General">
                  <c:v>-1.8182768116651276</c:v>
                </c:pt>
                <c:pt idx="742" formatCode="General">
                  <c:v>-1.7456175581045146</c:v>
                </c:pt>
                <c:pt idx="743" formatCode="General">
                  <c:v>-1.7676447603608281</c:v>
                </c:pt>
                <c:pt idx="744" formatCode="General">
                  <c:v>-1.8152780990436541</c:v>
                </c:pt>
                <c:pt idx="745" formatCode="General">
                  <c:v>-1.7764347795785991</c:v>
                </c:pt>
                <c:pt idx="746" formatCode="General">
                  <c:v>-1.7804923020848642</c:v>
                </c:pt>
                <c:pt idx="747" formatCode="General">
                  <c:v>-1.8020743313365732</c:v>
                </c:pt>
                <c:pt idx="748" formatCode="General">
                  <c:v>-1.8515619730828414</c:v>
                </c:pt>
                <c:pt idx="749" formatCode="General">
                  <c:v>-1.8913928389922341</c:v>
                </c:pt>
                <c:pt idx="750" formatCode="General">
                  <c:v>-1.8530314001918209</c:v>
                </c:pt>
                <c:pt idx="751" formatCode="General">
                  <c:v>-1.8832448795254551</c:v>
                </c:pt>
                <c:pt idx="752" formatCode="General">
                  <c:v>-1.8975592980998006</c:v>
                </c:pt>
                <c:pt idx="753" formatCode="General">
                  <c:v>-1.9013411040417743</c:v>
                </c:pt>
                <c:pt idx="754" formatCode="General">
                  <c:v>-1.8020026445184549</c:v>
                </c:pt>
                <c:pt idx="755" formatCode="General">
                  <c:v>-1.7334506008269319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BA-4325-941C-D38A854DE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3021440"/>
        <c:axId val="230308608"/>
      </c:lineChart>
      <c:catAx>
        <c:axId val="233021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308608"/>
        <c:crosses val="autoZero"/>
        <c:auto val="1"/>
        <c:lblAlgn val="ctr"/>
        <c:lblOffset val="100"/>
        <c:noMultiLvlLbl val="0"/>
      </c:catAx>
      <c:valAx>
        <c:axId val="230308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0_ " sourceLinked="1"/>
        <c:majorTickMark val="none"/>
        <c:minorTickMark val="none"/>
        <c:tickLblPos val="nextTo"/>
        <c:crossAx val="233021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3</xdr:row>
          <xdr:rowOff>123825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19050</xdr:colOff>
      <xdr:row>25</xdr:row>
      <xdr:rowOff>9525</xdr:rowOff>
    </xdr:from>
    <xdr:to>
      <xdr:col>17</xdr:col>
      <xdr:colOff>504825</xdr:colOff>
      <xdr:row>42</xdr:row>
      <xdr:rowOff>9525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768"/>
  <sheetViews>
    <sheetView tabSelected="1" zoomScale="160" zoomScaleNormal="160" workbookViewId="0">
      <selection activeCell="G7" sqref="G7"/>
    </sheetView>
  </sheetViews>
  <sheetFormatPr defaultRowHeight="10.5" x14ac:dyDescent="0.3"/>
  <cols>
    <col min="1" max="1" width="10.25" style="14" bestFit="1" customWidth="1"/>
    <col min="2" max="2" width="5.875" style="1" customWidth="1"/>
    <col min="3" max="3" width="6" style="1" customWidth="1"/>
    <col min="4" max="4" width="6.875" style="1" customWidth="1"/>
    <col min="5" max="5" width="6" style="1" customWidth="1"/>
    <col min="6" max="9" width="7.5" style="1" customWidth="1"/>
    <col min="10" max="11" width="6.625" style="1" customWidth="1"/>
    <col min="12" max="12" width="7.5" style="6" bestFit="1" customWidth="1"/>
    <col min="13" max="16" width="9" style="1"/>
    <col min="17" max="17" width="5.75" style="1" customWidth="1"/>
    <col min="18" max="18" width="6.75" style="1" bestFit="1" customWidth="1"/>
    <col min="19" max="19" width="1.875" style="1" customWidth="1"/>
    <col min="20" max="20" width="3.25" style="1" bestFit="1" customWidth="1"/>
    <col min="21" max="21" width="6.75" style="1" bestFit="1" customWidth="1"/>
    <col min="22" max="16384" width="9" style="1"/>
  </cols>
  <sheetData>
    <row r="1" spans="1:24" ht="16.5" customHeight="1" x14ac:dyDescent="0.3">
      <c r="A1" s="70" t="s">
        <v>48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1:24" x14ac:dyDescent="0.3">
      <c r="A2" s="61" t="s">
        <v>1</v>
      </c>
      <c r="B2" s="61" t="s">
        <v>49</v>
      </c>
      <c r="C2" s="61" t="s">
        <v>50</v>
      </c>
      <c r="D2" s="61" t="s">
        <v>2</v>
      </c>
      <c r="L2" s="1"/>
    </row>
    <row r="3" spans="1:24" x14ac:dyDescent="0.3">
      <c r="A3" s="2" t="s">
        <v>3</v>
      </c>
      <c r="B3" s="3">
        <v>1.4999999999999999E-2</v>
      </c>
      <c r="C3" s="3">
        <v>1.4999999999999999E-2</v>
      </c>
      <c r="D3" s="4" t="s">
        <v>4</v>
      </c>
      <c r="L3" s="1"/>
    </row>
    <row r="4" spans="1:24" x14ac:dyDescent="0.3">
      <c r="A4" s="2" t="s">
        <v>5</v>
      </c>
      <c r="B4" s="3">
        <v>0.36</v>
      </c>
      <c r="C4" s="3">
        <v>0.31</v>
      </c>
      <c r="D4" s="4" t="s">
        <v>4</v>
      </c>
      <c r="E4" s="75" t="s">
        <v>6</v>
      </c>
      <c r="F4" s="75"/>
      <c r="G4" s="75"/>
      <c r="H4" s="73" t="s">
        <v>19</v>
      </c>
      <c r="I4" s="73"/>
      <c r="L4" s="1"/>
      <c r="T4" s="88" t="s">
        <v>46</v>
      </c>
      <c r="U4" s="88"/>
    </row>
    <row r="5" spans="1:24" x14ac:dyDescent="0.3">
      <c r="A5" s="2" t="s">
        <v>7</v>
      </c>
      <c r="B5" s="3">
        <f>B3/365</f>
        <v>4.1095890410958905E-5</v>
      </c>
      <c r="C5" s="3">
        <f>C3/365</f>
        <v>4.1095890410958905E-5</v>
      </c>
      <c r="D5" s="4" t="s">
        <v>8</v>
      </c>
      <c r="E5" s="60"/>
      <c r="F5" s="60" t="s">
        <v>9</v>
      </c>
      <c r="G5" s="60" t="s">
        <v>10</v>
      </c>
      <c r="H5" s="73" t="s">
        <v>20</v>
      </c>
      <c r="I5" s="73"/>
      <c r="L5" s="46" t="s">
        <v>35</v>
      </c>
      <c r="M5" s="46" t="s">
        <v>34</v>
      </c>
      <c r="N5" s="46" t="s">
        <v>31</v>
      </c>
      <c r="T5" s="42" t="s">
        <v>32</v>
      </c>
      <c r="U5" s="42" t="s">
        <v>33</v>
      </c>
      <c r="X5" s="48"/>
    </row>
    <row r="6" spans="1:24" ht="10.5" customHeight="1" x14ac:dyDescent="0.3">
      <c r="A6" s="2" t="s">
        <v>11</v>
      </c>
      <c r="B6" s="3">
        <f>B4/SQRT(252)</f>
        <v>2.2677868380553631E-2</v>
      </c>
      <c r="C6" s="3">
        <f>C4/SQRT(252)</f>
        <v>1.9528164438810072E-2</v>
      </c>
      <c r="D6" s="4" t="s">
        <v>8</v>
      </c>
      <c r="E6" s="60" t="s">
        <v>9</v>
      </c>
      <c r="F6" s="60">
        <v>1</v>
      </c>
      <c r="G6" s="60">
        <v>0.5</v>
      </c>
      <c r="H6" s="64">
        <f>SQRT(F6)</f>
        <v>1</v>
      </c>
      <c r="I6" s="60"/>
      <c r="J6" s="7"/>
      <c r="K6" s="28"/>
      <c r="L6" s="83">
        <v>100</v>
      </c>
      <c r="M6" s="82">
        <v>100</v>
      </c>
      <c r="N6" s="91">
        <v>3.6991002491611844E-2</v>
      </c>
      <c r="T6" s="47">
        <v>1</v>
      </c>
      <c r="U6" s="36">
        <v>8.5000000000000006E-2</v>
      </c>
    </row>
    <row r="7" spans="1:24" ht="10.5" customHeight="1" x14ac:dyDescent="0.3">
      <c r="A7" s="2" t="s">
        <v>12</v>
      </c>
      <c r="B7" s="5">
        <f>B5-0.5*B6^2</f>
        <v>-2.1604696673189819E-4</v>
      </c>
      <c r="C7" s="5">
        <f>C5-0.5*C6^2</f>
        <v>-1.4957871276364423E-4</v>
      </c>
      <c r="D7" s="4" t="s">
        <v>8</v>
      </c>
      <c r="E7" s="60" t="s">
        <v>10</v>
      </c>
      <c r="F7" s="60">
        <v>0.5</v>
      </c>
      <c r="G7" s="60">
        <v>1</v>
      </c>
      <c r="H7" s="60">
        <f>F7/H6</f>
        <v>0.5</v>
      </c>
      <c r="I7" s="65">
        <f>SQRT(G7-H7^2)</f>
        <v>0.8660254037844386</v>
      </c>
      <c r="J7" s="7"/>
      <c r="K7" s="7"/>
      <c r="L7" s="84"/>
      <c r="M7" s="82"/>
      <c r="N7" s="92"/>
      <c r="T7" s="47">
        <v>2</v>
      </c>
      <c r="U7" s="36">
        <v>8.5000000000000006E-2</v>
      </c>
    </row>
    <row r="8" spans="1:24" x14ac:dyDescent="0.3">
      <c r="A8" s="17"/>
      <c r="B8" s="17"/>
      <c r="C8" s="17"/>
      <c r="D8" s="18"/>
      <c r="E8" s="18"/>
      <c r="F8" s="18"/>
      <c r="G8" s="19"/>
      <c r="H8" s="19"/>
      <c r="I8" s="19"/>
      <c r="J8" s="20"/>
      <c r="K8" s="20"/>
      <c r="L8" s="19"/>
      <c r="M8" s="43"/>
      <c r="N8" s="44"/>
      <c r="O8" s="45"/>
      <c r="T8" s="47">
        <v>3</v>
      </c>
      <c r="U8" s="36">
        <v>8.5000000000000006E-2</v>
      </c>
    </row>
    <row r="9" spans="1:24" ht="11.25" thickBot="1" x14ac:dyDescent="0.35">
      <c r="A9" s="18"/>
      <c r="B9" s="18"/>
      <c r="C9" s="18"/>
      <c r="D9" s="18"/>
      <c r="E9" s="18"/>
      <c r="F9" s="18"/>
      <c r="G9" s="18"/>
      <c r="H9" s="18"/>
      <c r="I9" s="18"/>
      <c r="J9" s="27"/>
      <c r="K9" s="27"/>
      <c r="L9" s="30"/>
      <c r="M9" s="22"/>
      <c r="N9" s="22"/>
      <c r="O9" s="22"/>
      <c r="P9" s="22"/>
      <c r="T9" s="47">
        <v>4</v>
      </c>
      <c r="U9" s="36">
        <v>8.5000000000000006E-2</v>
      </c>
    </row>
    <row r="10" spans="1:24" ht="11.25" thickBot="1" x14ac:dyDescent="0.35">
      <c r="A10" s="15" t="s">
        <v>45</v>
      </c>
      <c r="B10" s="6"/>
      <c r="C10" s="6"/>
      <c r="F10" s="21"/>
      <c r="G10" s="21"/>
      <c r="H10" s="21"/>
      <c r="I10" s="21"/>
      <c r="J10" s="76"/>
      <c r="K10" s="76"/>
      <c r="L10" s="23"/>
      <c r="O10" s="89" t="s">
        <v>30</v>
      </c>
      <c r="P10" s="90"/>
      <c r="T10" s="47">
        <v>5</v>
      </c>
      <c r="U10" s="36">
        <v>8.5000000000000006E-2</v>
      </c>
    </row>
    <row r="11" spans="1:24" x14ac:dyDescent="0.3">
      <c r="A11" s="15">
        <f xml:space="preserve"> 252 * 3</f>
        <v>756</v>
      </c>
      <c r="B11" s="71" t="s">
        <v>47</v>
      </c>
      <c r="C11" s="72"/>
      <c r="D11" s="9" t="s">
        <v>0</v>
      </c>
      <c r="E11" s="8">
        <f>CORREL(D14:D412,E14:E412)</f>
        <v>7.8067390516820476E-2</v>
      </c>
      <c r="F11" s="79" t="s">
        <v>21</v>
      </c>
      <c r="G11" s="77"/>
      <c r="H11" s="77" t="s">
        <v>28</v>
      </c>
      <c r="I11" s="78"/>
      <c r="J11" s="72" t="s">
        <v>18</v>
      </c>
      <c r="K11" s="74"/>
      <c r="L11" s="80" t="s">
        <v>27</v>
      </c>
      <c r="M11" s="81"/>
      <c r="N11" s="66" t="s">
        <v>29</v>
      </c>
      <c r="O11" s="67" t="s">
        <v>49</v>
      </c>
      <c r="P11" s="67" t="s">
        <v>50</v>
      </c>
      <c r="Q11" s="66" t="s">
        <v>36</v>
      </c>
      <c r="R11" s="49" t="s">
        <v>37</v>
      </c>
      <c r="T11" s="47">
        <v>6</v>
      </c>
      <c r="U11" s="36">
        <v>8.5000000000000006E-2</v>
      </c>
    </row>
    <row r="12" spans="1:24" x14ac:dyDescent="0.3">
      <c r="A12" s="61" t="s">
        <v>13</v>
      </c>
      <c r="B12" s="62" t="s">
        <v>14</v>
      </c>
      <c r="C12" s="62" t="s">
        <v>15</v>
      </c>
      <c r="D12" s="62" t="s">
        <v>16</v>
      </c>
      <c r="E12" s="61" t="s">
        <v>17</v>
      </c>
      <c r="F12" s="63" t="s">
        <v>49</v>
      </c>
      <c r="G12" s="63" t="s">
        <v>50</v>
      </c>
      <c r="H12" s="62"/>
      <c r="I12" s="62"/>
      <c r="J12" s="63" t="s">
        <v>49</v>
      </c>
      <c r="K12" s="63" t="s">
        <v>50</v>
      </c>
      <c r="L12" s="31" t="s">
        <v>22</v>
      </c>
      <c r="M12" s="41">
        <v>0</v>
      </c>
      <c r="N12" s="36">
        <f>M12*2</f>
        <v>0</v>
      </c>
      <c r="O12" s="36">
        <v>0</v>
      </c>
      <c r="P12" s="36">
        <v>0</v>
      </c>
      <c r="Q12" s="50">
        <v>59</v>
      </c>
      <c r="R12" s="37">
        <f t="shared" ref="R12:R18" si="0">Q12/$M$6</f>
        <v>0.59</v>
      </c>
      <c r="T12" s="47">
        <v>7</v>
      </c>
      <c r="U12" s="36">
        <v>8.5000000000000006E-2</v>
      </c>
    </row>
    <row r="13" spans="1:24" x14ac:dyDescent="0.3">
      <c r="A13" s="10">
        <v>1</v>
      </c>
      <c r="B13" s="12"/>
      <c r="C13" s="12"/>
      <c r="D13" s="12"/>
      <c r="E13" s="11"/>
      <c r="F13" s="26">
        <v>10000</v>
      </c>
      <c r="G13" s="26">
        <v>10000</v>
      </c>
      <c r="H13" s="29"/>
      <c r="I13" s="29"/>
      <c r="J13" s="12">
        <v>1.7900095784066941</v>
      </c>
      <c r="K13" s="24">
        <v>0.64833275180123962</v>
      </c>
      <c r="L13" s="31" t="s">
        <v>23</v>
      </c>
      <c r="M13" s="41">
        <v>0</v>
      </c>
      <c r="N13" s="36">
        <f>M13</f>
        <v>0</v>
      </c>
      <c r="O13" s="36">
        <v>0</v>
      </c>
      <c r="P13" s="36">
        <v>0</v>
      </c>
      <c r="Q13" s="50">
        <v>13</v>
      </c>
      <c r="R13" s="37">
        <f t="shared" si="0"/>
        <v>0.13</v>
      </c>
      <c r="T13" s="47">
        <v>8</v>
      </c>
      <c r="U13" s="36">
        <v>-0.22986929203717751</v>
      </c>
    </row>
    <row r="14" spans="1:24" x14ac:dyDescent="0.3">
      <c r="A14" s="10">
        <f>A13+1</f>
        <v>2</v>
      </c>
      <c r="B14" s="13">
        <v>-0.82005569509393317</v>
      </c>
      <c r="C14" s="13">
        <v>-0.26403528599755527</v>
      </c>
      <c r="D14" s="16">
        <v>-1.8813162084795533E-2</v>
      </c>
      <c r="E14" s="16">
        <v>-5.30570319537215E-3</v>
      </c>
      <c r="F14" s="12">
        <v>9813.627008760599</v>
      </c>
      <c r="G14" s="12">
        <v>9947.0834718778933</v>
      </c>
      <c r="H14" s="35">
        <v>0.98136270087605992</v>
      </c>
      <c r="I14" s="35">
        <v>0.99470834718778933</v>
      </c>
      <c r="J14" s="12">
        <v>1.6812528696376021</v>
      </c>
      <c r="K14" s="24">
        <v>0.62033383574387679</v>
      </c>
      <c r="L14" s="31" t="s">
        <v>24</v>
      </c>
      <c r="M14" s="41">
        <v>0</v>
      </c>
      <c r="N14" s="36">
        <f>M14 / 1.5</f>
        <v>0</v>
      </c>
      <c r="O14" s="36">
        <v>0</v>
      </c>
      <c r="P14" s="36">
        <v>0</v>
      </c>
      <c r="Q14" s="50">
        <v>3</v>
      </c>
      <c r="R14" s="37">
        <f t="shared" si="0"/>
        <v>0.03</v>
      </c>
      <c r="T14" s="47">
        <v>9</v>
      </c>
      <c r="U14" s="36">
        <v>8.5000000000000006E-2</v>
      </c>
    </row>
    <row r="15" spans="1:24" x14ac:dyDescent="0.3">
      <c r="A15" s="10">
        <f t="shared" ref="A15:A78" si="1">A14+1</f>
        <v>3</v>
      </c>
      <c r="B15" s="13">
        <v>0.97670069507505453</v>
      </c>
      <c r="C15" s="13">
        <v>-0.3349244760719392</v>
      </c>
      <c r="D15" s="16">
        <v>2.1933442843375436E-2</v>
      </c>
      <c r="E15" s="16">
        <v>-6.6900389560787818E-3</v>
      </c>
      <c r="F15" s="12">
        <v>10031.251539017929</v>
      </c>
      <c r="G15" s="12">
        <v>9880.7591993059596</v>
      </c>
      <c r="H15" s="35">
        <v>1.0031251539017929</v>
      </c>
      <c r="I15" s="35">
        <v>0.98807591993059596</v>
      </c>
      <c r="J15" s="12">
        <v>1.8082462043520968</v>
      </c>
      <c r="K15" s="24">
        <v>0.58524068420486952</v>
      </c>
      <c r="L15" s="31" t="s">
        <v>25</v>
      </c>
      <c r="M15" s="41">
        <v>0</v>
      </c>
      <c r="N15" s="36">
        <f>M15 / 2</f>
        <v>0</v>
      </c>
      <c r="O15" s="36">
        <v>0</v>
      </c>
      <c r="P15" s="36">
        <v>0</v>
      </c>
      <c r="Q15" s="50">
        <v>2</v>
      </c>
      <c r="R15" s="37">
        <f t="shared" si="0"/>
        <v>0.02</v>
      </c>
      <c r="T15" s="47">
        <v>10</v>
      </c>
      <c r="U15" s="36">
        <v>8.5000000000000006E-2</v>
      </c>
    </row>
    <row r="16" spans="1:24" x14ac:dyDescent="0.3">
      <c r="A16" s="10">
        <f t="shared" si="1"/>
        <v>4</v>
      </c>
      <c r="B16" s="13">
        <v>1.1171678314132636</v>
      </c>
      <c r="C16" s="13">
        <v>0.42217580221636436</v>
      </c>
      <c r="D16" s="16">
        <v>2.5118938073046621E-2</v>
      </c>
      <c r="E16" s="16">
        <v>8.0947397750040766E-3</v>
      </c>
      <c r="F16" s="12">
        <v>10286.41725463154</v>
      </c>
      <c r="G16" s="12">
        <v>9961.0659664884024</v>
      </c>
      <c r="H16" s="35">
        <v>1.0286417254631541</v>
      </c>
      <c r="I16" s="35">
        <v>0.99610659664884027</v>
      </c>
      <c r="J16" s="12">
        <v>1.957146445939139</v>
      </c>
      <c r="K16" s="24">
        <v>0.62773218001863318</v>
      </c>
      <c r="L16" s="31" t="s">
        <v>26</v>
      </c>
      <c r="M16" s="41">
        <v>0</v>
      </c>
      <c r="N16" s="36">
        <f>M16/2.5</f>
        <v>0</v>
      </c>
      <c r="O16" s="36">
        <v>0</v>
      </c>
      <c r="P16" s="36">
        <v>0</v>
      </c>
      <c r="Q16" s="50">
        <v>4</v>
      </c>
      <c r="R16" s="37">
        <f t="shared" si="0"/>
        <v>0.04</v>
      </c>
      <c r="T16" s="47">
        <v>11</v>
      </c>
      <c r="U16" s="36">
        <v>8.5000000000000006E-2</v>
      </c>
    </row>
    <row r="17" spans="1:21" x14ac:dyDescent="0.3">
      <c r="A17" s="10">
        <f t="shared" si="1"/>
        <v>5</v>
      </c>
      <c r="B17" s="13">
        <v>1.7247188268302152</v>
      </c>
      <c r="C17" s="13">
        <v>-1.1384669585186322</v>
      </c>
      <c r="D17" s="16">
        <v>3.889689958158659E-2</v>
      </c>
      <c r="E17" s="16">
        <v>-2.2381748686867459E-2</v>
      </c>
      <c r="F17" s="12">
        <v>10694.41038884867</v>
      </c>
      <c r="G17" s="12">
        <v>9740.5963427061797</v>
      </c>
      <c r="H17" s="35">
        <v>1.069441038884867</v>
      </c>
      <c r="I17" s="35">
        <v>0.97405963427061792</v>
      </c>
      <c r="J17" s="12">
        <v>2.1952281024214582</v>
      </c>
      <c r="K17" s="24">
        <v>0.51107844802713465</v>
      </c>
      <c r="L17" s="31" t="s">
        <v>43</v>
      </c>
      <c r="M17" s="41">
        <v>0</v>
      </c>
      <c r="N17" s="36">
        <f>M17 / 3</f>
        <v>0</v>
      </c>
      <c r="O17" s="36">
        <v>0</v>
      </c>
      <c r="P17" s="36">
        <v>0</v>
      </c>
      <c r="Q17" s="50">
        <v>2</v>
      </c>
      <c r="R17" s="37">
        <f t="shared" si="0"/>
        <v>0.02</v>
      </c>
      <c r="T17" s="47">
        <v>12</v>
      </c>
      <c r="U17" s="36">
        <v>-0.14128890896143198</v>
      </c>
    </row>
    <row r="18" spans="1:21" x14ac:dyDescent="0.3">
      <c r="A18" s="10">
        <f t="shared" si="1"/>
        <v>6</v>
      </c>
      <c r="B18" s="13">
        <v>-0.1316713586007891</v>
      </c>
      <c r="C18" s="13">
        <v>8.0004237662588823E-2</v>
      </c>
      <c r="D18" s="16">
        <v>-3.2020727065692717E-3</v>
      </c>
      <c r="E18" s="16">
        <v>1.4127571961130324E-3</v>
      </c>
      <c r="F18" s="12">
        <v>10660.22087709376</v>
      </c>
      <c r="G18" s="12">
        <v>9754.3671654077916</v>
      </c>
      <c r="H18" s="35">
        <v>1.066022087709376</v>
      </c>
      <c r="I18" s="35">
        <v>0.97543671654077913</v>
      </c>
      <c r="J18" s="12">
        <v>2.1752770421945509</v>
      </c>
      <c r="K18" s="24">
        <v>0.51836479357069609</v>
      </c>
      <c r="L18" s="59" t="s">
        <v>44</v>
      </c>
      <c r="M18" s="41">
        <v>-0.45014494668971494</v>
      </c>
      <c r="N18" s="36">
        <f>M18 / 3</f>
        <v>-0.1500483155632383</v>
      </c>
      <c r="O18" s="36">
        <v>0.57058206161402969</v>
      </c>
      <c r="P18" s="36">
        <v>0.54985505331028506</v>
      </c>
      <c r="Q18" s="67">
        <v>17</v>
      </c>
      <c r="R18" s="37">
        <f t="shared" si="0"/>
        <v>0.17</v>
      </c>
      <c r="T18" s="47">
        <v>13</v>
      </c>
      <c r="U18" s="36">
        <v>-0.22577637700886757</v>
      </c>
    </row>
    <row r="19" spans="1:21" ht="11.25" thickBot="1" x14ac:dyDescent="0.35">
      <c r="A19" s="10">
        <f t="shared" si="1"/>
        <v>7</v>
      </c>
      <c r="B19" s="13">
        <v>6.4542643214733761E-3</v>
      </c>
      <c r="C19" s="13">
        <v>0.99551705413631986</v>
      </c>
      <c r="D19" s="16">
        <v>-6.9678009956221685E-5</v>
      </c>
      <c r="E19" s="16">
        <v>1.92910420220502E-2</v>
      </c>
      <c r="F19" s="12">
        <v>10659.478119994568</v>
      </c>
      <c r="G19" s="12">
        <v>9944.3658160647628</v>
      </c>
      <c r="H19" s="35">
        <v>1.0659478119994568</v>
      </c>
      <c r="I19" s="35">
        <v>0.9944365816064763</v>
      </c>
      <c r="J19" s="12">
        <v>2.1748436112720455</v>
      </c>
      <c r="K19" s="24">
        <v>0.61889588394157669</v>
      </c>
      <c r="L19" s="32" t="s">
        <v>27</v>
      </c>
      <c r="M19" s="38">
        <f>SUM(M12:M18)</f>
        <v>-0.45014494668971494</v>
      </c>
      <c r="N19" s="39">
        <f>SUM(N12:N18)</f>
        <v>-0.1500483155632383</v>
      </c>
      <c r="O19" s="40"/>
      <c r="P19" s="40"/>
      <c r="Q19" s="69">
        <f>SUM(Q12:Q18)</f>
        <v>100</v>
      </c>
      <c r="R19" s="68">
        <f>SUM(R12:R18)</f>
        <v>1</v>
      </c>
      <c r="T19" s="47">
        <v>14</v>
      </c>
      <c r="U19" s="36">
        <v>-0.22022849814690629</v>
      </c>
    </row>
    <row r="20" spans="1:21" x14ac:dyDescent="0.3">
      <c r="A20" s="10">
        <f t="shared" si="1"/>
        <v>8</v>
      </c>
      <c r="B20" s="13">
        <v>-0.49892217651292287</v>
      </c>
      <c r="C20" s="13">
        <v>1.181883507843563</v>
      </c>
      <c r="D20" s="16">
        <v>-1.1530538417831309E-2</v>
      </c>
      <c r="E20" s="16">
        <v>2.2930436775923126E-2</v>
      </c>
      <c r="F20" s="12">
        <v>10537.274488795278</v>
      </c>
      <c r="G20" s="12">
        <v>10175.02896415714</v>
      </c>
      <c r="H20" s="35">
        <v>1.0537274488795279</v>
      </c>
      <c r="I20" s="35">
        <v>1.017502896415714</v>
      </c>
      <c r="J20" s="12">
        <v>2.1035325020792182</v>
      </c>
      <c r="K20" s="12">
        <v>0.74094316009814432</v>
      </c>
      <c r="T20" s="47">
        <v>15</v>
      </c>
      <c r="U20" s="36">
        <v>8.5000000000000006E-2</v>
      </c>
    </row>
    <row r="21" spans="1:21" ht="11.25" thickBot="1" x14ac:dyDescent="0.35">
      <c r="A21" s="10">
        <f t="shared" si="1"/>
        <v>9</v>
      </c>
      <c r="B21" s="13">
        <v>1.1354448218889674</v>
      </c>
      <c r="C21" s="13">
        <v>0.5839436185653164</v>
      </c>
      <c r="D21" s="16">
        <v>2.5533421257447265E-2</v>
      </c>
      <c r="E21" s="16">
        <v>1.125376829357364E-2</v>
      </c>
      <c r="F21" s="12">
        <v>10809.79149742532</v>
      </c>
      <c r="G21" s="12">
        <v>10290.183126301821</v>
      </c>
      <c r="H21" s="35">
        <v>1.0809791497425321</v>
      </c>
      <c r="I21" s="35">
        <v>1.0290183126301822</v>
      </c>
      <c r="J21" s="12">
        <v>2.2625579743062039</v>
      </c>
      <c r="K21" s="12">
        <v>0.80187292692080803</v>
      </c>
      <c r="L21" s="85" t="s">
        <v>42</v>
      </c>
      <c r="M21" s="85"/>
      <c r="N21" s="85"/>
      <c r="O21" s="85"/>
      <c r="T21" s="47">
        <v>16</v>
      </c>
      <c r="U21" s="36">
        <v>8.5000000000000006E-2</v>
      </c>
    </row>
    <row r="22" spans="1:21" ht="10.5" customHeight="1" x14ac:dyDescent="0.3">
      <c r="A22" s="10">
        <f t="shared" si="1"/>
        <v>10</v>
      </c>
      <c r="B22" s="13">
        <v>-0.87064159814457709</v>
      </c>
      <c r="C22" s="13">
        <v>-0.66893034529824358</v>
      </c>
      <c r="D22" s="16">
        <v>-1.9960342536089481E-2</v>
      </c>
      <c r="E22" s="16">
        <v>-1.3212560493857746E-2</v>
      </c>
      <c r="F22" s="12">
        <v>10596.163493138003</v>
      </c>
      <c r="G22" s="12">
        <v>10155.117704161277</v>
      </c>
      <c r="H22" s="35">
        <v>1.0596163493138002</v>
      </c>
      <c r="I22" s="35">
        <v>1.0155117704161278</v>
      </c>
      <c r="J22" s="12">
        <v>2.1378967855111277</v>
      </c>
      <c r="K22" s="24">
        <v>0.73040781855166093</v>
      </c>
      <c r="L22" s="53"/>
      <c r="M22" s="54" t="s">
        <v>40</v>
      </c>
      <c r="N22" s="54" t="s">
        <v>37</v>
      </c>
      <c r="O22" s="55" t="s">
        <v>41</v>
      </c>
      <c r="T22" s="47">
        <v>17</v>
      </c>
      <c r="U22" s="36">
        <v>8.5000000000000006E-2</v>
      </c>
    </row>
    <row r="23" spans="1:21" ht="11.25" customHeight="1" x14ac:dyDescent="0.3">
      <c r="A23" s="10">
        <f t="shared" si="1"/>
        <v>11</v>
      </c>
      <c r="B23" s="13">
        <v>1.0414398899855708</v>
      </c>
      <c r="C23" s="13">
        <v>0.28325062524067923</v>
      </c>
      <c r="D23" s="16">
        <v>2.3401589784619131E-2</v>
      </c>
      <c r="E23" s="16">
        <v>5.3817860743321068E-3</v>
      </c>
      <c r="F23" s="12">
        <v>10847.054741918635</v>
      </c>
      <c r="G23" s="12">
        <v>10209.917703875262</v>
      </c>
      <c r="H23" s="35">
        <v>1.0847054741918636</v>
      </c>
      <c r="I23" s="35">
        <v>1.0209917703875262</v>
      </c>
      <c r="J23" s="12">
        <v>2.2843026906527117</v>
      </c>
      <c r="K23" s="56">
        <v>0.75940330722761551</v>
      </c>
      <c r="L23" s="51" t="s">
        <v>38</v>
      </c>
      <c r="M23" s="36">
        <v>8.5000000000000006E-2</v>
      </c>
      <c r="N23" s="36">
        <f>SUM(R12:R17)</f>
        <v>0.83000000000000007</v>
      </c>
      <c r="O23" s="86">
        <f>M23 * N23 + M24 * N24</f>
        <v>3.6991002491611871E-2</v>
      </c>
      <c r="T23" s="47">
        <v>18</v>
      </c>
      <c r="U23" s="36">
        <v>-0.17875524846866653</v>
      </c>
    </row>
    <row r="24" spans="1:21" ht="12.75" customHeight="1" thickBot="1" x14ac:dyDescent="0.35">
      <c r="A24" s="10">
        <f t="shared" si="1"/>
        <v>12</v>
      </c>
      <c r="B24" s="13">
        <v>-0.55061605426622495</v>
      </c>
      <c r="C24" s="13">
        <v>1.4056291313612137</v>
      </c>
      <c r="D24" s="16">
        <v>-1.2702845373601123E-2</v>
      </c>
      <c r="E24" s="16">
        <v>2.7299778104439901E-2</v>
      </c>
      <c r="F24" s="12">
        <v>10710.137741613338</v>
      </c>
      <c r="G24" s="12">
        <v>10492.485663873022</v>
      </c>
      <c r="H24" s="35">
        <v>1.0710137741613339</v>
      </c>
      <c r="I24" s="35">
        <v>1.0492485663873021</v>
      </c>
      <c r="J24" s="24">
        <v>2.2044056936215624</v>
      </c>
      <c r="K24" s="12">
        <v>0.90891418545872815</v>
      </c>
      <c r="L24" s="52" t="s">
        <v>39</v>
      </c>
      <c r="M24" s="58">
        <v>-0.19740586769640084</v>
      </c>
      <c r="N24" s="58">
        <f>R18</f>
        <v>0.17</v>
      </c>
      <c r="O24" s="87"/>
      <c r="T24" s="47">
        <v>19</v>
      </c>
      <c r="U24" s="36">
        <v>8.5000000000000006E-2</v>
      </c>
    </row>
    <row r="25" spans="1:21" x14ac:dyDescent="0.3">
      <c r="A25" s="10">
        <f t="shared" si="1"/>
        <v>13</v>
      </c>
      <c r="B25" s="13">
        <v>-0.4881362261984088</v>
      </c>
      <c r="C25" s="13">
        <v>-0.8666918258241143</v>
      </c>
      <c r="D25" s="16">
        <v>-1.1285936056239568E-2</v>
      </c>
      <c r="E25" s="16">
        <v>-1.7074479205229486E-2</v>
      </c>
      <c r="F25" s="12">
        <v>10589.943340852882</v>
      </c>
      <c r="G25" s="12">
        <v>10314.852745914775</v>
      </c>
      <c r="H25" s="35">
        <v>1.0589943340852883</v>
      </c>
      <c r="I25" s="35">
        <v>1.0314852745914775</v>
      </c>
      <c r="J25" s="12">
        <v>2.1342670573725515</v>
      </c>
      <c r="K25" s="57">
        <v>0.81492598677228412</v>
      </c>
      <c r="L25" s="25"/>
      <c r="T25" s="47">
        <v>20</v>
      </c>
      <c r="U25" s="36">
        <v>8.5000000000000006E-2</v>
      </c>
    </row>
    <row r="26" spans="1:21" x14ac:dyDescent="0.3">
      <c r="A26" s="10">
        <f t="shared" si="1"/>
        <v>14</v>
      </c>
      <c r="B26" s="13">
        <v>0.20756847100951475</v>
      </c>
      <c r="C26" s="13">
        <v>0.61354866410785558</v>
      </c>
      <c r="D26" s="16">
        <v>4.4911634987746399E-3</v>
      </c>
      <c r="E26" s="16">
        <v>1.1831900491146807E-2</v>
      </c>
      <c r="F26" s="12">
        <v>10637.611470396805</v>
      </c>
      <c r="G26" s="12">
        <v>10437.621921277425</v>
      </c>
      <c r="H26" s="35">
        <v>1.0637611470396806</v>
      </c>
      <c r="I26" s="35">
        <v>1.0437621921277425</v>
      </c>
      <c r="J26" s="12">
        <v>2.1620834745899824</v>
      </c>
      <c r="K26" s="12">
        <v>0.87988496948329198</v>
      </c>
      <c r="L26" s="25"/>
      <c r="T26" s="47">
        <v>21</v>
      </c>
      <c r="U26" s="36">
        <v>8.5000000000000006E-2</v>
      </c>
    </row>
    <row r="27" spans="1:21" x14ac:dyDescent="0.3">
      <c r="A27" s="10">
        <f t="shared" si="1"/>
        <v>15</v>
      </c>
      <c r="B27" s="13">
        <v>-0.95809573991177754</v>
      </c>
      <c r="C27" s="13">
        <v>-1.0877300731039208</v>
      </c>
      <c r="D27" s="16">
        <v>-2.1943616052420331E-2</v>
      </c>
      <c r="E27" s="16">
        <v>-2.1390950445375909E-2</v>
      </c>
      <c r="F27" s="12">
        <v>10406.726300952689</v>
      </c>
      <c r="G27" s="12">
        <v>10216.722317305366</v>
      </c>
      <c r="H27" s="35">
        <v>1.0406726300952689</v>
      </c>
      <c r="I27" s="35">
        <v>1.0216722317305367</v>
      </c>
      <c r="J27" s="12">
        <v>2.0273519828360009</v>
      </c>
      <c r="K27" s="12">
        <v>0.76300372862700605</v>
      </c>
      <c r="L27" s="25"/>
      <c r="T27" s="47">
        <v>22</v>
      </c>
      <c r="U27" s="36">
        <v>8.5000000000000006E-2</v>
      </c>
    </row>
    <row r="28" spans="1:21" x14ac:dyDescent="0.3">
      <c r="A28" s="10">
        <f t="shared" si="1"/>
        <v>16</v>
      </c>
      <c r="B28" s="13">
        <v>-0.24685129286365542</v>
      </c>
      <c r="C28" s="13">
        <v>-0.10508102414821564</v>
      </c>
      <c r="D28" s="16">
        <v>-5.8141080958633729E-3</v>
      </c>
      <c r="E28" s="16">
        <v>-2.2016182317285715E-3</v>
      </c>
      <c r="F28" s="12">
        <v>10346.396022644214</v>
      </c>
      <c r="G28" s="12">
        <v>10194.253737875799</v>
      </c>
      <c r="H28" s="35">
        <v>1.0346396022644213</v>
      </c>
      <c r="I28" s="35">
        <v>1.0194253737875798</v>
      </c>
      <c r="J28" s="12">
        <v>1.9921466536500523</v>
      </c>
      <c r="K28" s="12">
        <v>0.75111527162308123</v>
      </c>
      <c r="L28" s="25"/>
      <c r="T28" s="47">
        <v>23</v>
      </c>
      <c r="U28" s="36">
        <v>-0.15623999106364053</v>
      </c>
    </row>
    <row r="29" spans="1:21" x14ac:dyDescent="0.3">
      <c r="A29" s="10">
        <f t="shared" si="1"/>
        <v>17</v>
      </c>
      <c r="B29" s="13">
        <v>0.1906104286349781</v>
      </c>
      <c r="C29" s="13">
        <v>-0.56446427713306357</v>
      </c>
      <c r="D29" s="16">
        <v>4.1065912458130467E-3</v>
      </c>
      <c r="E29" s="16">
        <v>-1.117252993645217E-2</v>
      </c>
      <c r="F29" s="12">
        <v>10388.971802806096</v>
      </c>
      <c r="G29" s="12">
        <v>10080.992020930584</v>
      </c>
      <c r="H29" s="35">
        <v>1.0388971802806095</v>
      </c>
      <c r="I29" s="35">
        <v>1.0080992020930584</v>
      </c>
      <c r="J29" s="12">
        <v>2.0169914645472216</v>
      </c>
      <c r="K29" s="12">
        <v>0.69118682548723098</v>
      </c>
      <c r="L29" s="25"/>
      <c r="T29" s="47">
        <v>24</v>
      </c>
      <c r="U29" s="36">
        <v>8.5000000000000006E-2</v>
      </c>
    </row>
    <row r="30" spans="1:21" x14ac:dyDescent="0.3">
      <c r="A30" s="10">
        <f t="shared" si="1"/>
        <v>18</v>
      </c>
      <c r="B30" s="13">
        <v>-0.59165796224828915</v>
      </c>
      <c r="C30" s="13">
        <v>-0.32099647939547882</v>
      </c>
      <c r="D30" s="16">
        <v>-1.3633588360905169E-2</v>
      </c>
      <c r="E30" s="16">
        <v>-6.4180507466776639E-3</v>
      </c>
      <c r="F30" s="12">
        <v>10248.293988490364</v>
      </c>
      <c r="G30" s="12">
        <v>10016.498884055967</v>
      </c>
      <c r="H30" s="35">
        <v>1.0248293988490365</v>
      </c>
      <c r="I30" s="35">
        <v>1.0016498884055967</v>
      </c>
      <c r="J30" s="12">
        <v>1.9348998697294102</v>
      </c>
      <c r="K30" s="12">
        <v>0.65706255487254517</v>
      </c>
      <c r="L30" s="25"/>
      <c r="T30" s="47">
        <v>25</v>
      </c>
      <c r="U30" s="36">
        <v>8.5000000000000006E-2</v>
      </c>
    </row>
    <row r="31" spans="1:21" x14ac:dyDescent="0.3">
      <c r="A31" s="10">
        <f t="shared" si="1"/>
        <v>19</v>
      </c>
      <c r="B31" s="13">
        <v>-0.29413755239512618</v>
      </c>
      <c r="C31" s="13">
        <v>-0.49317260123236367</v>
      </c>
      <c r="D31" s="16">
        <v>-6.8864596657267664E-3</v>
      </c>
      <c r="E31" s="16">
        <v>-9.7803343663449491E-3</v>
      </c>
      <c r="F31" s="12">
        <v>10177.961972539604</v>
      </c>
      <c r="G31" s="12">
        <v>9919.0116816011414</v>
      </c>
      <c r="H31" s="35">
        <v>1.0177961972539604</v>
      </c>
      <c r="I31" s="35">
        <v>0.99190116816011409</v>
      </c>
      <c r="J31" s="12">
        <v>1.8938580936381817</v>
      </c>
      <c r="K31" s="12">
        <v>0.60548063717943212</v>
      </c>
      <c r="L31" s="25"/>
      <c r="T31" s="47">
        <v>26</v>
      </c>
      <c r="U31" s="36">
        <v>8.5000000000000006E-2</v>
      </c>
    </row>
    <row r="32" spans="1:21" x14ac:dyDescent="0.3">
      <c r="A32" s="10">
        <f t="shared" si="1"/>
        <v>20</v>
      </c>
      <c r="B32" s="13">
        <v>2.8215819390978423</v>
      </c>
      <c r="C32" s="13">
        <v>1.8873994040209978</v>
      </c>
      <c r="D32" s="16">
        <v>6.3771416873076262E-2</v>
      </c>
      <c r="E32" s="16">
        <v>3.6707867210670528E-2</v>
      </c>
      <c r="F32" s="12">
        <v>10848.167902236324</v>
      </c>
      <c r="G32" s="12">
        <v>10289.882744341563</v>
      </c>
      <c r="H32" s="35">
        <v>1.0848167902236323</v>
      </c>
      <c r="I32" s="35">
        <v>1.0289882744341563</v>
      </c>
      <c r="J32" s="12">
        <v>2.2849522678885501</v>
      </c>
      <c r="K32" s="12">
        <v>0.80171399039211122</v>
      </c>
      <c r="L32" s="25"/>
      <c r="T32" s="47">
        <v>27</v>
      </c>
      <c r="U32" s="36">
        <v>8.4999999999999992E-2</v>
      </c>
    </row>
    <row r="33" spans="1:21" x14ac:dyDescent="0.3">
      <c r="A33" s="10">
        <f t="shared" si="1"/>
        <v>21</v>
      </c>
      <c r="B33" s="13">
        <v>1.021598025988937</v>
      </c>
      <c r="C33" s="13">
        <v>1.1057736202957431</v>
      </c>
      <c r="D33" s="16">
        <v>2.2951618604478623E-2</v>
      </c>
      <c r="E33" s="16">
        <v>2.1444150376469958E-2</v>
      </c>
      <c r="F33" s="12">
        <v>11100.030181806575</v>
      </c>
      <c r="G33" s="12">
        <v>10512.923449407577</v>
      </c>
      <c r="H33" s="35">
        <v>1.1100030181806575</v>
      </c>
      <c r="I33" s="35">
        <v>1.0512923449407576</v>
      </c>
      <c r="J33" s="12">
        <v>2.4319248115333316</v>
      </c>
      <c r="K33" s="12">
        <v>0.91972811943905186</v>
      </c>
      <c r="L33" s="25"/>
      <c r="T33" s="47">
        <v>28</v>
      </c>
      <c r="U33" s="36">
        <v>8.5000000000000006E-2</v>
      </c>
    </row>
    <row r="34" spans="1:21" x14ac:dyDescent="0.3">
      <c r="A34" s="10">
        <f t="shared" si="1"/>
        <v>22</v>
      </c>
      <c r="B34" s="13">
        <v>1.6522647973110705</v>
      </c>
      <c r="C34" s="13">
        <v>0.9070401544688409</v>
      </c>
      <c r="D34" s="16">
        <v>3.7253796636510676E-2</v>
      </c>
      <c r="E34" s="16">
        <v>1.756325057630757E-2</v>
      </c>
      <c r="F34" s="12">
        <v>11521.347558982772</v>
      </c>
      <c r="G34" s="12">
        <v>10699.195541735386</v>
      </c>
      <c r="H34" s="35">
        <v>1.1521347558982773</v>
      </c>
      <c r="I34" s="35">
        <v>1.0699195541735385</v>
      </c>
      <c r="J34" s="12">
        <v>2.6777817406097717</v>
      </c>
      <c r="K34" s="12">
        <v>1.0182874327953799</v>
      </c>
      <c r="L34" s="25"/>
      <c r="T34" s="47">
        <v>29</v>
      </c>
      <c r="U34" s="36">
        <v>-0.16530225531539131</v>
      </c>
    </row>
    <row r="35" spans="1:21" x14ac:dyDescent="0.3">
      <c r="A35" s="10">
        <f t="shared" si="1"/>
        <v>23</v>
      </c>
      <c r="B35" s="13">
        <v>0.16612169035542848</v>
      </c>
      <c r="C35" s="13">
        <v>-0.37108231994090463</v>
      </c>
      <c r="D35" s="16">
        <v>3.5512388623035944E-3</v>
      </c>
      <c r="E35" s="16">
        <v>-7.3961352769047594E-3</v>
      </c>
      <c r="F35" s="12">
        <v>11562.335351825988</v>
      </c>
      <c r="G35" s="12">
        <v>10620.354762091181</v>
      </c>
      <c r="H35" s="35">
        <v>1.1562335351825987</v>
      </c>
      <c r="I35" s="35">
        <v>1.0620354762091182</v>
      </c>
      <c r="J35" s="12">
        <v>2.7016998921600224</v>
      </c>
      <c r="K35" s="12">
        <v>0.97657161262552028</v>
      </c>
      <c r="L35" s="25"/>
      <c r="T35" s="47">
        <v>30</v>
      </c>
      <c r="U35" s="36">
        <v>8.5000000000000006E-2</v>
      </c>
    </row>
    <row r="36" spans="1:21" x14ac:dyDescent="0.3">
      <c r="A36" s="10">
        <f t="shared" si="1"/>
        <v>24</v>
      </c>
      <c r="B36" s="13">
        <v>0.51257098692521308</v>
      </c>
      <c r="C36" s="13">
        <v>-2.4115613551571684</v>
      </c>
      <c r="D36" s="16">
        <v>1.1407970410448559E-2</v>
      </c>
      <c r="E36" s="16">
        <v>-4.7242945410552489E-2</v>
      </c>
      <c r="F36" s="12">
        <v>11694.993372087341</v>
      </c>
      <c r="G36" s="12">
        <v>10130.285231164129</v>
      </c>
      <c r="H36" s="35">
        <v>1.1694993372087341</v>
      </c>
      <c r="I36" s="35">
        <v>1.0130285231164129</v>
      </c>
      <c r="J36" s="12">
        <v>2.7791115899575636</v>
      </c>
      <c r="K36" s="12">
        <v>0.71726859057095338</v>
      </c>
      <c r="L36" s="25"/>
      <c r="T36" s="47">
        <v>31</v>
      </c>
      <c r="U36" s="36">
        <v>8.5000000000000006E-2</v>
      </c>
    </row>
    <row r="37" spans="1:21" x14ac:dyDescent="0.3">
      <c r="A37" s="10">
        <f t="shared" si="1"/>
        <v>25</v>
      </c>
      <c r="B37" s="13">
        <v>0.53067003503807897</v>
      </c>
      <c r="C37" s="13">
        <v>0.48944102651049415</v>
      </c>
      <c r="D37" s="16">
        <v>1.181841824136544E-2</v>
      </c>
      <c r="E37" s="16">
        <v>9.4083061360332853E-3</v>
      </c>
      <c r="F37" s="12">
        <v>11834.029671335351</v>
      </c>
      <c r="G37" s="12">
        <v>10226.043812540665</v>
      </c>
      <c r="H37" s="35">
        <v>1.1834029671335351</v>
      </c>
      <c r="I37" s="35">
        <v>1.0226043812540666</v>
      </c>
      <c r="J37" s="12">
        <v>2.8602452896695811</v>
      </c>
      <c r="K37" s="12">
        <v>0.7679358693377496</v>
      </c>
      <c r="L37" s="25"/>
      <c r="T37" s="47">
        <v>32</v>
      </c>
      <c r="U37" s="36">
        <v>8.5000000000000006E-2</v>
      </c>
    </row>
    <row r="38" spans="1:21" x14ac:dyDescent="0.3">
      <c r="A38" s="10">
        <f t="shared" si="1"/>
        <v>26</v>
      </c>
      <c r="B38" s="13">
        <v>0.81798839411014512</v>
      </c>
      <c r="C38" s="13">
        <v>0.85670135562632876</v>
      </c>
      <c r="D38" s="16">
        <v>1.8334186171718406E-2</v>
      </c>
      <c r="E38" s="16">
        <v>1.6580226234858809E-2</v>
      </c>
      <c r="F38" s="12">
        <v>12052.998145192962</v>
      </c>
      <c r="G38" s="12">
        <v>10397.007322752046</v>
      </c>
      <c r="H38" s="35">
        <v>1.2052998145192961</v>
      </c>
      <c r="I38" s="35">
        <v>1.0397007322752045</v>
      </c>
      <c r="J38" s="12">
        <v>2.9880228736562793</v>
      </c>
      <c r="K38" s="12">
        <v>0.85839518594738928</v>
      </c>
      <c r="L38" s="25"/>
      <c r="T38" s="47">
        <v>33</v>
      </c>
      <c r="U38" s="36">
        <v>8.5000000000000006E-2</v>
      </c>
    </row>
    <row r="39" spans="1:21" x14ac:dyDescent="0.3">
      <c r="A39" s="10">
        <f t="shared" si="1"/>
        <v>27</v>
      </c>
      <c r="B39" s="13">
        <v>-0.19318019196210934</v>
      </c>
      <c r="C39" s="13">
        <v>0.27018319910265165</v>
      </c>
      <c r="D39" s="16">
        <v>-4.5969619337786977E-3</v>
      </c>
      <c r="E39" s="16">
        <v>5.1266032279166989E-3</v>
      </c>
      <c r="F39" s="12">
        <v>11997.718128945146</v>
      </c>
      <c r="G39" s="12">
        <v>10450.445515219773</v>
      </c>
      <c r="H39" s="35">
        <v>1.1997718128945145</v>
      </c>
      <c r="I39" s="35">
        <v>1.0450445515219773</v>
      </c>
      <c r="J39" s="12">
        <v>2.9557645910165391</v>
      </c>
      <c r="K39" s="12">
        <v>0.88667012230958864</v>
      </c>
      <c r="L39" s="25"/>
      <c r="T39" s="47">
        <v>34</v>
      </c>
      <c r="U39" s="36">
        <v>8.5000000000000006E-2</v>
      </c>
    </row>
    <row r="40" spans="1:21" x14ac:dyDescent="0.3">
      <c r="A40" s="10">
        <f t="shared" si="1"/>
        <v>28</v>
      </c>
      <c r="B40" s="13">
        <v>1.1878639770741228</v>
      </c>
      <c r="C40" s="13">
        <v>2.5165852646943772</v>
      </c>
      <c r="D40" s="16">
        <v>2.6722175959356036E-2</v>
      </c>
      <c r="E40" s="16">
        <v>4.8994712160474525E-2</v>
      </c>
      <c r="F40" s="12">
        <v>12322.645309585612</v>
      </c>
      <c r="G40" s="12">
        <v>10975.212519067665</v>
      </c>
      <c r="H40" s="35">
        <v>1.2322645309585611</v>
      </c>
      <c r="I40" s="35">
        <v>1.0975212519067665</v>
      </c>
      <c r="J40" s="12">
        <v>3.1453736675306612</v>
      </c>
      <c r="K40" s="12">
        <v>1.1643320894081588</v>
      </c>
      <c r="L40" s="25"/>
      <c r="T40" s="47">
        <v>35</v>
      </c>
      <c r="U40" s="36">
        <v>8.5000000000000006E-2</v>
      </c>
    </row>
    <row r="41" spans="1:21" x14ac:dyDescent="0.3">
      <c r="A41" s="10">
        <f t="shared" si="1"/>
        <v>29</v>
      </c>
      <c r="B41" s="13">
        <v>0.27894205675772643</v>
      </c>
      <c r="C41" s="13">
        <v>1.0814476235936086</v>
      </c>
      <c r="D41" s="16">
        <v>6.1097642822207426E-3</v>
      </c>
      <c r="E41" s="16">
        <v>2.0969108312732722E-2</v>
      </c>
      <c r="F41" s="12">
        <v>12398.164234253145</v>
      </c>
      <c r="G41" s="12">
        <v>11207.782813210717</v>
      </c>
      <c r="H41" s="35">
        <v>1.2398164234253144</v>
      </c>
      <c r="I41" s="35">
        <v>1.1207782813210716</v>
      </c>
      <c r="J41" s="12">
        <v>3.1894422294075899</v>
      </c>
      <c r="K41" s="12">
        <v>1.2873884646888933</v>
      </c>
      <c r="L41" s="25"/>
      <c r="T41" s="47">
        <v>36</v>
      </c>
      <c r="U41" s="36">
        <v>8.5000000000000006E-2</v>
      </c>
    </row>
    <row r="42" spans="1:21" x14ac:dyDescent="0.3">
      <c r="A42" s="10">
        <f t="shared" si="1"/>
        <v>30</v>
      </c>
      <c r="B42" s="13">
        <v>-2.3159176034287747</v>
      </c>
      <c r="C42" s="13">
        <v>-0.72697168233824838</v>
      </c>
      <c r="D42" s="16">
        <v>-5.2736121557496851E-2</v>
      </c>
      <c r="E42" s="16">
        <v>-1.4346001267823358E-2</v>
      </c>
      <c r="F42" s="12">
        <v>11761.274288536166</v>
      </c>
      <c r="G42" s="12">
        <v>11048.143775584234</v>
      </c>
      <c r="H42" s="35">
        <v>1.1761274288536165</v>
      </c>
      <c r="I42" s="35">
        <v>1.1048143775584234</v>
      </c>
      <c r="J42" s="12">
        <v>2.8177893741109217</v>
      </c>
      <c r="K42" s="12">
        <v>1.2029210936688588</v>
      </c>
      <c r="L42" s="25"/>
      <c r="T42" s="47">
        <v>37</v>
      </c>
      <c r="U42" s="36">
        <v>8.5000000000000006E-2</v>
      </c>
    </row>
    <row r="43" spans="1:21" x14ac:dyDescent="0.3">
      <c r="A43" s="10">
        <f t="shared" si="1"/>
        <v>31</v>
      </c>
      <c r="B43" s="13">
        <v>0.86595510374381834</v>
      </c>
      <c r="C43" s="13">
        <v>-1.3932946957443257</v>
      </c>
      <c r="D43" s="16">
        <v>1.942196889943908E-2</v>
      </c>
      <c r="E43" s="16">
        <v>-2.7358066642980686E-2</v>
      </c>
      <c r="F43" s="12">
        <v>11991.934074977326</v>
      </c>
      <c r="G43" s="12">
        <v>10749.985041666783</v>
      </c>
      <c r="H43" s="35">
        <v>1.1991934074977326</v>
      </c>
      <c r="I43" s="35">
        <v>1.0749985041666783</v>
      </c>
      <c r="J43" s="12">
        <v>2.9523893451254923</v>
      </c>
      <c r="K43" s="12">
        <v>1.0451609068429064</v>
      </c>
      <c r="L43" s="25"/>
      <c r="T43" s="47">
        <v>38</v>
      </c>
      <c r="U43" s="36">
        <v>8.5000000000000006E-2</v>
      </c>
    </row>
    <row r="44" spans="1:21" x14ac:dyDescent="0.3">
      <c r="A44" s="10">
        <f t="shared" si="1"/>
        <v>32</v>
      </c>
      <c r="B44" s="13">
        <v>-0.81151076157757762</v>
      </c>
      <c r="C44" s="13">
        <v>-0.20588814504124936</v>
      </c>
      <c r="D44" s="16">
        <v>-1.8619381207191039E-2</v>
      </c>
      <c r="E44" s="16">
        <v>-4.1701962651307404E-3</v>
      </c>
      <c r="F44" s="12">
        <v>11770.717531533697</v>
      </c>
      <c r="G44" s="12">
        <v>10705.248838401896</v>
      </c>
      <c r="H44" s="35">
        <v>1.1770717531533696</v>
      </c>
      <c r="I44" s="35">
        <v>1.0705248838401895</v>
      </c>
      <c r="J44" s="12">
        <v>2.823299915212873</v>
      </c>
      <c r="K44" s="12">
        <v>1.0214903214060016</v>
      </c>
      <c r="L44" s="25"/>
      <c r="T44" s="47">
        <v>39</v>
      </c>
      <c r="U44" s="36">
        <v>8.5000000000000006E-2</v>
      </c>
    </row>
    <row r="45" spans="1:21" x14ac:dyDescent="0.3">
      <c r="A45" s="10">
        <f t="shared" si="1"/>
        <v>33</v>
      </c>
      <c r="B45" s="13">
        <v>-0.18283994422343372</v>
      </c>
      <c r="C45" s="13">
        <v>-0.46517213541084129</v>
      </c>
      <c r="D45" s="16">
        <v>-4.3624671565386944E-3</v>
      </c>
      <c r="E45" s="16">
        <v>-9.2335366654189791E-3</v>
      </c>
      <c r="F45" s="12">
        <v>11719.480005165402</v>
      </c>
      <c r="G45" s="12">
        <v>10606.856484505644</v>
      </c>
      <c r="H45" s="35">
        <v>1.1719480005165401</v>
      </c>
      <c r="I45" s="35">
        <v>1.0606856484505645</v>
      </c>
      <c r="J45" s="12">
        <v>2.7934006004235994</v>
      </c>
      <c r="K45" s="12">
        <v>0.96942947472553698</v>
      </c>
      <c r="L45" s="25"/>
      <c r="T45" s="47">
        <v>40</v>
      </c>
      <c r="U45" s="36">
        <v>8.4999999999999992E-2</v>
      </c>
    </row>
    <row r="46" spans="1:21" x14ac:dyDescent="0.3">
      <c r="A46" s="10">
        <f t="shared" si="1"/>
        <v>34</v>
      </c>
      <c r="B46" s="13">
        <v>-0.45976908267846334</v>
      </c>
      <c r="C46" s="13">
        <v>0.44867082426500726</v>
      </c>
      <c r="D46" s="16">
        <v>-1.0642629709161971E-2</v>
      </c>
      <c r="E46" s="16">
        <v>8.612138922379874E-3</v>
      </c>
      <c r="F46" s="12">
        <v>11595.415277583908</v>
      </c>
      <c r="G46" s="12">
        <v>10698.598687343459</v>
      </c>
      <c r="H46" s="35">
        <v>1.1595415277583909</v>
      </c>
      <c r="I46" s="35">
        <v>1.0698598687343459</v>
      </c>
      <c r="J46" s="12">
        <v>2.7210034609219576</v>
      </c>
      <c r="K46" s="12">
        <v>1.0179716283272666</v>
      </c>
      <c r="L46" s="25"/>
      <c r="T46" s="47">
        <v>41</v>
      </c>
      <c r="U46" s="36">
        <v>8.5000000000000006E-2</v>
      </c>
    </row>
    <row r="47" spans="1:21" x14ac:dyDescent="0.3">
      <c r="A47" s="10">
        <f t="shared" si="1"/>
        <v>35</v>
      </c>
      <c r="B47" s="13">
        <v>-0.81794914631864557</v>
      </c>
      <c r="C47" s="13">
        <v>0.55293373188775119</v>
      </c>
      <c r="D47" s="16">
        <v>-1.8765390048932344E-2</v>
      </c>
      <c r="E47" s="16">
        <v>1.0648202127305282E-2</v>
      </c>
      <c r="F47" s="12">
        <v>11379.851680286702</v>
      </c>
      <c r="G47" s="12">
        <v>10813.128213264734</v>
      </c>
      <c r="H47" s="35">
        <v>1.1379851680286701</v>
      </c>
      <c r="I47" s="35">
        <v>1.0813128213264733</v>
      </c>
      <c r="J47" s="12">
        <v>2.5952127698107343</v>
      </c>
      <c r="K47" s="12">
        <v>1.0785708909047311</v>
      </c>
      <c r="L47" s="25"/>
      <c r="T47" s="47">
        <v>42</v>
      </c>
      <c r="U47" s="36">
        <v>8.5000000000000006E-2</v>
      </c>
    </row>
    <row r="48" spans="1:21" x14ac:dyDescent="0.3">
      <c r="A48" s="10">
        <f t="shared" si="1"/>
        <v>36</v>
      </c>
      <c r="B48" s="13">
        <v>-1.338803602212342</v>
      </c>
      <c r="C48" s="13">
        <v>0.20009079074418193</v>
      </c>
      <c r="D48" s="16">
        <v>-3.0577258845114468E-2</v>
      </c>
      <c r="E48" s="16">
        <v>3.757827151580277E-3</v>
      </c>
      <c r="F48" s="12">
        <v>11037.153102028806</v>
      </c>
      <c r="G48" s="12">
        <v>10853.838523305525</v>
      </c>
      <c r="H48" s="35">
        <v>1.1037153102028805</v>
      </c>
      <c r="I48" s="35">
        <v>1.0853838523305526</v>
      </c>
      <c r="J48" s="12">
        <v>2.395233313434995</v>
      </c>
      <c r="K48" s="12">
        <v>1.1001113168161041</v>
      </c>
      <c r="L48" s="25"/>
      <c r="T48" s="47">
        <v>43</v>
      </c>
      <c r="U48" s="36">
        <v>8.5000000000000006E-2</v>
      </c>
    </row>
    <row r="49" spans="1:21" x14ac:dyDescent="0.3">
      <c r="A49" s="10">
        <f t="shared" si="1"/>
        <v>37</v>
      </c>
      <c r="B49" s="13">
        <v>1.301935466751476</v>
      </c>
      <c r="C49" s="13">
        <v>-0.28455080032485036</v>
      </c>
      <c r="D49" s="16">
        <v>2.9309074188232732E-2</v>
      </c>
      <c r="E49" s="16">
        <v>-5.7063335327023328E-3</v>
      </c>
      <c r="F49" s="12">
        <v>11365.429074185038</v>
      </c>
      <c r="G49" s="12">
        <v>10792.079277593701</v>
      </c>
      <c r="H49" s="35">
        <v>1.1365429074185038</v>
      </c>
      <c r="I49" s="35">
        <v>1.07920792775937</v>
      </c>
      <c r="J49" s="12">
        <v>2.5867965547730356</v>
      </c>
      <c r="K49" s="12">
        <v>1.067433588366852</v>
      </c>
      <c r="L49" s="25"/>
      <c r="T49" s="47">
        <v>44</v>
      </c>
      <c r="U49" s="36">
        <v>8.5000000000000006E-2</v>
      </c>
    </row>
    <row r="50" spans="1:21" x14ac:dyDescent="0.3">
      <c r="A50" s="10">
        <f t="shared" si="1"/>
        <v>38</v>
      </c>
      <c r="B50" s="13">
        <v>-8.0767787731323121E-2</v>
      </c>
      <c r="C50" s="13">
        <v>-0.79327712867734912</v>
      </c>
      <c r="D50" s="16">
        <v>-2.0476882262913383E-3</v>
      </c>
      <c r="E50" s="16">
        <v>-1.5640824927122016E-2</v>
      </c>
      <c r="F50" s="12">
        <v>11342.180030403348</v>
      </c>
      <c r="G50" s="12">
        <v>10624.595461891658</v>
      </c>
      <c r="H50" s="35">
        <v>1.1342180030403348</v>
      </c>
      <c r="I50" s="35">
        <v>1.0624595461891659</v>
      </c>
      <c r="J50" s="12">
        <v>2.5732297312386252</v>
      </c>
      <c r="K50" s="12">
        <v>0.97881542948107914</v>
      </c>
      <c r="L50" s="25"/>
      <c r="T50" s="47">
        <v>45</v>
      </c>
      <c r="U50" s="36">
        <v>8.5000000000000006E-2</v>
      </c>
    </row>
    <row r="51" spans="1:21" x14ac:dyDescent="0.3">
      <c r="A51" s="10">
        <f t="shared" si="1"/>
        <v>39</v>
      </c>
      <c r="B51" s="13">
        <v>-0.66005865523995455</v>
      </c>
      <c r="C51" s="13">
        <v>-0.80197477415702989</v>
      </c>
      <c r="D51" s="16">
        <v>-1.5184770273708815E-2</v>
      </c>
      <c r="E51" s="16">
        <v>-1.5810673978279694E-2</v>
      </c>
      <c r="F51" s="12">
        <v>11171.252662960231</v>
      </c>
      <c r="G51" s="12">
        <v>10457.934430287016</v>
      </c>
      <c r="H51" s="35">
        <v>1.1171252662960232</v>
      </c>
      <c r="I51" s="35">
        <v>1.0457934430287015</v>
      </c>
      <c r="J51" s="12">
        <v>2.4734862126200938</v>
      </c>
      <c r="K51" s="12">
        <v>0.89063261780522274</v>
      </c>
      <c r="L51" s="25"/>
      <c r="T51" s="47">
        <v>46</v>
      </c>
      <c r="U51" s="36">
        <v>8.5000000000000006E-2</v>
      </c>
    </row>
    <row r="52" spans="1:21" x14ac:dyDescent="0.3">
      <c r="A52" s="10">
        <f t="shared" si="1"/>
        <v>40</v>
      </c>
      <c r="B52" s="13">
        <v>-0.80632164014631824</v>
      </c>
      <c r="C52" s="13">
        <v>2.2188324511483417</v>
      </c>
      <c r="D52" s="16">
        <v>-1.850170299436223E-2</v>
      </c>
      <c r="E52" s="16">
        <v>4.3180146255429187E-2</v>
      </c>
      <c r="F52" s="12">
        <v>10966.465759086655</v>
      </c>
      <c r="G52" s="12">
        <v>10919.400965663825</v>
      </c>
      <c r="H52" s="35">
        <v>1.0966465759086657</v>
      </c>
      <c r="I52" s="35">
        <v>1.0919400965663824</v>
      </c>
      <c r="J52" s="12">
        <v>2.3539841886616246</v>
      </c>
      <c r="K52" s="12">
        <v>1.1348013727447515</v>
      </c>
      <c r="L52" s="25"/>
      <c r="T52" s="47">
        <v>47</v>
      </c>
      <c r="U52" s="36">
        <v>-0.19507473765036751</v>
      </c>
    </row>
    <row r="53" spans="1:21" x14ac:dyDescent="0.3">
      <c r="A53" s="10">
        <f t="shared" si="1"/>
        <v>41</v>
      </c>
      <c r="B53" s="13">
        <v>-0.92600215291077148</v>
      </c>
      <c r="C53" s="13">
        <v>1.822848101875894</v>
      </c>
      <c r="D53" s="16">
        <v>-2.1215801910551668E-2</v>
      </c>
      <c r="E53" s="16">
        <v>3.5447298767641626E-2</v>
      </c>
      <c r="F53" s="12">
        <v>10736.254091440012</v>
      </c>
      <c r="G53" s="12">
        <v>11313.406189370569</v>
      </c>
      <c r="H53" s="35">
        <v>1.0736254091440012</v>
      </c>
      <c r="I53" s="35">
        <v>1.131340618937057</v>
      </c>
      <c r="J53" s="12">
        <v>2.2196457143634243</v>
      </c>
      <c r="K53" s="12">
        <v>1.3432753519761849</v>
      </c>
      <c r="L53" s="25"/>
      <c r="T53" s="47">
        <v>48</v>
      </c>
      <c r="U53" s="36">
        <v>8.5000000000000006E-2</v>
      </c>
    </row>
    <row r="54" spans="1:21" x14ac:dyDescent="0.3">
      <c r="A54" s="10">
        <f t="shared" si="1"/>
        <v>42</v>
      </c>
      <c r="B54" s="13">
        <v>0.5176242294493183</v>
      </c>
      <c r="C54" s="13">
        <v>0.37045472362156379</v>
      </c>
      <c r="D54" s="16">
        <v>1.1522567179305235E-2</v>
      </c>
      <c r="E54" s="16">
        <v>7.0847220472521916E-3</v>
      </c>
      <c r="F54" s="12">
        <v>10860.678769671855</v>
      </c>
      <c r="G54" s="12">
        <v>11393.843127856431</v>
      </c>
      <c r="H54" s="35">
        <v>1.0860678769671854</v>
      </c>
      <c r="I54" s="35">
        <v>1.1393843127856431</v>
      </c>
      <c r="J54" s="12">
        <v>2.2922529006523766</v>
      </c>
      <c r="K54" s="12">
        <v>1.3858357233478669</v>
      </c>
      <c r="L54" s="25"/>
      <c r="T54" s="47">
        <v>49</v>
      </c>
      <c r="U54" s="36">
        <v>8.5000000000000006E-2</v>
      </c>
    </row>
    <row r="55" spans="1:21" x14ac:dyDescent="0.3">
      <c r="A55" s="10">
        <f t="shared" si="1"/>
        <v>43</v>
      </c>
      <c r="B55" s="13">
        <v>-0.76391076699861249</v>
      </c>
      <c r="C55" s="13">
        <v>-0.8211676340120837</v>
      </c>
      <c r="D55" s="16">
        <v>-1.7539914795214204E-2</v>
      </c>
      <c r="E55" s="16">
        <v>-1.618547530158022E-2</v>
      </c>
      <c r="F55" s="12">
        <v>10671.844300877161</v>
      </c>
      <c r="G55" s="12">
        <v>11210.912762276386</v>
      </c>
      <c r="H55" s="35">
        <v>1.067184430087716</v>
      </c>
      <c r="I55" s="35">
        <v>1.1210912762276386</v>
      </c>
      <c r="J55" s="12">
        <v>2.1820598131685238</v>
      </c>
      <c r="K55" s="12">
        <v>1.2890445669364043</v>
      </c>
      <c r="L55" s="25"/>
      <c r="T55" s="47">
        <v>50</v>
      </c>
      <c r="U55" s="36">
        <v>8.5000000000000006E-2</v>
      </c>
    </row>
    <row r="56" spans="1:21" x14ac:dyDescent="0.3">
      <c r="A56" s="10">
        <f t="shared" si="1"/>
        <v>44</v>
      </c>
      <c r="B56" s="13">
        <v>-2.1590199100814189</v>
      </c>
      <c r="C56" s="13">
        <v>0.25309558620140921</v>
      </c>
      <c r="D56" s="16">
        <v>-4.917801631855305E-2</v>
      </c>
      <c r="E56" s="16">
        <v>4.792913513314504E-3</v>
      </c>
      <c r="F56" s="12">
        <v>10159.720005433519</v>
      </c>
      <c r="G56" s="12">
        <v>11264.774672179505</v>
      </c>
      <c r="H56" s="35">
        <v>1.0159720005433519</v>
      </c>
      <c r="I56" s="35">
        <v>1.1264774672179505</v>
      </c>
      <c r="J56" s="12">
        <v>1.8832131161082377</v>
      </c>
      <c r="K56" s="12">
        <v>1.3175436984475783</v>
      </c>
      <c r="L56" s="25"/>
      <c r="T56" s="47">
        <v>51</v>
      </c>
      <c r="U56" s="36">
        <v>8.5000000000000006E-2</v>
      </c>
    </row>
    <row r="57" spans="1:21" x14ac:dyDescent="0.3">
      <c r="A57" s="10">
        <f t="shared" si="1"/>
        <v>45</v>
      </c>
      <c r="B57" s="13">
        <v>-0.58783381612992958</v>
      </c>
      <c r="C57" s="13">
        <v>0.29996551136111643</v>
      </c>
      <c r="D57" s="16">
        <v>-1.3546864878565006E-2</v>
      </c>
      <c r="E57" s="16">
        <v>5.7081971190679889E-3</v>
      </c>
      <c r="F57" s="12">
        <v>10023.01569932762</v>
      </c>
      <c r="G57" s="12">
        <v>11329.260099177773</v>
      </c>
      <c r="H57" s="35">
        <v>1.002301569932762</v>
      </c>
      <c r="I57" s="35">
        <v>1.1329260099177774</v>
      </c>
      <c r="J57" s="12">
        <v>1.8034402353503045</v>
      </c>
      <c r="K57" s="12">
        <v>1.3516638896528932</v>
      </c>
      <c r="L57" s="25"/>
      <c r="T57" s="47">
        <v>52</v>
      </c>
      <c r="U57" s="36">
        <v>8.5000000000000006E-2</v>
      </c>
    </row>
    <row r="58" spans="1:21" x14ac:dyDescent="0.3">
      <c r="A58" s="10">
        <f t="shared" si="1"/>
        <v>46</v>
      </c>
      <c r="B58" s="13">
        <v>-0.5816929933882008</v>
      </c>
      <c r="C58" s="13">
        <v>0.24084612550917545</v>
      </c>
      <c r="D58" s="16">
        <v>-1.340760410867977E-2</v>
      </c>
      <c r="E58" s="16">
        <v>4.5537040306298229E-3</v>
      </c>
      <c r="F58" s="12">
        <v>9889.5279480008539</v>
      </c>
      <c r="G58" s="12">
        <v>11380.967838073071</v>
      </c>
      <c r="H58" s="35">
        <v>0.98895279480008536</v>
      </c>
      <c r="I58" s="35">
        <v>1.1380967838073071</v>
      </c>
      <c r="J58" s="12">
        <v>1.725544353555728</v>
      </c>
      <c r="K58" s="12">
        <v>1.3790232174890797</v>
      </c>
      <c r="L58" s="25"/>
      <c r="T58" s="47">
        <v>53</v>
      </c>
      <c r="U58" s="36">
        <v>8.5000000000000006E-2</v>
      </c>
    </row>
    <row r="59" spans="1:21" x14ac:dyDescent="0.3">
      <c r="A59" s="10">
        <f t="shared" si="1"/>
        <v>47</v>
      </c>
      <c r="B59" s="13">
        <v>5.7300567857739605E-2</v>
      </c>
      <c r="C59" s="13">
        <v>2.4217996892896325</v>
      </c>
      <c r="D59" s="16">
        <v>1.0834077692769024E-3</v>
      </c>
      <c r="E59" s="16">
        <v>4.7143723857543438E-2</v>
      </c>
      <c r="F59" s="12">
        <v>9900.2481455382604</v>
      </c>
      <c r="G59" s="12">
        <v>11930.357429489637</v>
      </c>
      <c r="H59" s="35">
        <v>0.99002481455382607</v>
      </c>
      <c r="I59" s="35">
        <v>1.1930357429489638</v>
      </c>
      <c r="J59" s="12">
        <v>1.7318000529130733</v>
      </c>
      <c r="K59" s="12">
        <v>1.6697133590903221</v>
      </c>
      <c r="L59" s="25"/>
      <c r="T59" s="47">
        <v>54</v>
      </c>
      <c r="U59" s="36">
        <v>8.5000000000000006E-2</v>
      </c>
    </row>
    <row r="60" spans="1:21" x14ac:dyDescent="0.3">
      <c r="A60" s="10">
        <f t="shared" si="1"/>
        <v>48</v>
      </c>
      <c r="B60" s="13">
        <v>-0.77258833641704838</v>
      </c>
      <c r="C60" s="13">
        <v>-1.5723564687561635</v>
      </c>
      <c r="D60" s="16">
        <v>-1.7736703572348609E-2</v>
      </c>
      <c r="E60" s="16">
        <v>-3.0854814391060737E-2</v>
      </c>
      <c r="F60" s="12">
        <v>9726.1984754336099</v>
      </c>
      <c r="G60" s="12">
        <v>11567.869472216886</v>
      </c>
      <c r="H60" s="35">
        <v>0.97261984754336095</v>
      </c>
      <c r="I60" s="35">
        <v>1.1567869472216885</v>
      </c>
      <c r="J60" s="12">
        <v>1.6302345355221273</v>
      </c>
      <c r="K60" s="12">
        <v>1.477915630712056</v>
      </c>
      <c r="L60" s="25"/>
      <c r="T60" s="47">
        <v>55</v>
      </c>
      <c r="U60" s="36">
        <v>-0.16220208067690511</v>
      </c>
    </row>
    <row r="61" spans="1:21" x14ac:dyDescent="0.3">
      <c r="A61" s="10">
        <f t="shared" si="1"/>
        <v>49</v>
      </c>
      <c r="B61" s="13">
        <v>0.32455064291462737</v>
      </c>
      <c r="C61" s="13">
        <v>0.23549638264639558</v>
      </c>
      <c r="D61" s="16">
        <v>7.1440697961100827E-3</v>
      </c>
      <c r="E61" s="16">
        <v>4.4492333723001078E-3</v>
      </c>
      <c r="F61" s="12">
        <v>9795.9319098681735</v>
      </c>
      <c r="G61" s="12">
        <v>11619.452290023255</v>
      </c>
      <c r="H61" s="35">
        <v>0.97959319098681741</v>
      </c>
      <c r="I61" s="35">
        <v>1.1619452290023256</v>
      </c>
      <c r="J61" s="12">
        <v>1.6709270133851166</v>
      </c>
      <c r="K61" s="12">
        <v>1.5052088609563019</v>
      </c>
      <c r="L61" s="25"/>
      <c r="T61" s="47">
        <v>56</v>
      </c>
      <c r="U61" s="36">
        <v>8.5000000000000006E-2</v>
      </c>
    </row>
    <row r="62" spans="1:21" x14ac:dyDescent="0.3">
      <c r="A62" s="10">
        <f t="shared" si="1"/>
        <v>50</v>
      </c>
      <c r="B62" s="13">
        <v>3.4761508737220628</v>
      </c>
      <c r="C62" s="13">
        <v>-5.9032497193607814E-2</v>
      </c>
      <c r="D62" s="16">
        <v>7.8615645018483546E-2</v>
      </c>
      <c r="E62" s="16">
        <v>-1.3023750251940117E-3</v>
      </c>
      <c r="F62" s="12">
        <v>10597.126010543547</v>
      </c>
      <c r="G62" s="12">
        <v>11604.329255623066</v>
      </c>
      <c r="H62" s="35">
        <v>1.0597126010543547</v>
      </c>
      <c r="I62" s="35">
        <v>1.1604329255623067</v>
      </c>
      <c r="J62" s="12">
        <v>2.1384584560861599</v>
      </c>
      <c r="K62" s="12">
        <v>1.4972070402448898</v>
      </c>
      <c r="L62" s="25"/>
      <c r="T62" s="47">
        <v>57</v>
      </c>
      <c r="U62" s="36">
        <v>8.5000000000000006E-2</v>
      </c>
    </row>
    <row r="63" spans="1:21" x14ac:dyDescent="0.3">
      <c r="A63" s="10">
        <f t="shared" si="1"/>
        <v>51</v>
      </c>
      <c r="B63" s="13">
        <v>-0.80992560281514026</v>
      </c>
      <c r="C63" s="13">
        <v>1.0216407846692288</v>
      </c>
      <c r="D63" s="16">
        <v>-1.8583433185414205E-2</v>
      </c>
      <c r="E63" s="16">
        <v>1.9801190527652009E-2</v>
      </c>
      <c r="F63" s="12">
        <v>10402.013571896156</v>
      </c>
      <c r="G63" s="12">
        <v>11836.398834557984</v>
      </c>
      <c r="H63" s="35">
        <v>1.0402013571896156</v>
      </c>
      <c r="I63" s="35">
        <v>1.1836398834557984</v>
      </c>
      <c r="J63" s="12">
        <v>2.024601901410036</v>
      </c>
      <c r="K63" s="12">
        <v>1.6199984797186331</v>
      </c>
      <c r="L63" s="25"/>
      <c r="T63" s="47">
        <v>58</v>
      </c>
      <c r="U63" s="36">
        <v>8.5000000000000006E-2</v>
      </c>
    </row>
    <row r="64" spans="1:21" x14ac:dyDescent="0.3">
      <c r="A64" s="10">
        <f t="shared" si="1"/>
        <v>52</v>
      </c>
      <c r="B64" s="13">
        <v>-0.51748518292822343</v>
      </c>
      <c r="C64" s="13">
        <v>-0.86087733121505849</v>
      </c>
      <c r="D64" s="16">
        <v>-1.1951507834064868E-2</v>
      </c>
      <c r="E64" s="16">
        <v>-1.696093279837527E-2</v>
      </c>
      <c r="F64" s="12">
        <v>10278.433778628207</v>
      </c>
      <c r="G64" s="12">
        <v>11637.335392263227</v>
      </c>
      <c r="H64" s="35">
        <v>1.0278433778628207</v>
      </c>
      <c r="I64" s="35">
        <v>1.1637335392263226</v>
      </c>
      <c r="J64" s="12">
        <v>1.9524877420739191</v>
      </c>
      <c r="K64" s="12">
        <v>1.5146710742993015</v>
      </c>
      <c r="L64" s="25"/>
      <c r="T64" s="47">
        <v>59</v>
      </c>
      <c r="U64" s="36">
        <v>8.5000000000000006E-2</v>
      </c>
    </row>
    <row r="65" spans="1:21" x14ac:dyDescent="0.3">
      <c r="A65" s="10">
        <f t="shared" si="1"/>
        <v>53</v>
      </c>
      <c r="B65" s="13">
        <v>8.7870101273652801E-2</v>
      </c>
      <c r="C65" s="13">
        <v>-0.34793391863273199</v>
      </c>
      <c r="D65" s="16">
        <v>1.7766596245379178E-3</v>
      </c>
      <c r="E65" s="16">
        <v>-6.9440894896631985E-3</v>
      </c>
      <c r="F65" s="12">
        <v>10296.711288575387</v>
      </c>
      <c r="G65" s="12">
        <v>11556.804623910934</v>
      </c>
      <c r="H65" s="35">
        <v>1.0296711288575386</v>
      </c>
      <c r="I65" s="35">
        <v>1.1556804623910935</v>
      </c>
      <c r="J65" s="12">
        <v>1.9631534603903475</v>
      </c>
      <c r="K65" s="12">
        <v>1.4720610561603973</v>
      </c>
      <c r="L65" s="25"/>
      <c r="T65" s="47">
        <v>60</v>
      </c>
      <c r="U65" s="36">
        <v>8.5000000000000006E-2</v>
      </c>
    </row>
    <row r="66" spans="1:21" x14ac:dyDescent="0.3">
      <c r="A66" s="10">
        <f t="shared" si="1"/>
        <v>54</v>
      </c>
      <c r="B66" s="13">
        <v>0.39894445189514322</v>
      </c>
      <c r="C66" s="13">
        <v>1.3009321698496434</v>
      </c>
      <c r="D66" s="16">
        <v>8.8311628044982684E-3</v>
      </c>
      <c r="E66" s="16">
        <v>2.5255238623798186E-2</v>
      </c>
      <c r="F66" s="12">
        <v>10388.045924240374</v>
      </c>
      <c r="G66" s="12">
        <v>11852.391327854182</v>
      </c>
      <c r="H66" s="35">
        <v>1.0388045924240374</v>
      </c>
      <c r="I66" s="35">
        <v>1.1852391327854181</v>
      </c>
      <c r="J66" s="12">
        <v>2.0164511743213787</v>
      </c>
      <c r="K66" s="12">
        <v>1.6284603439648089</v>
      </c>
      <c r="L66" s="25"/>
      <c r="T66" s="47">
        <v>61</v>
      </c>
      <c r="U66" s="36">
        <v>8.5000000000000006E-2</v>
      </c>
    </row>
    <row r="67" spans="1:21" x14ac:dyDescent="0.3">
      <c r="A67" s="10">
        <f t="shared" si="1"/>
        <v>55</v>
      </c>
      <c r="B67" s="13">
        <v>-6.3357480417653336E-2</v>
      </c>
      <c r="C67" s="13">
        <v>0.71776177654680162</v>
      </c>
      <c r="D67" s="16">
        <v>-1.6528595685669446E-3</v>
      </c>
      <c r="E67" s="16">
        <v>1.3866991287534748E-2</v>
      </c>
      <c r="F67" s="12">
        <v>10370.890125104883</v>
      </c>
      <c r="G67" s="12">
        <v>12017.8931895023</v>
      </c>
      <c r="H67" s="35">
        <v>1.0370890125104884</v>
      </c>
      <c r="I67" s="35">
        <v>1.20178931895023</v>
      </c>
      <c r="J67" s="12">
        <v>2.0064400228242016</v>
      </c>
      <c r="K67" s="12">
        <v>1.7160298217077572</v>
      </c>
      <c r="L67" s="25"/>
      <c r="T67" s="47">
        <v>62</v>
      </c>
      <c r="U67" s="36">
        <v>8.5000000000000006E-2</v>
      </c>
    </row>
    <row r="68" spans="1:21" x14ac:dyDescent="0.3">
      <c r="A68" s="10">
        <f t="shared" si="1"/>
        <v>56</v>
      </c>
      <c r="B68" s="13">
        <v>-2.4261296912662718</v>
      </c>
      <c r="C68" s="13">
        <v>-0.56708863096430828</v>
      </c>
      <c r="D68" s="16">
        <v>-5.5235496779421626E-2</v>
      </c>
      <c r="E68" s="16">
        <v>-1.1223778749614338E-2</v>
      </c>
      <c r="F68" s="12">
        <v>9813.5821353359788</v>
      </c>
      <c r="G68" s="12">
        <v>11883.761157515877</v>
      </c>
      <c r="H68" s="35">
        <v>0.98135821353359787</v>
      </c>
      <c r="I68" s="35">
        <v>1.1883761157515877</v>
      </c>
      <c r="J68" s="12">
        <v>1.6812266840516947</v>
      </c>
      <c r="K68" s="12">
        <v>1.6450585838456417</v>
      </c>
      <c r="L68" s="25"/>
      <c r="T68" s="47">
        <v>63</v>
      </c>
      <c r="U68" s="36">
        <v>-0.28030682270715157</v>
      </c>
    </row>
    <row r="69" spans="1:21" x14ac:dyDescent="0.3">
      <c r="A69" s="10">
        <f t="shared" si="1"/>
        <v>57</v>
      </c>
      <c r="B69" s="13">
        <v>0.53389809280118627</v>
      </c>
      <c r="C69" s="13">
        <v>-0.26839894391516306</v>
      </c>
      <c r="D69" s="16">
        <v>1.1891623710442011E-2</v>
      </c>
      <c r="E69" s="16">
        <v>-5.3909174247419103E-3</v>
      </c>
      <c r="F69" s="12">
        <v>9930.978192792656</v>
      </c>
      <c r="G69" s="12">
        <v>11819.869155409737</v>
      </c>
      <c r="H69" s="35">
        <v>0.99309781927926566</v>
      </c>
      <c r="I69" s="35">
        <v>1.1819869155409737</v>
      </c>
      <c r="J69" s="12">
        <v>1.7497323658382531</v>
      </c>
      <c r="K69" s="12">
        <v>1.6112523825094787</v>
      </c>
      <c r="L69" s="25"/>
      <c r="T69" s="47">
        <v>64</v>
      </c>
      <c r="U69" s="36">
        <v>8.5000000000000006E-2</v>
      </c>
    </row>
    <row r="70" spans="1:21" x14ac:dyDescent="0.3">
      <c r="A70" s="10">
        <f t="shared" si="1"/>
        <v>58</v>
      </c>
      <c r="B70" s="13">
        <v>0.15398685395821557</v>
      </c>
      <c r="C70" s="13">
        <v>1.0115135780057065</v>
      </c>
      <c r="D70" s="16">
        <v>3.2760466396680485E-3</v>
      </c>
      <c r="E70" s="16">
        <v>1.9603424770620933E-2</v>
      </c>
      <c r="F70" s="12">
        <v>9963.5658907934685</v>
      </c>
      <c r="G70" s="12">
        <v>12053.865138965019</v>
      </c>
      <c r="H70" s="35">
        <v>0.99635658907934688</v>
      </c>
      <c r="I70" s="35">
        <v>1.2053865138965019</v>
      </c>
      <c r="J70" s="12">
        <v>1.7687486983945995</v>
      </c>
      <c r="K70" s="12">
        <v>1.735063111100861</v>
      </c>
      <c r="L70" s="25"/>
      <c r="T70" s="47">
        <v>65</v>
      </c>
      <c r="U70" s="36">
        <v>8.5000000000000006E-2</v>
      </c>
    </row>
    <row r="71" spans="1:21" x14ac:dyDescent="0.3">
      <c r="A71" s="10">
        <f t="shared" si="1"/>
        <v>59</v>
      </c>
      <c r="B71" s="13">
        <v>-1.0170360683212645</v>
      </c>
      <c r="C71" s="13">
        <v>0.3931072972926557</v>
      </c>
      <c r="D71" s="16">
        <v>-2.3280257062397284E-2</v>
      </c>
      <c r="E71" s="16">
        <v>7.5270852308635342E-3</v>
      </c>
      <c r="F71" s="12">
        <v>9734.2906636487332</v>
      </c>
      <c r="G71" s="12">
        <v>12144.937935586229</v>
      </c>
      <c r="H71" s="35">
        <v>0.97342906636487336</v>
      </c>
      <c r="I71" s="35">
        <v>1.2144937935586229</v>
      </c>
      <c r="J71" s="12">
        <v>1.6349566776692497</v>
      </c>
      <c r="K71" s="12">
        <v>1.7832510719932024</v>
      </c>
      <c r="L71" s="25"/>
      <c r="T71" s="47">
        <v>66</v>
      </c>
      <c r="U71" s="36">
        <v>-0.14839720550769961</v>
      </c>
    </row>
    <row r="72" spans="1:21" x14ac:dyDescent="0.3">
      <c r="A72" s="10">
        <f t="shared" si="1"/>
        <v>60</v>
      </c>
      <c r="B72" s="13">
        <v>1.0185930182900726</v>
      </c>
      <c r="C72" s="13">
        <v>0.17191592816163997</v>
      </c>
      <c r="D72" s="16">
        <v>2.2883471435401228E-2</v>
      </c>
      <c r="E72" s="16">
        <v>3.2076238020275205E-3</v>
      </c>
      <c r="F72" s="12">
        <v>9959.6132752767444</v>
      </c>
      <c r="G72" s="12">
        <v>12183.956873164021</v>
      </c>
      <c r="H72" s="35">
        <v>0.99596132752767441</v>
      </c>
      <c r="I72" s="35">
        <v>1.2183956873164021</v>
      </c>
      <c r="J72" s="12">
        <v>1.7664421761256277</v>
      </c>
      <c r="K72" s="12">
        <v>1.8038965677703842</v>
      </c>
      <c r="L72" s="25"/>
      <c r="T72" s="47">
        <v>67</v>
      </c>
      <c r="U72" s="36">
        <v>8.5000000000000006E-2</v>
      </c>
    </row>
    <row r="73" spans="1:21" x14ac:dyDescent="0.3">
      <c r="A73" s="10">
        <f t="shared" si="1"/>
        <v>61</v>
      </c>
      <c r="B73" s="13">
        <v>0.59589220778065455</v>
      </c>
      <c r="C73" s="13">
        <v>-0.34095113264094096</v>
      </c>
      <c r="D73" s="16">
        <v>1.3297518090315302E-2</v>
      </c>
      <c r="E73" s="16">
        <v>-6.8077284965744837E-3</v>
      </c>
      <c r="F73" s="12">
        <v>10092.935878292941</v>
      </c>
      <c r="G73" s="12">
        <v>12101.293496922333</v>
      </c>
      <c r="H73" s="35">
        <v>1.0092935878292941</v>
      </c>
      <c r="I73" s="35">
        <v>1.2101293496922334</v>
      </c>
      <c r="J73" s="12">
        <v>1.8442416867314564</v>
      </c>
      <c r="K73" s="12">
        <v>1.7601581553207148</v>
      </c>
      <c r="L73" s="25"/>
      <c r="T73" s="47">
        <v>68</v>
      </c>
      <c r="U73" s="36">
        <v>8.5000000000000006E-2</v>
      </c>
    </row>
    <row r="74" spans="1:21" x14ac:dyDescent="0.3">
      <c r="A74" s="10">
        <f t="shared" si="1"/>
        <v>62</v>
      </c>
      <c r="B74" s="13">
        <v>-1.6567687020581969</v>
      </c>
      <c r="C74" s="13">
        <v>0.30542223171734695</v>
      </c>
      <c r="D74" s="16">
        <v>-3.7788029529028364E-2</v>
      </c>
      <c r="E74" s="16">
        <v>5.8147568514810601E-3</v>
      </c>
      <c r="F74" s="12">
        <v>9718.6598321980819</v>
      </c>
      <c r="G74" s="12">
        <v>12171.864554122472</v>
      </c>
      <c r="H74" s="35">
        <v>0.97186598321980822</v>
      </c>
      <c r="I74" s="35">
        <v>1.2171864554122471</v>
      </c>
      <c r="J74" s="12">
        <v>1.6258354108344346</v>
      </c>
      <c r="K74" s="12">
        <v>1.7974983432874416</v>
      </c>
      <c r="L74" s="25"/>
      <c r="T74" s="47">
        <v>69</v>
      </c>
      <c r="U74" s="36">
        <v>8.5000000000000006E-2</v>
      </c>
    </row>
    <row r="75" spans="1:21" x14ac:dyDescent="0.3">
      <c r="A75" s="10">
        <f t="shared" si="1"/>
        <v>63</v>
      </c>
      <c r="B75" s="13">
        <v>-0.76018915241184604</v>
      </c>
      <c r="C75" s="13">
        <v>-0.86976750936133451</v>
      </c>
      <c r="D75" s="16">
        <v>-1.7455516509452366E-2</v>
      </c>
      <c r="E75" s="16">
        <v>-1.7134541659106065E-2</v>
      </c>
      <c r="F75" s="12">
        <v>9550.4876413554884</v>
      </c>
      <c r="G75" s="12">
        <v>11965.081856355155</v>
      </c>
      <c r="H75" s="35">
        <v>0.95504876413554884</v>
      </c>
      <c r="I75" s="35">
        <v>1.1965081856355155</v>
      </c>
      <c r="J75" s="12">
        <v>1.5276996570382513</v>
      </c>
      <c r="K75" s="12">
        <v>1.6880865658642847</v>
      </c>
      <c r="L75" s="25"/>
      <c r="T75" s="47">
        <v>70</v>
      </c>
      <c r="U75" s="36">
        <v>-0.20347820912397985</v>
      </c>
    </row>
    <row r="76" spans="1:21" x14ac:dyDescent="0.3">
      <c r="A76" s="10">
        <f t="shared" si="1"/>
        <v>64</v>
      </c>
      <c r="B76" s="13">
        <v>0.23475900822793508</v>
      </c>
      <c r="C76" s="13">
        <v>1.046642758844524</v>
      </c>
      <c r="D76" s="16">
        <v>5.1077869230105209E-3</v>
      </c>
      <c r="E76" s="16">
        <v>2.0289433190642053E-2</v>
      </c>
      <c r="F76" s="12">
        <v>9599.3942932878945</v>
      </c>
      <c r="G76" s="12">
        <v>12210.326105637119</v>
      </c>
      <c r="H76" s="35">
        <v>0.9599394293287894</v>
      </c>
      <c r="I76" s="35">
        <v>1.2210326105637119</v>
      </c>
      <c r="J76" s="12">
        <v>1.5562388056869507</v>
      </c>
      <c r="K76" s="12">
        <v>1.817848917871806</v>
      </c>
      <c r="L76" s="25"/>
      <c r="T76" s="47">
        <v>71</v>
      </c>
      <c r="U76" s="36">
        <v>8.5000000000000006E-2</v>
      </c>
    </row>
    <row r="77" spans="1:21" x14ac:dyDescent="0.3">
      <c r="A77" s="10">
        <f t="shared" si="1"/>
        <v>65</v>
      </c>
      <c r="B77" s="13">
        <v>0.20488087188594667</v>
      </c>
      <c r="C77" s="13">
        <v>0.94109225485820092</v>
      </c>
      <c r="D77" s="16">
        <v>4.4302144795906719E-3</v>
      </c>
      <c r="E77" s="16">
        <v>1.8228225592197861E-2</v>
      </c>
      <c r="F77" s="12">
        <v>9642.0160108458149</v>
      </c>
      <c r="G77" s="12">
        <v>12434.939618039536</v>
      </c>
      <c r="H77" s="35">
        <v>0.96420160108458153</v>
      </c>
      <c r="I77" s="35">
        <v>1.2434939618039536</v>
      </c>
      <c r="J77" s="12">
        <v>1.5811104230434105</v>
      </c>
      <c r="K77" s="12">
        <v>1.936695242494479</v>
      </c>
      <c r="L77" s="25"/>
      <c r="T77" s="47">
        <v>72</v>
      </c>
      <c r="U77" s="36">
        <v>-0.22631028074723605</v>
      </c>
    </row>
    <row r="78" spans="1:21" x14ac:dyDescent="0.3">
      <c r="A78" s="10">
        <f t="shared" si="1"/>
        <v>66</v>
      </c>
      <c r="B78" s="13">
        <v>1.7991669350776369</v>
      </c>
      <c r="C78" s="13">
        <v>-0.1233865320905663</v>
      </c>
      <c r="D78" s="16">
        <v>4.058522398160283E-2</v>
      </c>
      <c r="E78" s="16">
        <v>-2.5590912009627385E-3</v>
      </c>
      <c r="F78" s="12">
        <v>10041.388891423958</v>
      </c>
      <c r="G78" s="12">
        <v>12403.158156652195</v>
      </c>
      <c r="H78" s="35">
        <v>1.0041388891423957</v>
      </c>
      <c r="I78" s="35">
        <v>1.2403158156652194</v>
      </c>
      <c r="J78" s="12">
        <v>1.8141617883429979</v>
      </c>
      <c r="K78" s="12">
        <v>1.9198792021920779</v>
      </c>
      <c r="L78" s="25"/>
      <c r="T78" s="47">
        <v>73</v>
      </c>
      <c r="U78" s="36">
        <v>8.5000000000000006E-2</v>
      </c>
    </row>
    <row r="79" spans="1:21" x14ac:dyDescent="0.3">
      <c r="A79" s="10">
        <f t="shared" ref="A79:A113" si="2">A78+1</f>
        <v>67</v>
      </c>
      <c r="B79" s="13">
        <v>-0.53168681209730584</v>
      </c>
      <c r="C79" s="13">
        <v>2.1176279374688498</v>
      </c>
      <c r="D79" s="16">
        <v>-1.2273570511150749E-2</v>
      </c>
      <c r="E79" s="16">
        <v>4.1203807870346269E-2</v>
      </c>
      <c r="F79" s="12">
        <v>9918.8984321447806</v>
      </c>
      <c r="G79" s="12">
        <v>12924.890366885274</v>
      </c>
      <c r="H79" s="35">
        <v>0.99188984321447804</v>
      </c>
      <c r="I79" s="35">
        <v>1.2924890366885275</v>
      </c>
      <c r="J79" s="12">
        <v>1.7426833025483166</v>
      </c>
      <c r="K79" s="12">
        <v>2.1959354151966441</v>
      </c>
      <c r="L79" s="25"/>
      <c r="T79" s="47">
        <v>74</v>
      </c>
      <c r="U79" s="36">
        <v>8.4999999999999992E-2</v>
      </c>
    </row>
    <row r="80" spans="1:21" x14ac:dyDescent="0.3">
      <c r="A80" s="10">
        <f t="shared" si="2"/>
        <v>68</v>
      </c>
      <c r="B80" s="13">
        <v>0.80688964142994868</v>
      </c>
      <c r="C80" s="13">
        <v>-0.72944006096060354</v>
      </c>
      <c r="D80" s="16">
        <v>1.8082490119248593E-2</v>
      </c>
      <c r="E80" s="16">
        <v>-1.4394204171457953E-2</v>
      </c>
      <c r="F80" s="12">
        <v>10099.888256805285</v>
      </c>
      <c r="G80" s="12">
        <v>12740.179428753889</v>
      </c>
      <c r="H80" s="35">
        <v>1.0099888256805285</v>
      </c>
      <c r="I80" s="35">
        <v>1.2740179428753888</v>
      </c>
      <c r="J80" s="12">
        <v>1.8482987005728462</v>
      </c>
      <c r="K80" s="12">
        <v>2.0982021315676893</v>
      </c>
      <c r="L80" s="25"/>
      <c r="T80" s="47">
        <v>75</v>
      </c>
      <c r="U80" s="36">
        <v>8.5000000000000006E-2</v>
      </c>
    </row>
    <row r="81" spans="1:21" x14ac:dyDescent="0.3">
      <c r="A81" s="10">
        <f t="shared" si="2"/>
        <v>69</v>
      </c>
      <c r="B81" s="13">
        <v>-1.0485085014944382</v>
      </c>
      <c r="C81" s="13">
        <v>0.38687046031187389</v>
      </c>
      <c r="D81" s="16">
        <v>-2.3993984759514284E-2</v>
      </c>
      <c r="E81" s="16">
        <v>7.4052912527247747E-3</v>
      </c>
      <c r="F81" s="12">
        <v>9860.4358879854899</v>
      </c>
      <c r="G81" s="12">
        <v>12834.874357055583</v>
      </c>
      <c r="H81" s="35">
        <v>0.98604358879854903</v>
      </c>
      <c r="I81" s="35">
        <v>1.2834874357055583</v>
      </c>
      <c r="J81" s="12">
        <v>1.7085678770955754</v>
      </c>
      <c r="K81" s="12">
        <v>2.1483066157934694</v>
      </c>
      <c r="L81" s="25"/>
      <c r="T81" s="47">
        <v>76</v>
      </c>
      <c r="U81" s="36">
        <v>8.4999999999999992E-2</v>
      </c>
    </row>
    <row r="82" spans="1:21" x14ac:dyDescent="0.3">
      <c r="A82" s="10">
        <f t="shared" si="2"/>
        <v>70</v>
      </c>
      <c r="B82" s="13">
        <v>-0.95943999222528276</v>
      </c>
      <c r="C82" s="13">
        <v>0.93839689346388766</v>
      </c>
      <c r="D82" s="16">
        <v>-2.1974100829456257E-2</v>
      </c>
      <c r="E82" s="16">
        <v>1.8175590131667689E-2</v>
      </c>
      <c r="F82" s="12">
        <v>9646.1249441702057</v>
      </c>
      <c r="G82" s="12">
        <v>13070.288689201538</v>
      </c>
      <c r="H82" s="35">
        <v>0.96461249441702057</v>
      </c>
      <c r="I82" s="35">
        <v>1.3070288689201537</v>
      </c>
      <c r="J82" s="12">
        <v>1.5835081635204005</v>
      </c>
      <c r="K82" s="12">
        <v>2.2728678135584657</v>
      </c>
      <c r="L82" s="25"/>
      <c r="T82" s="47">
        <v>77</v>
      </c>
      <c r="U82" s="36">
        <v>-0.21287050998921564</v>
      </c>
    </row>
    <row r="83" spans="1:21" x14ac:dyDescent="0.3">
      <c r="A83" s="10">
        <f t="shared" si="2"/>
        <v>71</v>
      </c>
      <c r="B83" s="13">
        <v>-1.1141011819072053</v>
      </c>
      <c r="C83" s="13">
        <v>-0.81337239415633755</v>
      </c>
      <c r="D83" s="16">
        <v>-2.5481486932642738E-2</v>
      </c>
      <c r="E83" s="16">
        <v>-1.6033248575837246E-2</v>
      </c>
      <c r="F83" s="12">
        <v>9403.4325506455498</v>
      </c>
      <c r="G83" s="12">
        <v>12862.40051644423</v>
      </c>
      <c r="H83" s="35">
        <v>0.94034325506455496</v>
      </c>
      <c r="I83" s="35">
        <v>1.286240051644423</v>
      </c>
      <c r="J83" s="12">
        <v>1.4418866453620611</v>
      </c>
      <c r="K83" s="12">
        <v>2.162871113001712</v>
      </c>
      <c r="L83" s="25"/>
      <c r="T83" s="47">
        <v>78</v>
      </c>
      <c r="U83" s="36">
        <v>8.5000000000000006E-2</v>
      </c>
    </row>
    <row r="84" spans="1:21" x14ac:dyDescent="0.3">
      <c r="A84" s="10">
        <f t="shared" si="2"/>
        <v>72</v>
      </c>
      <c r="B84" s="13">
        <v>-0.69053350636510769</v>
      </c>
      <c r="C84" s="13">
        <v>0.4121199508458705</v>
      </c>
      <c r="D84" s="16">
        <v>-1.5875874936442002E-2</v>
      </c>
      <c r="E84" s="16">
        <v>7.8983674558688391E-3</v>
      </c>
      <c r="F84" s="12">
        <v>9255.323621724654</v>
      </c>
      <c r="G84" s="12">
        <v>12964.394745803369</v>
      </c>
      <c r="H84" s="35">
        <v>0.92553236217246537</v>
      </c>
      <c r="I84" s="35">
        <v>1.2964394745803369</v>
      </c>
      <c r="J84" s="12">
        <v>1.3554586734674583</v>
      </c>
      <c r="K84" s="12">
        <v>2.2168377651519107</v>
      </c>
      <c r="L84" s="25"/>
      <c r="T84" s="47">
        <v>79</v>
      </c>
      <c r="U84" s="36">
        <v>8.5000000000000006E-2</v>
      </c>
    </row>
    <row r="85" spans="1:21" x14ac:dyDescent="0.3">
      <c r="A85" s="10">
        <f t="shared" si="2"/>
        <v>73</v>
      </c>
      <c r="B85" s="13">
        <v>0.48635122865934177</v>
      </c>
      <c r="C85" s="13">
        <v>0.4365066798933302</v>
      </c>
      <c r="D85" s="16">
        <v>1.0813362183525197E-2</v>
      </c>
      <c r="E85" s="16">
        <v>8.3745955108323385E-3</v>
      </c>
      <c r="F85" s="12">
        <v>9355.9478508015218</v>
      </c>
      <c r="G85" s="12">
        <v>13073.422201052019</v>
      </c>
      <c r="H85" s="35">
        <v>0.93559478508015215</v>
      </c>
      <c r="I85" s="35">
        <v>1.3073422201052018</v>
      </c>
      <c r="J85" s="12">
        <v>1.41417726731548</v>
      </c>
      <c r="K85" s="12">
        <v>2.2745258009280058</v>
      </c>
      <c r="L85" s="25"/>
      <c r="T85" s="47">
        <v>80</v>
      </c>
      <c r="U85" s="36">
        <v>8.5000000000000006E-2</v>
      </c>
    </row>
    <row r="86" spans="1:21" x14ac:dyDescent="0.3">
      <c r="A86" s="10">
        <f t="shared" si="2"/>
        <v>74</v>
      </c>
      <c r="B86" s="13">
        <v>-1.7481543574985727</v>
      </c>
      <c r="C86" s="13">
        <v>-0.27180508743206633</v>
      </c>
      <c r="D86" s="16">
        <v>-3.986046139497583E-2</v>
      </c>
      <c r="E86" s="16">
        <v>-5.4574331554421845E-3</v>
      </c>
      <c r="F86" s="12">
        <v>8990.3503017281746</v>
      </c>
      <c r="G86" s="12">
        <v>13002.269206232559</v>
      </c>
      <c r="H86" s="35">
        <v>0.8990350301728175</v>
      </c>
      <c r="I86" s="35">
        <v>1.300226920623256</v>
      </c>
      <c r="J86" s="12">
        <v>1.2008352701363421</v>
      </c>
      <c r="K86" s="12">
        <v>2.236877701177717</v>
      </c>
      <c r="L86" s="25"/>
      <c r="T86" s="47">
        <v>81</v>
      </c>
      <c r="U86" s="36">
        <v>8.5000000000000006E-2</v>
      </c>
    </row>
    <row r="87" spans="1:21" x14ac:dyDescent="0.3">
      <c r="A87" s="10">
        <f t="shared" si="2"/>
        <v>75</v>
      </c>
      <c r="B87" s="13">
        <v>-1.1455886310931338</v>
      </c>
      <c r="C87" s="13">
        <v>-0.6767338371924756</v>
      </c>
      <c r="D87" s="16">
        <v>-2.6195555160920595E-2</v>
      </c>
      <c r="E87" s="16">
        <v>-1.3364948366765231E-2</v>
      </c>
      <c r="F87" s="12">
        <v>8757.9009466494626</v>
      </c>
      <c r="G87" s="12">
        <v>12829.650638211129</v>
      </c>
      <c r="H87" s="35">
        <v>0.87579009466494628</v>
      </c>
      <c r="I87" s="35">
        <v>1.282965063821113</v>
      </c>
      <c r="J87" s="12">
        <v>1.0651910083485094</v>
      </c>
      <c r="K87" s="12">
        <v>2.145542669052753</v>
      </c>
      <c r="L87" s="25"/>
      <c r="T87" s="47">
        <v>82</v>
      </c>
      <c r="U87" s="36">
        <v>-0.22000978644783017</v>
      </c>
    </row>
    <row r="88" spans="1:21" x14ac:dyDescent="0.3">
      <c r="A88" s="10">
        <f t="shared" si="2"/>
        <v>76</v>
      </c>
      <c r="B88" s="13">
        <v>7.511711375512356E-2</v>
      </c>
      <c r="C88" s="13">
        <v>-1.510521030413517</v>
      </c>
      <c r="D88" s="16">
        <v>1.4874490521338685E-3</v>
      </c>
      <c r="E88" s="16">
        <v>-2.9647281782959636E-2</v>
      </c>
      <c r="F88" s="12">
        <v>8770.9375713651443</v>
      </c>
      <c r="G88" s="12">
        <v>12454.869443518399</v>
      </c>
      <c r="H88" s="35">
        <v>0.87709375713651438</v>
      </c>
      <c r="I88" s="35">
        <v>1.2454869443518399</v>
      </c>
      <c r="J88" s="12">
        <v>1.0727984432461664</v>
      </c>
      <c r="K88" s="12">
        <v>1.9472404073120373</v>
      </c>
      <c r="L88" s="25"/>
      <c r="T88" s="47">
        <v>83</v>
      </c>
      <c r="U88" s="36">
        <v>8.5000000000000006E-2</v>
      </c>
    </row>
    <row r="89" spans="1:21" x14ac:dyDescent="0.3">
      <c r="A89" s="10">
        <f t="shared" si="2"/>
        <v>77</v>
      </c>
      <c r="B89" s="13">
        <v>-0.37382104738057093</v>
      </c>
      <c r="C89" s="13">
        <v>0.61807630818656634</v>
      </c>
      <c r="D89" s="16">
        <v>-8.6935114771091882E-3</v>
      </c>
      <c r="E89" s="16">
        <v>1.1920317069236276E-2</v>
      </c>
      <c r="F89" s="12">
        <v>8695.0178077409691</v>
      </c>
      <c r="G89" s="12">
        <v>12604.223843718468</v>
      </c>
      <c r="H89" s="35">
        <v>0.8695017807740969</v>
      </c>
      <c r="I89" s="35">
        <v>1.2604223843718467</v>
      </c>
      <c r="J89" s="12">
        <v>1.0284959744850859</v>
      </c>
      <c r="K89" s="12">
        <v>2.0262660248723949</v>
      </c>
      <c r="L89" s="25"/>
      <c r="T89" s="47">
        <v>84</v>
      </c>
      <c r="U89" s="36">
        <v>8.5000000000000006E-2</v>
      </c>
    </row>
    <row r="90" spans="1:21" x14ac:dyDescent="0.3">
      <c r="A90" s="10">
        <f t="shared" si="2"/>
        <v>78</v>
      </c>
      <c r="B90" s="13">
        <v>1.9067037073843875</v>
      </c>
      <c r="C90" s="13">
        <v>0.27154293858235928</v>
      </c>
      <c r="D90" s="16">
        <v>4.3023928750044883E-2</v>
      </c>
      <c r="E90" s="16">
        <v>5.1531564440703724E-3</v>
      </c>
      <c r="F90" s="12">
        <v>9077.2757911664557</v>
      </c>
      <c r="G90" s="12">
        <v>12669.343021593413</v>
      </c>
      <c r="H90" s="35">
        <v>0.90772757911664559</v>
      </c>
      <c r="I90" s="35">
        <v>1.2669343021593413</v>
      </c>
      <c r="J90" s="12">
        <v>1.2515600563651919</v>
      </c>
      <c r="K90" s="12">
        <v>2.0607215430204833</v>
      </c>
      <c r="L90" s="25"/>
      <c r="T90" s="47">
        <v>85</v>
      </c>
      <c r="U90" s="36">
        <v>8.5000000000000006E-2</v>
      </c>
    </row>
    <row r="91" spans="1:21" x14ac:dyDescent="0.3">
      <c r="A91" s="10">
        <f t="shared" si="2"/>
        <v>79</v>
      </c>
      <c r="B91" s="13">
        <v>0.89708625137233522</v>
      </c>
      <c r="C91" s="13">
        <v>-2.22513443115762</v>
      </c>
      <c r="D91" s="16">
        <v>2.012795696789417E-2</v>
      </c>
      <c r="E91" s="16">
        <v>-4.3602369782867759E-2</v>
      </c>
      <c r="F91" s="12">
        <v>9261.8339663132138</v>
      </c>
      <c r="G91" s="12">
        <v>12128.799761666216</v>
      </c>
      <c r="H91" s="35">
        <v>0.92618339663132132</v>
      </c>
      <c r="I91" s="35">
        <v>1.2128799761666216</v>
      </c>
      <c r="J91" s="12">
        <v>1.3592577413779741</v>
      </c>
      <c r="K91" s="12">
        <v>1.7747121259787755</v>
      </c>
      <c r="L91" s="25"/>
      <c r="T91" s="47">
        <v>86</v>
      </c>
      <c r="U91" s="36">
        <v>8.5000000000000006E-2</v>
      </c>
    </row>
    <row r="92" spans="1:21" x14ac:dyDescent="0.3">
      <c r="A92" s="10">
        <f t="shared" si="2"/>
        <v>80</v>
      </c>
      <c r="B92" s="13">
        <v>-4.126214508236202E-2</v>
      </c>
      <c r="C92" s="13">
        <v>-0.45211337707952803</v>
      </c>
      <c r="D92" s="16">
        <v>-1.1517844620090123E-3</v>
      </c>
      <c r="E92" s="16">
        <v>-8.9785230853584117E-3</v>
      </c>
      <c r="F92" s="12">
        <v>9251.1724709121136</v>
      </c>
      <c r="G92" s="12">
        <v>12020.388467947003</v>
      </c>
      <c r="H92" s="35">
        <v>0.92511724709121135</v>
      </c>
      <c r="I92" s="35">
        <v>1.2020388467947003</v>
      </c>
      <c r="J92" s="12">
        <v>1.3530362972584715</v>
      </c>
      <c r="K92" s="12">
        <v>1.7173501103622166</v>
      </c>
      <c r="L92" s="25"/>
      <c r="T92" s="47">
        <v>87</v>
      </c>
      <c r="U92" s="36">
        <v>-0.23974123142310924</v>
      </c>
    </row>
    <row r="93" spans="1:21" x14ac:dyDescent="0.3">
      <c r="A93" s="10">
        <f t="shared" si="2"/>
        <v>81</v>
      </c>
      <c r="B93" s="13">
        <v>0.51148936785473531</v>
      </c>
      <c r="C93" s="13">
        <v>1.0128340371772435</v>
      </c>
      <c r="D93" s="16">
        <v>1.1383441595530367E-2</v>
      </c>
      <c r="E93" s="16">
        <v>1.9629210914457441E-2</v>
      </c>
      <c r="F93" s="12">
        <v>9357.084329459658</v>
      </c>
      <c r="G93" s="12">
        <v>12258.670198735723</v>
      </c>
      <c r="H93" s="35">
        <v>0.93570843294596584</v>
      </c>
      <c r="I93" s="35">
        <v>1.2258670198735724</v>
      </c>
      <c r="J93" s="12">
        <v>1.4148404518124571</v>
      </c>
      <c r="K93" s="12">
        <v>1.8434284910708203</v>
      </c>
      <c r="L93" s="25"/>
      <c r="T93" s="47">
        <v>88</v>
      </c>
      <c r="U93" s="36">
        <v>8.5000000000000006E-2</v>
      </c>
    </row>
    <row r="94" spans="1:21" x14ac:dyDescent="0.3">
      <c r="A94" s="10">
        <f t="shared" si="2"/>
        <v>82</v>
      </c>
      <c r="B94" s="13">
        <v>1.1352541214754346</v>
      </c>
      <c r="C94" s="13">
        <v>1.0960821756227213</v>
      </c>
      <c r="D94" s="16">
        <v>2.5529096578569051E-2</v>
      </c>
      <c r="E94" s="16">
        <v>2.1254894251245559E-2</v>
      </c>
      <c r="F94" s="12">
        <v>9599.037521571734</v>
      </c>
      <c r="G94" s="12">
        <v>12522.015713770295</v>
      </c>
      <c r="H94" s="35">
        <v>0.95990375215717338</v>
      </c>
      <c r="I94" s="35">
        <v>1.2522015713770296</v>
      </c>
      <c r="J94" s="12">
        <v>1.5560306139453606</v>
      </c>
      <c r="K94" s="12">
        <v>1.9827684899558879</v>
      </c>
      <c r="L94" s="25"/>
      <c r="T94" s="47">
        <v>89</v>
      </c>
      <c r="U94" s="36">
        <v>8.5000000000000006E-2</v>
      </c>
    </row>
    <row r="95" spans="1:21" x14ac:dyDescent="0.3">
      <c r="A95" s="10">
        <f t="shared" si="2"/>
        <v>83</v>
      </c>
      <c r="B95" s="13">
        <v>-0.30973011454375438</v>
      </c>
      <c r="C95" s="13">
        <v>-0.34155096063695112</v>
      </c>
      <c r="D95" s="16">
        <v>-7.2400657378489594E-3</v>
      </c>
      <c r="E95" s="16">
        <v>-6.8194420363155714E-3</v>
      </c>
      <c r="F95" s="12">
        <v>9529.79083665492</v>
      </c>
      <c r="G95" s="12">
        <v>12436.913059547707</v>
      </c>
      <c r="H95" s="35">
        <v>0.952979083665492</v>
      </c>
      <c r="I95" s="35">
        <v>1.2436913059547707</v>
      </c>
      <c r="J95" s="12">
        <v>1.5156221754981329</v>
      </c>
      <c r="K95" s="12">
        <v>1.9377394195237032</v>
      </c>
      <c r="L95" s="25"/>
      <c r="T95" s="47">
        <v>90</v>
      </c>
      <c r="U95" s="36">
        <v>8.5000000000000006E-2</v>
      </c>
    </row>
    <row r="96" spans="1:21" x14ac:dyDescent="0.3">
      <c r="A96" s="10">
        <f t="shared" si="2"/>
        <v>84</v>
      </c>
      <c r="B96" s="13">
        <v>0.55264267660591226</v>
      </c>
      <c r="C96" s="13">
        <v>-0.92679395262240971</v>
      </c>
      <c r="D96" s="16">
        <v>1.2316710914813844E-2</v>
      </c>
      <c r="E96" s="16">
        <v>-1.8248163420468814E-2</v>
      </c>
      <c r="F96" s="12">
        <v>9647.8923334565552</v>
      </c>
      <c r="G96" s="12">
        <v>12212.020417088013</v>
      </c>
      <c r="H96" s="35">
        <v>0.96478923334565547</v>
      </c>
      <c r="I96" s="35">
        <v>1.2212020417088014</v>
      </c>
      <c r="J96" s="12">
        <v>1.5845395116820566</v>
      </c>
      <c r="K96" s="12">
        <v>1.8187454030678707</v>
      </c>
      <c r="L96" s="25"/>
      <c r="T96" s="47">
        <v>91</v>
      </c>
      <c r="U96" s="36">
        <v>8.5000000000000006E-2</v>
      </c>
    </row>
    <row r="97" spans="1:21" x14ac:dyDescent="0.3">
      <c r="A97" s="10">
        <f t="shared" si="2"/>
        <v>85</v>
      </c>
      <c r="B97" s="13">
        <v>-1.0521854436649738</v>
      </c>
      <c r="C97" s="13">
        <v>-1.3364257245301163</v>
      </c>
      <c r="D97" s="16">
        <v>-2.4077369970100598E-2</v>
      </c>
      <c r="E97" s="16">
        <v>-2.6247520021643649E-2</v>
      </c>
      <c r="F97" s="12">
        <v>9418.370687187622</v>
      </c>
      <c r="G97" s="12">
        <v>11895.655230116668</v>
      </c>
      <c r="H97" s="35">
        <v>0.94183706871876216</v>
      </c>
      <c r="I97" s="35">
        <v>1.1895655230116668</v>
      </c>
      <c r="J97" s="12">
        <v>1.4506036947298646</v>
      </c>
      <c r="K97" s="12">
        <v>1.6513519132107368</v>
      </c>
      <c r="L97" s="25"/>
      <c r="T97" s="47">
        <v>92</v>
      </c>
      <c r="U97" s="36">
        <v>8.5000000000000006E-2</v>
      </c>
    </row>
    <row r="98" spans="1:21" x14ac:dyDescent="0.3">
      <c r="A98" s="10">
        <f t="shared" si="2"/>
        <v>86</v>
      </c>
      <c r="B98" s="13">
        <v>0.426066264182138</v>
      </c>
      <c r="C98" s="13">
        <v>-1.1994310048863364</v>
      </c>
      <c r="D98" s="16">
        <v>9.4462276937848193E-3</v>
      </c>
      <c r="E98" s="16">
        <v>-2.3572264609191228E-2</v>
      </c>
      <c r="F98" s="12">
        <v>9507.7602937977153</v>
      </c>
      <c r="G98" s="12">
        <v>11618.526801774857</v>
      </c>
      <c r="H98" s="35">
        <v>0.95077602937977157</v>
      </c>
      <c r="I98" s="35">
        <v>1.1618526801774858</v>
      </c>
      <c r="J98" s="12">
        <v>1.5027664000039878</v>
      </c>
      <c r="K98" s="12">
        <v>1.5047191714642176</v>
      </c>
      <c r="L98" s="25"/>
      <c r="T98" s="47">
        <v>93</v>
      </c>
      <c r="U98" s="36">
        <v>8.5000000000000006E-2</v>
      </c>
    </row>
    <row r="99" spans="1:21" x14ac:dyDescent="0.3">
      <c r="A99" s="10">
        <f t="shared" si="2"/>
        <v>87</v>
      </c>
      <c r="B99" s="13">
        <v>-1.1054191730281029</v>
      </c>
      <c r="C99" s="13">
        <v>1.3720984115348773</v>
      </c>
      <c r="D99" s="16">
        <v>-2.5284597478003653E-2</v>
      </c>
      <c r="E99" s="16">
        <v>2.6644984693919536E-2</v>
      </c>
      <c r="F99" s="12">
        <v>9270.3741551596613</v>
      </c>
      <c r="G99" s="12">
        <v>11932.263463486845</v>
      </c>
      <c r="H99" s="35">
        <v>0.92703741551596608</v>
      </c>
      <c r="I99" s="35">
        <v>1.1932263463486845</v>
      </c>
      <c r="J99" s="12">
        <v>1.3642413112881284</v>
      </c>
      <c r="K99" s="12">
        <v>1.6707218698105861</v>
      </c>
      <c r="L99" s="25"/>
      <c r="T99" s="47">
        <v>94</v>
      </c>
      <c r="U99" s="36">
        <v>8.5000000000000006E-2</v>
      </c>
    </row>
    <row r="100" spans="1:21" x14ac:dyDescent="0.3">
      <c r="A100" s="10">
        <f t="shared" si="2"/>
        <v>88</v>
      </c>
      <c r="B100" s="13">
        <v>-1.4174506650625931</v>
      </c>
      <c r="C100" s="13">
        <v>-0.23837684416077096</v>
      </c>
      <c r="D100" s="16">
        <v>-3.2360806584949595E-2</v>
      </c>
      <c r="E100" s="16">
        <v>-4.8046409239397821E-3</v>
      </c>
      <c r="F100" s="12">
        <v>8975.1794994735519</v>
      </c>
      <c r="G100" s="12">
        <v>11875.070727437487</v>
      </c>
      <c r="H100" s="35">
        <v>0.89751794994735523</v>
      </c>
      <c r="I100" s="35">
        <v>1.1875070727437487</v>
      </c>
      <c r="J100" s="12">
        <v>1.1919824502527994</v>
      </c>
      <c r="K100" s="12">
        <v>1.640460349023702</v>
      </c>
      <c r="L100" s="25"/>
      <c r="T100" s="47">
        <v>95</v>
      </c>
      <c r="U100" s="36">
        <v>8.5000000000000006E-2</v>
      </c>
    </row>
    <row r="101" spans="1:21" x14ac:dyDescent="0.3">
      <c r="A101" s="10">
        <f t="shared" si="2"/>
        <v>89</v>
      </c>
      <c r="B101" s="13">
        <v>8.4104302248470902E-2</v>
      </c>
      <c r="C101" s="13">
        <v>0.23370382793344235</v>
      </c>
      <c r="D101" s="16">
        <v>1.6912593298972257E-3</v>
      </c>
      <c r="E101" s="16">
        <v>4.4142280690999932E-3</v>
      </c>
      <c r="F101" s="12">
        <v>8990.3716988927827</v>
      </c>
      <c r="G101" s="12">
        <v>11927.605863695941</v>
      </c>
      <c r="H101" s="35">
        <v>0.89903716988927829</v>
      </c>
      <c r="I101" s="35">
        <v>1.192760586369594</v>
      </c>
      <c r="J101" s="12">
        <v>1.2008477563082078</v>
      </c>
      <c r="K101" s="12">
        <v>1.6682574650168063</v>
      </c>
      <c r="L101" s="25"/>
      <c r="T101" s="47">
        <v>96</v>
      </c>
      <c r="U101" s="36">
        <v>8.5000000000000006E-2</v>
      </c>
    </row>
    <row r="102" spans="1:21" x14ac:dyDescent="0.3">
      <c r="A102" s="10">
        <f t="shared" si="2"/>
        <v>90</v>
      </c>
      <c r="B102" s="13">
        <v>0.80981195142716511</v>
      </c>
      <c r="C102" s="13">
        <v>0.11975441349590413</v>
      </c>
      <c r="D102" s="16">
        <v>1.8148761880732642E-2</v>
      </c>
      <c r="E102" s="16">
        <v>2.1890051662576278E-3</v>
      </c>
      <c r="F102" s="12">
        <v>9155.0254252998857</v>
      </c>
      <c r="G102" s="12">
        <v>11953.744052430453</v>
      </c>
      <c r="H102" s="35">
        <v>0.91550254252998853</v>
      </c>
      <c r="I102" s="35">
        <v>1.1953744052430453</v>
      </c>
      <c r="J102" s="12">
        <v>1.2969303337864047</v>
      </c>
      <c r="K102" s="12">
        <v>1.682087566466024</v>
      </c>
      <c r="L102" s="25"/>
      <c r="T102" s="47">
        <v>97</v>
      </c>
      <c r="U102" s="36">
        <v>8.5000000000000006E-2</v>
      </c>
    </row>
    <row r="103" spans="1:21" x14ac:dyDescent="0.3">
      <c r="A103" s="10">
        <f t="shared" si="2"/>
        <v>91</v>
      </c>
      <c r="B103" s="13">
        <v>-1.7173906609672143</v>
      </c>
      <c r="C103" s="13">
        <v>-0.70820156653782429</v>
      </c>
      <c r="D103" s="16">
        <v>-3.9162806334138392E-2</v>
      </c>
      <c r="E103" s="16">
        <v>-1.397945535993717E-2</v>
      </c>
      <c r="F103" s="12">
        <v>8803.4188260106221</v>
      </c>
      <c r="G103" s="12">
        <v>11787.799828465375</v>
      </c>
      <c r="H103" s="35">
        <v>0.88034188260106216</v>
      </c>
      <c r="I103" s="35">
        <v>1.1787799828465375</v>
      </c>
      <c r="J103" s="12">
        <v>1.0917526614965742</v>
      </c>
      <c r="K103" s="12">
        <v>1.5942840282920712</v>
      </c>
      <c r="L103" s="25"/>
      <c r="T103" s="47">
        <v>98</v>
      </c>
      <c r="U103" s="36">
        <v>8.5000000000000006E-2</v>
      </c>
    </row>
    <row r="104" spans="1:21" x14ac:dyDescent="0.3">
      <c r="A104" s="10">
        <f t="shared" si="2"/>
        <v>92</v>
      </c>
      <c r="B104" s="13">
        <v>-0.75846494940923181</v>
      </c>
      <c r="C104" s="13">
        <v>0.83112248354926332</v>
      </c>
      <c r="D104" s="16">
        <v>-1.7416415260697725E-2</v>
      </c>
      <c r="E104" s="16">
        <v>1.608071781477859E-2</v>
      </c>
      <c r="F104" s="12">
        <v>8651.4222875314863</v>
      </c>
      <c r="G104" s="12">
        <v>11978.888414202613</v>
      </c>
      <c r="H104" s="35">
        <v>0.86514222875314861</v>
      </c>
      <c r="I104" s="35">
        <v>1.1978888414202613</v>
      </c>
      <c r="J104" s="12">
        <v>1.0030561011239856</v>
      </c>
      <c r="K104" s="12">
        <v>1.6953918194009505</v>
      </c>
      <c r="L104" s="25"/>
      <c r="T104" s="47">
        <v>99</v>
      </c>
      <c r="U104" s="36">
        <v>8.5000000000000006E-2</v>
      </c>
    </row>
    <row r="105" spans="1:21" x14ac:dyDescent="0.3">
      <c r="A105" s="10">
        <f t="shared" si="2"/>
        <v>93</v>
      </c>
      <c r="B105" s="13">
        <v>0.1872022498604447</v>
      </c>
      <c r="C105" s="13">
        <v>0.338519052038038</v>
      </c>
      <c r="D105" s="16">
        <v>4.0293010161467817E-3</v>
      </c>
      <c r="E105" s="16">
        <v>6.461077001105266E-3</v>
      </c>
      <c r="F105" s="12">
        <v>8686.3517956395299</v>
      </c>
      <c r="G105" s="12">
        <v>12056.535506437371</v>
      </c>
      <c r="H105" s="35">
        <v>0.86863517956395297</v>
      </c>
      <c r="I105" s="35">
        <v>1.2056535506437371</v>
      </c>
      <c r="J105" s="12">
        <v>1.0234389812585565</v>
      </c>
      <c r="K105" s="12">
        <v>1.7364760419440972</v>
      </c>
      <c r="L105" s="25"/>
      <c r="T105" s="47">
        <v>100</v>
      </c>
      <c r="U105" s="36">
        <v>-0.1500483155632383</v>
      </c>
    </row>
    <row r="106" spans="1:21" x14ac:dyDescent="0.3">
      <c r="A106" s="10">
        <f t="shared" si="2"/>
        <v>94</v>
      </c>
      <c r="B106" s="13">
        <v>0.54013758989740757</v>
      </c>
      <c r="C106" s="13">
        <v>-0.78216061772823831</v>
      </c>
      <c r="D106" s="16">
        <v>1.2033122204350965E-2</v>
      </c>
      <c r="E106" s="16">
        <v>-1.5423739873321947E-2</v>
      </c>
      <c r="F106" s="12">
        <v>8791.5071329822331</v>
      </c>
      <c r="G106" s="12">
        <v>11872.005369595947</v>
      </c>
      <c r="H106" s="35">
        <v>0.87915071329822336</v>
      </c>
      <c r="I106" s="35">
        <v>1.1872005369595946</v>
      </c>
      <c r="J106" s="12">
        <v>1.0848016729385206</v>
      </c>
      <c r="K106" s="12">
        <v>1.6388384229462198</v>
      </c>
      <c r="L106" s="25"/>
      <c r="T106" s="47"/>
      <c r="U106" s="36"/>
    </row>
    <row r="107" spans="1:21" x14ac:dyDescent="0.3">
      <c r="A107" s="10">
        <f t="shared" si="2"/>
        <v>95</v>
      </c>
      <c r="B107" s="13">
        <v>-0.82785792746007913</v>
      </c>
      <c r="C107" s="13">
        <v>0.34430245956575067</v>
      </c>
      <c r="D107" s="16">
        <v>-1.8990100083469488E-2</v>
      </c>
      <c r="E107" s="16">
        <v>6.5740163343230911E-3</v>
      </c>
      <c r="F107" s="12">
        <v>8626.1307594443715</v>
      </c>
      <c r="G107" s="12">
        <v>11950.309230237157</v>
      </c>
      <c r="H107" s="35">
        <v>0.86261307594443715</v>
      </c>
      <c r="I107" s="35">
        <v>1.1950309230237157</v>
      </c>
      <c r="J107" s="12">
        <v>0.9882973995749913</v>
      </c>
      <c r="K107" s="12">
        <v>1.6802701513468736</v>
      </c>
      <c r="L107" s="25"/>
      <c r="T107" s="47"/>
      <c r="U107" s="36"/>
    </row>
    <row r="108" spans="1:21" x14ac:dyDescent="0.3">
      <c r="A108" s="10">
        <f t="shared" si="2"/>
        <v>96</v>
      </c>
      <c r="B108" s="13">
        <v>-1.6609965531011512</v>
      </c>
      <c r="C108" s="13">
        <v>-2.0059951817849879</v>
      </c>
      <c r="D108" s="16">
        <v>-3.7883908178513066E-2</v>
      </c>
      <c r="E108" s="16">
        <v>-3.9322982486121594E-2</v>
      </c>
      <c r="F108" s="12">
        <v>8305.4518510049693</v>
      </c>
      <c r="G108" s="12">
        <v>11489.506867862554</v>
      </c>
      <c r="H108" s="35">
        <v>0.83054518510049691</v>
      </c>
      <c r="I108" s="35">
        <v>1.1489506867862553</v>
      </c>
      <c r="J108" s="12">
        <v>0.80116737380459824</v>
      </c>
      <c r="K108" s="12">
        <v>1.4364528201457545</v>
      </c>
      <c r="L108" s="25"/>
      <c r="T108" s="47"/>
      <c r="U108" s="36"/>
    </row>
    <row r="109" spans="1:21" x14ac:dyDescent="0.3">
      <c r="A109" s="10">
        <f t="shared" si="2"/>
        <v>97</v>
      </c>
      <c r="B109" s="13">
        <v>-0.3147531068134925</v>
      </c>
      <c r="C109" s="13">
        <v>-0.29983836862385721</v>
      </c>
      <c r="D109" s="16">
        <v>-7.3539764954186192E-3</v>
      </c>
      <c r="E109" s="16">
        <v>-6.0048716803148784E-3</v>
      </c>
      <c r="F109" s="12">
        <v>8244.5977872397907</v>
      </c>
      <c r="G109" s="12">
        <v>11420.720586541254</v>
      </c>
      <c r="H109" s="35">
        <v>0.82445977872397902</v>
      </c>
      <c r="I109" s="35">
        <v>1.1420720586541255</v>
      </c>
      <c r="J109" s="12">
        <v>0.76565639312916378</v>
      </c>
      <c r="K109" s="12">
        <v>1.400056983439139</v>
      </c>
      <c r="L109" s="25"/>
      <c r="T109" s="47"/>
      <c r="U109" s="36"/>
    </row>
    <row r="110" spans="1:21" x14ac:dyDescent="0.3">
      <c r="A110" s="10">
        <f t="shared" si="2"/>
        <v>98</v>
      </c>
      <c r="B110" s="13">
        <v>-0.30658195356786028</v>
      </c>
      <c r="C110" s="13">
        <v>0.63045800458410561</v>
      </c>
      <c r="D110" s="16">
        <v>-7.1686721575968376E-3</v>
      </c>
      <c r="E110" s="16">
        <v>1.2162108872518845E-2</v>
      </c>
      <c r="F110" s="12">
        <v>8185.7063076885706</v>
      </c>
      <c r="G110" s="12">
        <v>11560.468727179667</v>
      </c>
      <c r="H110" s="35">
        <v>0.81857063076885705</v>
      </c>
      <c r="I110" s="35">
        <v>1.1560468727179667</v>
      </c>
      <c r="J110" s="12">
        <v>0.73129066530594189</v>
      </c>
      <c r="K110" s="12">
        <v>1.4739997872806634</v>
      </c>
      <c r="L110" s="25"/>
      <c r="T110" s="47"/>
      <c r="U110" s="36"/>
    </row>
    <row r="111" spans="1:21" x14ac:dyDescent="0.3">
      <c r="A111" s="10">
        <f t="shared" si="2"/>
        <v>99</v>
      </c>
      <c r="B111" s="13">
        <v>-0.36387312510338499</v>
      </c>
      <c r="C111" s="13">
        <v>-0.49215898911055539</v>
      </c>
      <c r="D111" s="16">
        <v>-8.4679138050471892E-3</v>
      </c>
      <c r="E111" s="16">
        <v>-9.7605403821531059E-3</v>
      </c>
      <c r="F111" s="12">
        <v>8116.6831059482183</v>
      </c>
      <c r="G111" s="12">
        <v>11448.181190301199</v>
      </c>
      <c r="H111" s="35">
        <v>0.81166831059482181</v>
      </c>
      <c r="I111" s="35">
        <v>1.1448181190301199</v>
      </c>
      <c r="J111" s="12">
        <v>0.69101263896711917</v>
      </c>
      <c r="K111" s="12">
        <v>1.4145867941966588</v>
      </c>
      <c r="L111" s="25"/>
      <c r="T111" s="47"/>
      <c r="U111" s="36"/>
    </row>
    <row r="112" spans="1:21" x14ac:dyDescent="0.3">
      <c r="A112" s="10">
        <f t="shared" si="2"/>
        <v>100</v>
      </c>
      <c r="B112" s="13">
        <v>-0.78069250019650138</v>
      </c>
      <c r="C112" s="13">
        <v>0.17780419937107217</v>
      </c>
      <c r="D112" s="16">
        <v>-1.7920488731873494E-2</v>
      </c>
      <c r="E112" s="16">
        <v>3.3226109304656235E-3</v>
      </c>
      <c r="F112" s="12">
        <v>7972.523738935286</v>
      </c>
      <c r="G112" s="12">
        <v>11486.282304795581</v>
      </c>
      <c r="H112" s="35">
        <v>0.79725237389352865</v>
      </c>
      <c r="I112" s="35">
        <v>1.1486282304795581</v>
      </c>
      <c r="J112" s="12">
        <v>0.60688940742858077</v>
      </c>
      <c r="K112" s="12">
        <v>1.4347466562336868</v>
      </c>
      <c r="L112" s="25"/>
      <c r="T112" s="47"/>
      <c r="U112" s="36"/>
    </row>
    <row r="113" spans="1:21" x14ac:dyDescent="0.3">
      <c r="A113" s="10">
        <f t="shared" si="2"/>
        <v>101</v>
      </c>
      <c r="B113" s="13">
        <v>1.5441596835634119</v>
      </c>
      <c r="C113" s="13">
        <v>-0.10570655722891675</v>
      </c>
      <c r="D113" s="16">
        <v>3.4802203095676498E-2</v>
      </c>
      <c r="E113" s="16">
        <v>-2.2138337445904181E-3</v>
      </c>
      <c r="F113" s="12">
        <v>8254.8697637385612</v>
      </c>
      <c r="G113" s="12">
        <v>11460.881712148052</v>
      </c>
      <c r="H113" s="35">
        <v>0.82548697637385615</v>
      </c>
      <c r="I113" s="35">
        <v>1.1460881712148052</v>
      </c>
      <c r="J113" s="12">
        <v>0.77165053610626899</v>
      </c>
      <c r="K113" s="12">
        <v>1.4213068277607313</v>
      </c>
      <c r="L113" s="25"/>
      <c r="T113" s="47"/>
      <c r="U113" s="36"/>
    </row>
    <row r="114" spans="1:21" x14ac:dyDescent="0.3">
      <c r="A114" s="10">
        <f t="shared" ref="A114:A177" si="3">A113+1</f>
        <v>102</v>
      </c>
      <c r="B114" s="13">
        <v>0.84229253507026502</v>
      </c>
      <c r="C114" s="13">
        <v>0.59018194300597759</v>
      </c>
      <c r="D114" s="16">
        <v>1.8885352281514427E-2</v>
      </c>
      <c r="E114" s="16">
        <v>1.137559131907352E-2</v>
      </c>
      <c r="F114" s="12">
        <v>8412.2472746838612</v>
      </c>
      <c r="G114" s="12">
        <v>11592.000380918991</v>
      </c>
      <c r="H114" s="35">
        <v>0.84122472746838617</v>
      </c>
      <c r="I114" s="35">
        <v>1.1592000380918992</v>
      </c>
      <c r="J114" s="12">
        <v>0.86348712686365392</v>
      </c>
      <c r="K114" s="12">
        <v>1.4906836506694325</v>
      </c>
      <c r="L114" s="25"/>
      <c r="T114" s="47"/>
      <c r="U114" s="36"/>
    </row>
    <row r="115" spans="1:21" x14ac:dyDescent="0.3">
      <c r="A115" s="10">
        <f t="shared" si="3"/>
        <v>103</v>
      </c>
      <c r="B115" s="13">
        <v>-0.28818059890690734</v>
      </c>
      <c r="C115" s="13">
        <v>-1.1839925252407006</v>
      </c>
      <c r="D115" s="16">
        <v>-6.75136865857186E-3</v>
      </c>
      <c r="E115" s="16">
        <v>-2.3270779439986032E-2</v>
      </c>
      <c r="F115" s="12">
        <v>8355.6443805891049</v>
      </c>
      <c r="G115" s="12">
        <v>11325.359994287075</v>
      </c>
      <c r="H115" s="35">
        <v>0.83556443805891045</v>
      </c>
      <c r="I115" s="35">
        <v>1.1325359994287074</v>
      </c>
      <c r="J115" s="12">
        <v>0.83045688773075466</v>
      </c>
      <c r="K115" s="12">
        <v>1.3496002865911509</v>
      </c>
      <c r="L115" s="25"/>
      <c r="T115" s="47"/>
      <c r="U115" s="36"/>
    </row>
    <row r="116" spans="1:21" x14ac:dyDescent="0.3">
      <c r="A116" s="10">
        <f t="shared" si="3"/>
        <v>104</v>
      </c>
      <c r="B116" s="13">
        <v>0.4223606463800611</v>
      </c>
      <c r="C116" s="13">
        <v>-0.69167496510938953</v>
      </c>
      <c r="D116" s="16">
        <v>9.3621921810006815E-3</v>
      </c>
      <c r="E116" s="16">
        <v>-1.3656721169628022E-2</v>
      </c>
      <c r="F116" s="12">
        <v>8434.2388633316095</v>
      </c>
      <c r="G116" s="12">
        <v>11171.744043321922</v>
      </c>
      <c r="H116" s="35">
        <v>0.8434238863331609</v>
      </c>
      <c r="I116" s="35">
        <v>1.1171744043321921</v>
      </c>
      <c r="J116" s="12">
        <v>0.8763201708901921</v>
      </c>
      <c r="K116" s="12">
        <v>1.2683198196221084</v>
      </c>
      <c r="L116" s="25"/>
      <c r="T116" s="47"/>
      <c r="U116" s="36"/>
    </row>
    <row r="117" spans="1:21" x14ac:dyDescent="0.3">
      <c r="A117" s="10">
        <f t="shared" si="3"/>
        <v>105</v>
      </c>
      <c r="B117" s="13">
        <v>0.38575508363289729</v>
      </c>
      <c r="C117" s="13">
        <v>1.8833923513326722</v>
      </c>
      <c r="D117" s="16">
        <v>8.5320560470244049E-3</v>
      </c>
      <c r="E117" s="16">
        <v>3.6629616826857933E-2</v>
      </c>
      <c r="F117" s="12">
        <v>8506.5081263199027</v>
      </c>
      <c r="G117" s="12">
        <v>11588.547826251366</v>
      </c>
      <c r="H117" s="35">
        <v>0.85065081263199027</v>
      </c>
      <c r="I117" s="35">
        <v>1.1588547826251365</v>
      </c>
      <c r="J117" s="12">
        <v>0.91849241449430219</v>
      </c>
      <c r="K117" s="12">
        <v>1.4888568530363899</v>
      </c>
      <c r="L117" s="25"/>
      <c r="T117" s="47"/>
      <c r="U117" s="36"/>
    </row>
    <row r="118" spans="1:21" x14ac:dyDescent="0.3">
      <c r="A118" s="10">
        <f t="shared" si="3"/>
        <v>106</v>
      </c>
      <c r="B118" s="13">
        <v>-7.5994839928751654E-2</v>
      </c>
      <c r="C118" s="13">
        <v>-1.7980053106791301</v>
      </c>
      <c r="D118" s="16">
        <v>-1.9394479442373699E-3</v>
      </c>
      <c r="E118" s="16">
        <v>-3.5261322081559486E-2</v>
      </c>
      <c r="F118" s="12">
        <v>8490.0261847218917</v>
      </c>
      <c r="G118" s="12">
        <v>11187.040744803768</v>
      </c>
      <c r="H118" s="35">
        <v>0.84900261847218916</v>
      </c>
      <c r="I118" s="35">
        <v>1.1187040744803767</v>
      </c>
      <c r="J118" s="12">
        <v>0.90887448804260129</v>
      </c>
      <c r="K118" s="12">
        <v>1.2764135301496859</v>
      </c>
      <c r="L118" s="25"/>
      <c r="T118" s="47"/>
      <c r="U118" s="36"/>
    </row>
    <row r="119" spans="1:21" x14ac:dyDescent="0.3">
      <c r="A119" s="10">
        <f t="shared" si="3"/>
        <v>107</v>
      </c>
      <c r="B119" s="13">
        <v>0.88429592302959592</v>
      </c>
      <c r="C119" s="13">
        <v>3.0061893803424495</v>
      </c>
      <c r="D119" s="16">
        <v>1.9837899585193462E-2</v>
      </c>
      <c r="E119" s="16">
        <v>5.8555781840768269E-2</v>
      </c>
      <c r="F119" s="12">
        <v>8660.132165713856</v>
      </c>
      <c r="G119" s="12">
        <v>11861.665501521482</v>
      </c>
      <c r="H119" s="35">
        <v>0.86601321657138564</v>
      </c>
      <c r="I119" s="35">
        <v>1.1861665501521481</v>
      </c>
      <c r="J119" s="12">
        <v>1.0081386921077697</v>
      </c>
      <c r="K119" s="12">
        <v>1.6333674461354755</v>
      </c>
      <c r="L119" s="25"/>
      <c r="T119" s="47"/>
      <c r="U119" s="36"/>
    </row>
    <row r="120" spans="1:21" x14ac:dyDescent="0.3">
      <c r="A120" s="10">
        <f t="shared" si="3"/>
        <v>108</v>
      </c>
      <c r="B120" s="13">
        <v>-1.3754678715267801</v>
      </c>
      <c r="C120" s="13">
        <v>-0.58719947804047046</v>
      </c>
      <c r="D120" s="16">
        <v>-3.140872631889647E-2</v>
      </c>
      <c r="E120" s="16">
        <v>-1.1616506678321396E-2</v>
      </c>
      <c r="F120" s="12">
        <v>8392.3557165134316</v>
      </c>
      <c r="G120" s="12">
        <v>11724.671620702326</v>
      </c>
      <c r="H120" s="35">
        <v>0.83923557165134322</v>
      </c>
      <c r="I120" s="35">
        <v>1.1724671620702325</v>
      </c>
      <c r="J120" s="12">
        <v>0.85187954153426471</v>
      </c>
      <c r="K120" s="12">
        <v>1.5608819618161531</v>
      </c>
      <c r="L120" s="25"/>
      <c r="T120" s="47"/>
      <c r="U120" s="36"/>
    </row>
    <row r="121" spans="1:21" x14ac:dyDescent="0.3">
      <c r="A121" s="10">
        <f t="shared" si="3"/>
        <v>109</v>
      </c>
      <c r="B121" s="13">
        <v>0.80839053330472099</v>
      </c>
      <c r="C121" s="13">
        <v>0.80980783008772872</v>
      </c>
      <c r="D121" s="16">
        <v>1.8116527147638121E-2</v>
      </c>
      <c r="E121" s="16">
        <v>1.5664481757025488E-2</v>
      </c>
      <c r="F121" s="12">
        <v>8545.7816327877026</v>
      </c>
      <c r="G121" s="12">
        <v>11909.778542359953</v>
      </c>
      <c r="H121" s="35">
        <v>0.85457816327877023</v>
      </c>
      <c r="I121" s="35">
        <v>1.1909778542359952</v>
      </c>
      <c r="J121" s="12">
        <v>0.94141020573033507</v>
      </c>
      <c r="K121" s="12">
        <v>1.6588247661734095</v>
      </c>
      <c r="L121" s="25"/>
      <c r="T121" s="47"/>
      <c r="U121" s="36"/>
    </row>
    <row r="122" spans="1:21" x14ac:dyDescent="0.3">
      <c r="A122" s="10">
        <f t="shared" si="3"/>
        <v>110</v>
      </c>
      <c r="B122" s="13">
        <v>1.3178218248024307</v>
      </c>
      <c r="C122" s="13">
        <v>0.70338145247243911</v>
      </c>
      <c r="D122" s="16">
        <v>2.9669342925158632E-2</v>
      </c>
      <c r="E122" s="16">
        <v>1.3586169954327218E-2</v>
      </c>
      <c r="F122" s="12">
        <v>8803.1281317911689</v>
      </c>
      <c r="G122" s="12">
        <v>12072.690989943378</v>
      </c>
      <c r="H122" s="35">
        <v>0.88031281317911692</v>
      </c>
      <c r="I122" s="35">
        <v>1.2072690989943378</v>
      </c>
      <c r="J122" s="12">
        <v>1.0915830288349118</v>
      </c>
      <c r="K122" s="12">
        <v>1.7450241467159562</v>
      </c>
      <c r="L122" s="25"/>
      <c r="T122" s="47"/>
      <c r="U122" s="36"/>
    </row>
    <row r="123" spans="1:21" x14ac:dyDescent="0.3">
      <c r="A123" s="10">
        <f t="shared" si="3"/>
        <v>111</v>
      </c>
      <c r="B123" s="13">
        <v>-0.53606575859565453</v>
      </c>
      <c r="C123" s="13">
        <v>-0.14815379014979549</v>
      </c>
      <c r="D123" s="16">
        <v>-1.2372875683485787E-2</v>
      </c>
      <c r="E123" s="16">
        <v>-3.0427502890418103E-3</v>
      </c>
      <c r="F123" s="12">
        <v>8694.8791781786149</v>
      </c>
      <c r="G123" s="12">
        <v>12036.012635778936</v>
      </c>
      <c r="H123" s="35">
        <v>0.8694879178178615</v>
      </c>
      <c r="I123" s="35">
        <v>1.2036012635778937</v>
      </c>
      <c r="J123" s="12">
        <v>1.0284150781339596</v>
      </c>
      <c r="K123" s="12">
        <v>1.7256170881689046</v>
      </c>
      <c r="L123" s="25"/>
      <c r="T123" s="47"/>
      <c r="U123" s="36"/>
    </row>
    <row r="124" spans="1:21" x14ac:dyDescent="0.3">
      <c r="A124" s="10">
        <f t="shared" si="3"/>
        <v>112</v>
      </c>
      <c r="B124" s="13">
        <v>-0.14211914263049091</v>
      </c>
      <c r="C124" s="13">
        <v>-2.1195319351622496E-2</v>
      </c>
      <c r="D124" s="16">
        <v>-3.4390061776632995E-3</v>
      </c>
      <c r="E124" s="16">
        <v>-5.6348439439522161E-4</v>
      </c>
      <c r="F124" s="12">
        <v>8665.0287922211282</v>
      </c>
      <c r="G124" s="12">
        <v>12029.232440934324</v>
      </c>
      <c r="H124" s="35">
        <v>0.86650287922211278</v>
      </c>
      <c r="I124" s="35">
        <v>1.2029232440934323</v>
      </c>
      <c r="J124" s="12">
        <v>1.0109960856574518</v>
      </c>
      <c r="K124" s="12">
        <v>1.7220295870035067</v>
      </c>
      <c r="L124" s="25"/>
      <c r="T124" s="47"/>
      <c r="U124" s="36"/>
    </row>
    <row r="125" spans="1:21" x14ac:dyDescent="0.3">
      <c r="A125" s="10">
        <f t="shared" si="3"/>
        <v>113</v>
      </c>
      <c r="B125" s="13">
        <v>-1.8756202052171487</v>
      </c>
      <c r="C125" s="13">
        <v>-0.75110260728529121</v>
      </c>
      <c r="D125" s="16">
        <v>-4.2751115112553389E-2</v>
      </c>
      <c r="E125" s="16">
        <v>-1.4817233938249795E-2</v>
      </c>
      <c r="F125" s="12">
        <v>8302.3958590671318</v>
      </c>
      <c r="G125" s="12">
        <v>11852.306503265347</v>
      </c>
      <c r="H125" s="35">
        <v>0.83023958590671321</v>
      </c>
      <c r="I125" s="35">
        <v>1.1852306503265346</v>
      </c>
      <c r="J125" s="12">
        <v>0.79938407021015645</v>
      </c>
      <c r="K125" s="12">
        <v>1.628415462022877</v>
      </c>
      <c r="L125" s="25"/>
      <c r="T125" s="47"/>
      <c r="U125" s="36"/>
    </row>
    <row r="126" spans="1:21" x14ac:dyDescent="0.3">
      <c r="A126" s="10">
        <f t="shared" si="3"/>
        <v>114</v>
      </c>
      <c r="B126" s="13">
        <v>-1.0651698532441858</v>
      </c>
      <c r="C126" s="13">
        <v>-1.1950118555658471</v>
      </c>
      <c r="D126" s="16">
        <v>-2.437182870153717E-2</v>
      </c>
      <c r="E126" s="16">
        <v>-2.3485966734581056E-2</v>
      </c>
      <c r="F126" s="12">
        <v>8102.4971327911744</v>
      </c>
      <c r="G126" s="12">
        <v>11577.186996785853</v>
      </c>
      <c r="H126" s="35">
        <v>0.81024971327911743</v>
      </c>
      <c r="I126" s="35">
        <v>1.1577186996785853</v>
      </c>
      <c r="J126" s="12">
        <v>0.68273450949681946</v>
      </c>
      <c r="K126" s="12">
        <v>1.4828456704846378</v>
      </c>
      <c r="L126" s="25"/>
      <c r="T126" s="47"/>
      <c r="U126" s="36"/>
    </row>
    <row r="127" spans="1:21" x14ac:dyDescent="0.3">
      <c r="A127" s="10">
        <f t="shared" si="3"/>
        <v>115</v>
      </c>
      <c r="B127" s="13">
        <v>-1.0691488799202138</v>
      </c>
      <c r="C127" s="13">
        <v>-1.3561540072102947</v>
      </c>
      <c r="D127" s="16">
        <v>-2.4462064544778842E-2</v>
      </c>
      <c r="E127" s="16">
        <v>-2.66327771699175E-2</v>
      </c>
      <c r="F127" s="12">
        <v>7906.6979151411688</v>
      </c>
      <c r="G127" s="12">
        <v>11272.92402361558</v>
      </c>
      <c r="H127" s="35">
        <v>0.79066979151411687</v>
      </c>
      <c r="I127" s="35">
        <v>1.127292402361558</v>
      </c>
      <c r="J127" s="12">
        <v>0.56847718954092308</v>
      </c>
      <c r="K127" s="12">
        <v>1.3218556405737532</v>
      </c>
      <c r="L127" s="25"/>
      <c r="T127" s="47"/>
      <c r="U127" s="36"/>
    </row>
    <row r="128" spans="1:21" x14ac:dyDescent="0.3">
      <c r="A128" s="10">
        <f t="shared" si="3"/>
        <v>116</v>
      </c>
      <c r="B128" s="13">
        <v>-7.6219599959124154E-2</v>
      </c>
      <c r="C128" s="13">
        <v>-1.5717666185117045</v>
      </c>
      <c r="D128" s="16">
        <v>-1.9445450226233667E-3</v>
      </c>
      <c r="E128" s="16">
        <v>-3.084329569849267E-2</v>
      </c>
      <c r="F128" s="12">
        <v>7891.3379240020568</v>
      </c>
      <c r="G128" s="12">
        <v>10930.53720603576</v>
      </c>
      <c r="H128" s="35">
        <v>0.78913379240020565</v>
      </c>
      <c r="I128" s="35">
        <v>1.093053720603576</v>
      </c>
      <c r="J128" s="12">
        <v>0.55951396975299561</v>
      </c>
      <c r="K128" s="12">
        <v>1.1406937218922419</v>
      </c>
      <c r="L128" s="25"/>
      <c r="T128" s="47"/>
      <c r="U128" s="36"/>
    </row>
    <row r="129" spans="1:21" x14ac:dyDescent="0.3">
      <c r="A129" s="10">
        <f t="shared" si="3"/>
        <v>117</v>
      </c>
      <c r="B129" s="13">
        <v>1.4799447141377493</v>
      </c>
      <c r="C129" s="13">
        <v>-0.26946516573494939</v>
      </c>
      <c r="D129" s="16">
        <v>3.3345944470980049E-2</v>
      </c>
      <c r="E129" s="16">
        <v>-5.4117387797669447E-3</v>
      </c>
      <c r="F129" s="12">
        <v>8158.9186113069363</v>
      </c>
      <c r="G129" s="12">
        <v>10871.543766474409</v>
      </c>
      <c r="H129" s="35">
        <v>0.81589186113069367</v>
      </c>
      <c r="I129" s="35">
        <v>1.087154376647441</v>
      </c>
      <c r="J129" s="12">
        <v>0.71565888478560891</v>
      </c>
      <c r="K129" s="12">
        <v>1.1094794222994586</v>
      </c>
      <c r="L129" s="25"/>
      <c r="T129" s="47"/>
      <c r="U129" s="36"/>
    </row>
    <row r="130" spans="1:21" x14ac:dyDescent="0.3">
      <c r="A130" s="10">
        <f t="shared" si="3"/>
        <v>118</v>
      </c>
      <c r="B130" s="13">
        <v>-0.73696581883947676</v>
      </c>
      <c r="C130" s="13">
        <v>0.30282139621706261</v>
      </c>
      <c r="D130" s="16">
        <v>-1.6928860807340483E-2</v>
      </c>
      <c r="E130" s="16">
        <v>5.7639673081532131E-3</v>
      </c>
      <c r="F130" s="12">
        <v>8021.9599616136329</v>
      </c>
      <c r="G130" s="12">
        <v>10934.387931198131</v>
      </c>
      <c r="H130" s="35">
        <v>0.80219599616136328</v>
      </c>
      <c r="I130" s="35">
        <v>1.0934387931198131</v>
      </c>
      <c r="J130" s="12">
        <v>0.63573758353348997</v>
      </c>
      <c r="K130" s="12">
        <v>1.1427311974109002</v>
      </c>
      <c r="L130" s="25"/>
      <c r="T130" s="47"/>
      <c r="U130" s="36"/>
    </row>
    <row r="131" spans="1:21" x14ac:dyDescent="0.3">
      <c r="A131" s="10">
        <f t="shared" si="3"/>
        <v>119</v>
      </c>
      <c r="B131" s="13">
        <v>0.82464578347055117</v>
      </c>
      <c r="C131" s="13">
        <v>-1.2259162593471613</v>
      </c>
      <c r="D131" s="16">
        <v>1.8485161571391791E-2</v>
      </c>
      <c r="E131" s="16">
        <v>-2.4089473013505946E-2</v>
      </c>
      <c r="F131" s="12">
        <v>8171.6262284477816</v>
      </c>
      <c r="G131" s="12">
        <v>10674.131592731195</v>
      </c>
      <c r="H131" s="35">
        <v>0.81716262284477814</v>
      </c>
      <c r="I131" s="35">
        <v>1.0674131592731195</v>
      </c>
      <c r="J131" s="12">
        <v>0.72307432952009176</v>
      </c>
      <c r="K131" s="12">
        <v>1.005025727442848</v>
      </c>
      <c r="L131" s="25"/>
      <c r="T131" s="47"/>
      <c r="U131" s="36"/>
    </row>
    <row r="132" spans="1:21" x14ac:dyDescent="0.3">
      <c r="A132" s="10">
        <f t="shared" si="3"/>
        <v>120</v>
      </c>
      <c r="B132" s="13">
        <v>-1.0047448482087633</v>
      </c>
      <c r="C132" s="13">
        <v>-4.0344484383475133E-2</v>
      </c>
      <c r="D132" s="16">
        <v>-2.3001518390449567E-2</v>
      </c>
      <c r="E132" s="16">
        <v>-9.3743243800315163E-4</v>
      </c>
      <c r="F132" s="12">
        <v>7985.811618890436</v>
      </c>
      <c r="G132" s="12">
        <v>10664.130004167862</v>
      </c>
      <c r="H132" s="35">
        <v>0.7985811618890436</v>
      </c>
      <c r="I132" s="35">
        <v>1.0664130004167862</v>
      </c>
      <c r="J132" s="12">
        <v>0.6146434606357033</v>
      </c>
      <c r="K132" s="12">
        <v>0.99973373931432119</v>
      </c>
      <c r="L132" s="25"/>
      <c r="T132" s="47"/>
      <c r="U132" s="36"/>
    </row>
    <row r="133" spans="1:21" x14ac:dyDescent="0.3">
      <c r="A133" s="10">
        <f t="shared" si="3"/>
        <v>121</v>
      </c>
      <c r="B133" s="13">
        <v>-0.14378764603762711</v>
      </c>
      <c r="C133" s="13">
        <v>0.1576536647390864</v>
      </c>
      <c r="D133" s="16">
        <v>-3.4768442783228398E-3</v>
      </c>
      <c r="E133" s="16">
        <v>2.9291079766422682E-3</v>
      </c>
      <c r="F133" s="12">
        <v>7958.0944075907873</v>
      </c>
      <c r="G133" s="12">
        <v>10695.41218450309</v>
      </c>
      <c r="H133" s="35">
        <v>0.79580944075907878</v>
      </c>
      <c r="I133" s="35">
        <v>1.069541218450309</v>
      </c>
      <c r="J133" s="12">
        <v>0.59846926792054123</v>
      </c>
      <c r="K133" s="12">
        <v>1.0162856026428491</v>
      </c>
      <c r="L133" s="25"/>
      <c r="T133" s="47"/>
      <c r="U133" s="36"/>
    </row>
    <row r="134" spans="1:21" x14ac:dyDescent="0.3">
      <c r="A134" s="10">
        <f t="shared" si="3"/>
        <v>122</v>
      </c>
      <c r="B134" s="13">
        <v>0.62092602140573039</v>
      </c>
      <c r="C134" s="13">
        <v>-1.5396125589301766</v>
      </c>
      <c r="D134" s="16">
        <v>1.3865231620768081E-2</v>
      </c>
      <c r="E134" s="16">
        <v>-3.0215385935609296E-2</v>
      </c>
      <c r="F134" s="12">
        <v>8069.2037280349186</v>
      </c>
      <c r="G134" s="12">
        <v>10377.079666179165</v>
      </c>
      <c r="H134" s="35">
        <v>0.80692037280349183</v>
      </c>
      <c r="I134" s="35">
        <v>1.0377079666179165</v>
      </c>
      <c r="J134" s="12">
        <v>0.66330636649751284</v>
      </c>
      <c r="K134" s="12">
        <v>0.84785116872999799</v>
      </c>
      <c r="L134" s="25"/>
      <c r="T134" s="47"/>
      <c r="U134" s="36"/>
    </row>
    <row r="135" spans="1:21" x14ac:dyDescent="0.3">
      <c r="A135" s="10">
        <f t="shared" si="3"/>
        <v>123</v>
      </c>
      <c r="B135" s="13">
        <v>-0.41637928069915331</v>
      </c>
      <c r="C135" s="13">
        <v>0.41699585414247947</v>
      </c>
      <c r="D135" s="16">
        <v>-9.6586414908168914E-3</v>
      </c>
      <c r="E135" s="16">
        <v>7.9935848972327549E-3</v>
      </c>
      <c r="F135" s="12">
        <v>7991.6413586466988</v>
      </c>
      <c r="G135" s="12">
        <v>10460.362152829139</v>
      </c>
      <c r="H135" s="35">
        <v>0.79916413586466983</v>
      </c>
      <c r="I135" s="35">
        <v>1.0460362152829139</v>
      </c>
      <c r="J135" s="12">
        <v>0.61804536616211647</v>
      </c>
      <c r="K135" s="12">
        <v>0.89191716163452717</v>
      </c>
      <c r="L135" s="25"/>
      <c r="T135" s="47"/>
      <c r="U135" s="36"/>
    </row>
    <row r="136" spans="1:21" x14ac:dyDescent="0.3">
      <c r="A136" s="10">
        <f t="shared" si="3"/>
        <v>124</v>
      </c>
      <c r="B136" s="13">
        <v>-0.6206655172037927</v>
      </c>
      <c r="C136" s="13">
        <v>-1.2574100374331001</v>
      </c>
      <c r="D136" s="16">
        <v>-1.4291417874227755E-2</v>
      </c>
      <c r="E136" s="16">
        <v>-2.4704488690767551E-2</v>
      </c>
      <c r="F136" s="12">
        <v>7878.2417233754677</v>
      </c>
      <c r="G136" s="12">
        <v>10205.110170981174</v>
      </c>
      <c r="H136" s="35">
        <v>0.78782417233754676</v>
      </c>
      <c r="I136" s="35">
        <v>1.0205110170981173</v>
      </c>
      <c r="J136" s="12">
        <v>0.55187176973218899</v>
      </c>
      <c r="K136" s="12">
        <v>0.75685957061598463</v>
      </c>
      <c r="L136" s="25"/>
      <c r="T136" s="47"/>
      <c r="U136" s="36"/>
    </row>
    <row r="137" spans="1:21" x14ac:dyDescent="0.3">
      <c r="A137" s="10">
        <f t="shared" si="3"/>
        <v>125</v>
      </c>
      <c r="B137" s="13">
        <v>-0.22890051236251055</v>
      </c>
      <c r="C137" s="13">
        <v>1.6374187330716037</v>
      </c>
      <c r="D137" s="16">
        <v>-5.4070226583302012E-3</v>
      </c>
      <c r="E137" s="16">
        <v>3.1826203561846692E-2</v>
      </c>
      <c r="F137" s="12">
        <v>7835.7588483054406</v>
      </c>
      <c r="G137" s="12">
        <v>10535.123769001826</v>
      </c>
      <c r="H137" s="35">
        <v>0.78357588483054408</v>
      </c>
      <c r="I137" s="35">
        <v>1.0535123769001826</v>
      </c>
      <c r="J137" s="12">
        <v>0.52708117297812518</v>
      </c>
      <c r="K137" s="12">
        <v>0.93147463620469595</v>
      </c>
      <c r="L137" s="25"/>
      <c r="T137" s="47"/>
      <c r="U137" s="36"/>
    </row>
    <row r="138" spans="1:21" x14ac:dyDescent="0.3">
      <c r="A138" s="10">
        <f t="shared" si="3"/>
        <v>126</v>
      </c>
      <c r="B138" s="13">
        <v>-0.73792902512026337</v>
      </c>
      <c r="C138" s="13">
        <v>-1.2725684487283901</v>
      </c>
      <c r="D138" s="16">
        <v>-1.6950704272599485E-2</v>
      </c>
      <c r="E138" s="16">
        <v>-2.5000504639173093E-2</v>
      </c>
      <c r="F138" s="12">
        <v>7704.0565937467909</v>
      </c>
      <c r="G138" s="12">
        <v>10275.005451181205</v>
      </c>
      <c r="H138" s="35">
        <v>0.77040565937467909</v>
      </c>
      <c r="I138" s="35">
        <v>1.0275005451181205</v>
      </c>
      <c r="J138" s="12">
        <v>0.45022720584471709</v>
      </c>
      <c r="K138" s="12">
        <v>0.79384219499774133</v>
      </c>
      <c r="L138" s="25"/>
      <c r="T138" s="47"/>
      <c r="U138" s="36"/>
    </row>
    <row r="139" spans="1:21" x14ac:dyDescent="0.3">
      <c r="A139" s="10">
        <f t="shared" si="3"/>
        <v>127</v>
      </c>
      <c r="B139" s="13">
        <v>2.8278295760866952</v>
      </c>
      <c r="C139" s="13">
        <v>0.74622696838282254</v>
      </c>
      <c r="D139" s="16">
        <v>6.3913099962398939E-2</v>
      </c>
      <c r="E139" s="16">
        <v>1.4422864234490839E-2</v>
      </c>
      <c r="F139" s="12">
        <v>8212.5224747002485</v>
      </c>
      <c r="G139" s="12">
        <v>10424.274314533031</v>
      </c>
      <c r="H139" s="35">
        <v>0.8212522474700249</v>
      </c>
      <c r="I139" s="35">
        <v>1.0424274314533031</v>
      </c>
      <c r="J139" s="12">
        <v>0.74693905967144381</v>
      </c>
      <c r="K139" s="12">
        <v>0.87282255374920226</v>
      </c>
      <c r="L139" s="25"/>
      <c r="T139" s="47"/>
      <c r="U139" s="36"/>
    </row>
    <row r="140" spans="1:21" x14ac:dyDescent="0.3">
      <c r="A140" s="10">
        <f t="shared" si="3"/>
        <v>128</v>
      </c>
      <c r="B140" s="13">
        <v>0.93536968987205704</v>
      </c>
      <c r="C140" s="13">
        <v>-0.56987001956994576</v>
      </c>
      <c r="D140" s="16">
        <v>2.0996143747345881E-2</v>
      </c>
      <c r="E140" s="16">
        <v>-1.1278094163673459E-2</v>
      </c>
      <c r="F140" s="12">
        <v>8386.7767091404003</v>
      </c>
      <c r="G140" s="12">
        <v>10307.368841841047</v>
      </c>
      <c r="H140" s="35">
        <v>0.83867767091404</v>
      </c>
      <c r="I140" s="35">
        <v>1.0307368841841047</v>
      </c>
      <c r="J140" s="12">
        <v>0.84862394920806761</v>
      </c>
      <c r="K140" s="12">
        <v>0.81096614266727896</v>
      </c>
      <c r="L140" s="25"/>
      <c r="T140" s="47"/>
      <c r="U140" s="36"/>
    </row>
    <row r="141" spans="1:21" x14ac:dyDescent="0.3">
      <c r="A141" s="10">
        <f t="shared" si="3"/>
        <v>129</v>
      </c>
      <c r="B141" s="13">
        <v>-1.5269776766505965</v>
      </c>
      <c r="C141" s="13">
        <v>-0.70332362238100687</v>
      </c>
      <c r="D141" s="16">
        <v>-3.4844645737857706E-2</v>
      </c>
      <c r="E141" s="16">
        <v>-1.3884198064319507E-2</v>
      </c>
      <c r="F141" s="12">
        <v>8099.5752210845703</v>
      </c>
      <c r="G141" s="12">
        <v>10165.248190012264</v>
      </c>
      <c r="H141" s="35">
        <v>0.80995752210845706</v>
      </c>
      <c r="I141" s="35">
        <v>1.0165248190012264</v>
      </c>
      <c r="J141" s="12">
        <v>0.68102944752184724</v>
      </c>
      <c r="K141" s="12">
        <v>0.73576800813756049</v>
      </c>
      <c r="L141" s="25"/>
      <c r="T141" s="47"/>
      <c r="U141" s="36"/>
    </row>
    <row r="142" spans="1:21" x14ac:dyDescent="0.3">
      <c r="A142" s="10">
        <f t="shared" si="3"/>
        <v>130</v>
      </c>
      <c r="B142" s="13">
        <v>0.91373441871879646</v>
      </c>
      <c r="C142" s="13">
        <v>-1.6493139445285099</v>
      </c>
      <c r="D142" s="16">
        <v>2.0505501915754648E-2</v>
      </c>
      <c r="E142" s="16">
        <v>-3.2357652632738862E-2</v>
      </c>
      <c r="F142" s="12">
        <v>8267.3756122959439</v>
      </c>
      <c r="G142" s="12">
        <v>9841.5892806584743</v>
      </c>
      <c r="H142" s="35">
        <v>0.82673756122959441</v>
      </c>
      <c r="I142" s="35">
        <v>0.98415892806584748</v>
      </c>
      <c r="J142" s="12">
        <v>0.77894824013742103</v>
      </c>
      <c r="K142" s="12">
        <v>0.56451530211528944</v>
      </c>
      <c r="L142" s="25"/>
      <c r="T142" s="47"/>
      <c r="U142" s="36"/>
    </row>
    <row r="143" spans="1:21" x14ac:dyDescent="0.3">
      <c r="A143" s="10">
        <f t="shared" si="3"/>
        <v>131</v>
      </c>
      <c r="B143" s="13">
        <v>0.35367255303351341</v>
      </c>
      <c r="C143" s="13">
        <v>-2.7857809465116028</v>
      </c>
      <c r="D143" s="16">
        <v>7.8044926407764932E-3</v>
      </c>
      <c r="E143" s="16">
        <v>-5.455076712674619E-2</v>
      </c>
      <c r="F143" s="12">
        <v>8332.1507240743267</v>
      </c>
      <c r="G143" s="12">
        <v>9319.10359388092</v>
      </c>
      <c r="H143" s="35">
        <v>0.83321507240743264</v>
      </c>
      <c r="I143" s="35">
        <v>0.93191035938809197</v>
      </c>
      <c r="J143" s="12">
        <v>0.81674732207691625</v>
      </c>
      <c r="K143" s="12">
        <v>0.28806041355001261</v>
      </c>
      <c r="L143" s="25"/>
      <c r="T143" s="47"/>
      <c r="U143" s="36"/>
    </row>
    <row r="144" spans="1:21" x14ac:dyDescent="0.3">
      <c r="A144" s="10">
        <f t="shared" si="3"/>
        <v>132</v>
      </c>
      <c r="B144" s="13">
        <v>0.31175718823699533</v>
      </c>
      <c r="C144" s="13">
        <v>-1.4947112285158046</v>
      </c>
      <c r="D144" s="16">
        <v>6.8539415147981647E-3</v>
      </c>
      <c r="E144" s="16">
        <v>-2.9338545371756095E-2</v>
      </c>
      <c r="F144" s="12">
        <v>8389.4549534186172</v>
      </c>
      <c r="G144" s="12">
        <v>9049.6664238190169</v>
      </c>
      <c r="H144" s="35">
        <v>0.83894549534186169</v>
      </c>
      <c r="I144" s="35">
        <v>0.90496664238190172</v>
      </c>
      <c r="J144" s="12">
        <v>0.85018682068982843</v>
      </c>
      <c r="K144" s="12">
        <v>0.14549723007945847</v>
      </c>
      <c r="L144" s="25"/>
      <c r="T144" s="47"/>
      <c r="U144" s="36"/>
    </row>
    <row r="145" spans="1:21" x14ac:dyDescent="0.3">
      <c r="A145" s="10">
        <f t="shared" si="3"/>
        <v>133</v>
      </c>
      <c r="B145" s="13">
        <v>7.049388365082053E-2</v>
      </c>
      <c r="C145" s="13">
        <v>0.55994911319155605</v>
      </c>
      <c r="D145" s="16">
        <v>1.3826040483354712E-3</v>
      </c>
      <c r="E145" s="16">
        <v>1.0785199647006936E-2</v>
      </c>
      <c r="F145" s="12">
        <v>8401.0622701130287</v>
      </c>
      <c r="G145" s="12">
        <v>9147.7971112504783</v>
      </c>
      <c r="H145" s="35">
        <v>0.84010622701130289</v>
      </c>
      <c r="I145" s="35">
        <v>0.91477971112504786</v>
      </c>
      <c r="J145" s="12">
        <v>0.8569601924800746</v>
      </c>
      <c r="K145" s="12">
        <v>0.19741962517130449</v>
      </c>
      <c r="L145" s="25"/>
      <c r="T145" s="47"/>
      <c r="U145" s="36"/>
    </row>
    <row r="146" spans="1:21" x14ac:dyDescent="0.3">
      <c r="A146" s="10">
        <f t="shared" si="3"/>
        <v>134</v>
      </c>
      <c r="B146" s="13">
        <v>0.28550474684638133</v>
      </c>
      <c r="C146" s="13">
        <v>2.6827836433702128</v>
      </c>
      <c r="D146" s="16">
        <v>6.2585921042736222E-3</v>
      </c>
      <c r="E146" s="16">
        <v>5.2240261428719868E-2</v>
      </c>
      <c r="F146" s="12">
        <v>8453.8059705939522</v>
      </c>
      <c r="G146" s="12">
        <v>9638.3830279337035</v>
      </c>
      <c r="H146" s="35">
        <v>0.84538059705939528</v>
      </c>
      <c r="I146" s="35">
        <v>0.96383830279337035</v>
      </c>
      <c r="J146" s="12">
        <v>0.8877384250687208</v>
      </c>
      <c r="K146" s="12">
        <v>0.45699587455112106</v>
      </c>
      <c r="L146" s="25"/>
      <c r="T146" s="47"/>
      <c r="U146" s="36"/>
    </row>
    <row r="147" spans="1:21" x14ac:dyDescent="0.3">
      <c r="A147" s="10">
        <f t="shared" si="3"/>
        <v>135</v>
      </c>
      <c r="B147" s="13">
        <v>-0.62322855242732267</v>
      </c>
      <c r="C147" s="13">
        <v>-1.1950742222749384</v>
      </c>
      <c r="D147" s="16">
        <v>-1.4349542049681691E-2</v>
      </c>
      <c r="E147" s="16">
        <v>-2.34871846419317E-2</v>
      </c>
      <c r="F147" s="12">
        <v>8333.3639370230831</v>
      </c>
      <c r="G147" s="12">
        <v>9414.6423508152438</v>
      </c>
      <c r="H147" s="35">
        <v>0.83333639370230828</v>
      </c>
      <c r="I147" s="35">
        <v>0.94146423508152444</v>
      </c>
      <c r="J147" s="12">
        <v>0.81745528435441872</v>
      </c>
      <c r="K147" s="12">
        <v>0.33861137995990853</v>
      </c>
      <c r="L147" s="25"/>
      <c r="T147" s="47"/>
      <c r="U147" s="36"/>
    </row>
    <row r="148" spans="1:21" x14ac:dyDescent="0.3">
      <c r="A148" s="10">
        <f t="shared" si="3"/>
        <v>136</v>
      </c>
      <c r="B148" s="13">
        <v>0.5712883207103473</v>
      </c>
      <c r="C148" s="13">
        <v>1.1955525395551609</v>
      </c>
      <c r="D148" s="16">
        <v>1.2739554377684868E-2</v>
      </c>
      <c r="E148" s="16">
        <v>2.3197367874906522E-2</v>
      </c>
      <c r="F148" s="12">
        <v>8440.2063977097623</v>
      </c>
      <c r="G148" s="12">
        <v>9635.5900676681031</v>
      </c>
      <c r="H148" s="35">
        <v>0.84402063977097619</v>
      </c>
      <c r="I148" s="35">
        <v>0.96355900676681028</v>
      </c>
      <c r="J148" s="12">
        <v>0.87980248554382467</v>
      </c>
      <c r="K148" s="12">
        <v>0.45551807805155392</v>
      </c>
      <c r="L148" s="25"/>
      <c r="T148" s="47"/>
      <c r="U148" s="36"/>
    </row>
    <row r="149" spans="1:21" x14ac:dyDescent="0.3">
      <c r="A149" s="10">
        <f t="shared" si="3"/>
        <v>137</v>
      </c>
      <c r="B149" s="13">
        <v>-0.47390849419912684</v>
      </c>
      <c r="C149" s="13">
        <v>-0.98775021411902875</v>
      </c>
      <c r="D149" s="16">
        <v>-1.0963281422606061E-2</v>
      </c>
      <c r="E149" s="16">
        <v>-1.9438527318549895E-2</v>
      </c>
      <c r="F149" s="12">
        <v>8348.1794202849469</v>
      </c>
      <c r="G149" s="12">
        <v>9450.0970829048929</v>
      </c>
      <c r="H149" s="35">
        <v>0.83481794202849469</v>
      </c>
      <c r="I149" s="35">
        <v>0.94500970829048925</v>
      </c>
      <c r="J149" s="12">
        <v>0.82610076022336665</v>
      </c>
      <c r="K149" s="12">
        <v>0.35737100200698801</v>
      </c>
      <c r="L149" s="25"/>
      <c r="T149" s="47"/>
      <c r="U149" s="36"/>
    </row>
    <row r="150" spans="1:21" x14ac:dyDescent="0.3">
      <c r="A150" s="10">
        <f t="shared" si="3"/>
        <v>138</v>
      </c>
      <c r="B150" s="13">
        <v>-0.71884369889043254</v>
      </c>
      <c r="C150" s="13">
        <v>0.18028528802389679</v>
      </c>
      <c r="D150" s="16">
        <v>-1.6517889756359452E-2</v>
      </c>
      <c r="E150" s="16">
        <v>3.3710620376652487E-3</v>
      </c>
      <c r="F150" s="12">
        <v>8211.4177297168244</v>
      </c>
      <c r="G150" s="12">
        <v>9482.0077025530627</v>
      </c>
      <c r="H150" s="35">
        <v>0.82114177297168245</v>
      </c>
      <c r="I150" s="35">
        <v>0.94820077025530625</v>
      </c>
      <c r="J150" s="12">
        <v>0.74629439314746215</v>
      </c>
      <c r="K150" s="12">
        <v>0.37425538185152063</v>
      </c>
      <c r="L150" s="25"/>
      <c r="T150" s="47"/>
      <c r="U150" s="36"/>
    </row>
    <row r="151" spans="1:21" x14ac:dyDescent="0.3">
      <c r="A151" s="10">
        <f t="shared" si="3"/>
        <v>139</v>
      </c>
      <c r="B151" s="13">
        <v>7.4534292437647753E-2</v>
      </c>
      <c r="C151" s="13">
        <v>0.29556040384992266</v>
      </c>
      <c r="D151" s="16">
        <v>1.4742319070067714E-3</v>
      </c>
      <c r="E151" s="16">
        <v>5.6221734552187588E-3</v>
      </c>
      <c r="F151" s="12">
        <v>8223.5321913045482</v>
      </c>
      <c r="G151" s="12">
        <v>9535.4673334029703</v>
      </c>
      <c r="H151" s="35">
        <v>0.82235321913045478</v>
      </c>
      <c r="I151" s="35">
        <v>0.95354673334029705</v>
      </c>
      <c r="J151" s="12">
        <v>0.75336370593805857</v>
      </c>
      <c r="K151" s="12">
        <v>0.40254166157815402</v>
      </c>
      <c r="L151" s="25"/>
      <c r="T151" s="47"/>
      <c r="U151" s="36"/>
    </row>
    <row r="152" spans="1:21" x14ac:dyDescent="0.3">
      <c r="A152" s="10">
        <f t="shared" si="3"/>
        <v>140</v>
      </c>
      <c r="B152" s="13">
        <v>1.4690196331894732</v>
      </c>
      <c r="C152" s="13">
        <v>0.71993741670710398</v>
      </c>
      <c r="D152" s="16">
        <v>3.3098186923188146E-2</v>
      </c>
      <c r="E152" s="16">
        <v>1.3909477546344813E-2</v>
      </c>
      <c r="F152" s="12">
        <v>8500.270705245046</v>
      </c>
      <c r="G152" s="12">
        <v>9669.0274243586518</v>
      </c>
      <c r="H152" s="35">
        <v>0.85002707052450455</v>
      </c>
      <c r="I152" s="35">
        <v>0.96690274243586516</v>
      </c>
      <c r="J152" s="12">
        <v>0.91485260926932188</v>
      </c>
      <c r="K152" s="12">
        <v>0.47321027699927098</v>
      </c>
      <c r="L152" s="25"/>
      <c r="T152" s="47"/>
      <c r="U152" s="36"/>
    </row>
    <row r="153" spans="1:21" x14ac:dyDescent="0.3">
      <c r="A153" s="10">
        <f t="shared" si="3"/>
        <v>141</v>
      </c>
      <c r="B153" s="13">
        <v>0.98308433344792401</v>
      </c>
      <c r="C153" s="13">
        <v>1.8424495733996664</v>
      </c>
      <c r="D153" s="16">
        <v>2.207821015418442E-2</v>
      </c>
      <c r="E153" s="16">
        <v>3.5830079526800507E-2</v>
      </c>
      <c r="F153" s="12">
        <v>8690.0285166460362</v>
      </c>
      <c r="G153" s="12">
        <v>10021.750764023329</v>
      </c>
      <c r="H153" s="35">
        <v>0.86900285166460367</v>
      </c>
      <c r="I153" s="35">
        <v>1.0021750764023329</v>
      </c>
      <c r="J153" s="12">
        <v>1.0255845071369074</v>
      </c>
      <c r="K153" s="12">
        <v>0.65984140207903963</v>
      </c>
      <c r="L153" s="25"/>
      <c r="T153" s="47"/>
      <c r="U153" s="36"/>
    </row>
    <row r="154" spans="1:21" x14ac:dyDescent="0.3">
      <c r="A154" s="10">
        <f t="shared" si="3"/>
        <v>142</v>
      </c>
      <c r="B154" s="13">
        <v>-0.42922362546168752</v>
      </c>
      <c r="C154" s="13">
        <v>-0.23751129960934247</v>
      </c>
      <c r="D154" s="16">
        <v>-9.9499238507760965E-3</v>
      </c>
      <c r="E154" s="16">
        <v>-4.7877384276103704E-3</v>
      </c>
      <c r="F154" s="12">
        <v>8603.9921321872771</v>
      </c>
      <c r="G154" s="12">
        <v>9973.883921175302</v>
      </c>
      <c r="H154" s="35">
        <v>0.8603992132187277</v>
      </c>
      <c r="I154" s="35">
        <v>0.99738839211753016</v>
      </c>
      <c r="J154" s="12">
        <v>0.97537855215436642</v>
      </c>
      <c r="K154" s="12">
        <v>0.63451434903163861</v>
      </c>
      <c r="L154" s="25"/>
      <c r="T154" s="47"/>
      <c r="U154" s="36"/>
    </row>
    <row r="155" spans="1:21" x14ac:dyDescent="0.3">
      <c r="A155" s="10">
        <f t="shared" si="3"/>
        <v>143</v>
      </c>
      <c r="B155" s="13">
        <v>-0.78841803058456494</v>
      </c>
      <c r="C155" s="13">
        <v>0.17032788505019089</v>
      </c>
      <c r="D155" s="16">
        <v>-1.8095687293183966E-2</v>
      </c>
      <c r="E155" s="16">
        <v>3.1766122350112233E-3</v>
      </c>
      <c r="F155" s="12">
        <v>8449.6972276116267</v>
      </c>
      <c r="G155" s="12">
        <v>10005.61745875686</v>
      </c>
      <c r="H155" s="35">
        <v>0.84496972276116267</v>
      </c>
      <c r="I155" s="35">
        <v>1.0005617458756861</v>
      </c>
      <c r="J155" s="12">
        <v>0.88534079566456625</v>
      </c>
      <c r="K155" s="12">
        <v>0.65130503214106272</v>
      </c>
      <c r="L155" s="25"/>
      <c r="T155" s="47"/>
      <c r="U155" s="36"/>
    </row>
    <row r="156" spans="1:21" x14ac:dyDescent="0.3">
      <c r="A156" s="10">
        <f t="shared" si="3"/>
        <v>144</v>
      </c>
      <c r="B156" s="13">
        <v>-0.38604544840546262</v>
      </c>
      <c r="C156" s="13">
        <v>0.90789425457262007</v>
      </c>
      <c r="D156" s="16">
        <v>-8.9707348345827876E-3</v>
      </c>
      <c r="E156" s="16">
        <v>1.7579929583581375E-2</v>
      </c>
      <c r="F156" s="12">
        <v>8374.2362107903409</v>
      </c>
      <c r="G156" s="12">
        <v>10183.070747082576</v>
      </c>
      <c r="H156" s="35">
        <v>0.83742362107903412</v>
      </c>
      <c r="I156" s="35">
        <v>1.0183070747082577</v>
      </c>
      <c r="J156" s="12">
        <v>0.84130602552284461</v>
      </c>
      <c r="K156" s="12">
        <v>0.74519818613766953</v>
      </c>
      <c r="L156" s="25"/>
      <c r="T156" s="47"/>
      <c r="U156" s="36"/>
    </row>
    <row r="157" spans="1:21" x14ac:dyDescent="0.3">
      <c r="A157" s="10">
        <f t="shared" si="3"/>
        <v>145</v>
      </c>
      <c r="B157" s="13">
        <v>1.1840998393130915</v>
      </c>
      <c r="C157" s="13">
        <v>-0.76162896975513739</v>
      </c>
      <c r="D157" s="16">
        <v>2.6636813338645097E-2</v>
      </c>
      <c r="E157" s="16">
        <v>-1.5022794475503471E-2</v>
      </c>
      <c r="F157" s="12">
        <v>8600.2965754244287</v>
      </c>
      <c r="G157" s="12">
        <v>10031.235915406307</v>
      </c>
      <c r="H157" s="35">
        <v>0.86002965754244287</v>
      </c>
      <c r="I157" s="35">
        <v>1.0031235915406307</v>
      </c>
      <c r="J157" s="12">
        <v>0.97322203479676017</v>
      </c>
      <c r="K157" s="12">
        <v>0.66486013567302304</v>
      </c>
      <c r="L157" s="25"/>
      <c r="T157" s="47"/>
      <c r="U157" s="36"/>
    </row>
    <row r="158" spans="1:21" x14ac:dyDescent="0.3">
      <c r="A158" s="10">
        <f t="shared" si="3"/>
        <v>146</v>
      </c>
      <c r="B158" s="13">
        <v>-1.5192676847781506</v>
      </c>
      <c r="C158" s="13">
        <v>-0.18330887054704675</v>
      </c>
      <c r="D158" s="16">
        <v>-3.4669799556959244E-2</v>
      </c>
      <c r="E158" s="16">
        <v>-3.7292644798989217E-3</v>
      </c>
      <c r="F158" s="12">
        <v>8307.2355546830368</v>
      </c>
      <c r="G158" s="12">
        <v>9993.896451260769</v>
      </c>
      <c r="H158" s="35">
        <v>0.83072355546830368</v>
      </c>
      <c r="I158" s="35">
        <v>0.99938964512607686</v>
      </c>
      <c r="J158" s="12">
        <v>0.80220824212009756</v>
      </c>
      <c r="K158" s="12">
        <v>0.64510327407723989</v>
      </c>
      <c r="L158" s="25"/>
      <c r="T158" s="47"/>
      <c r="U158" s="36"/>
    </row>
    <row r="159" spans="1:21" x14ac:dyDescent="0.3">
      <c r="A159" s="10">
        <f t="shared" si="3"/>
        <v>147</v>
      </c>
      <c r="B159" s="13">
        <v>0.67873166851690725</v>
      </c>
      <c r="C159" s="13">
        <v>-0.46066521920263825</v>
      </c>
      <c r="D159" s="16">
        <v>1.5176140477608081E-2</v>
      </c>
      <c r="E159" s="16">
        <v>-9.1455248645932515E-3</v>
      </c>
      <c r="F159" s="12">
        <v>8434.2688277076613</v>
      </c>
      <c r="G159" s="12">
        <v>9902.9136994347664</v>
      </c>
      <c r="H159" s="35">
        <v>0.84342688277076616</v>
      </c>
      <c r="I159" s="35">
        <v>0.99029136994347666</v>
      </c>
      <c r="J159" s="12">
        <v>0.87633765640082339</v>
      </c>
      <c r="K159" s="12">
        <v>0.5969629572150702</v>
      </c>
      <c r="L159" s="25"/>
      <c r="T159" s="47"/>
      <c r="U159" s="36"/>
    </row>
    <row r="160" spans="1:21" x14ac:dyDescent="0.3">
      <c r="A160" s="10">
        <f t="shared" si="3"/>
        <v>148</v>
      </c>
      <c r="B160" s="13">
        <v>0.96224811916190744</v>
      </c>
      <c r="C160" s="13">
        <v>-0.95003380406384275</v>
      </c>
      <c r="D160" s="16">
        <v>2.1605689229057125E-2</v>
      </c>
      <c r="E160" s="16">
        <v>-1.8701995060950632E-2</v>
      </c>
      <c r="F160" s="12">
        <v>8618.4798561475563</v>
      </c>
      <c r="G160" s="12">
        <v>9719.4305547334152</v>
      </c>
      <c r="H160" s="35">
        <v>0.86184798561475562</v>
      </c>
      <c r="I160" s="35">
        <v>0.97194305547334148</v>
      </c>
      <c r="J160" s="12">
        <v>0.98383276628162231</v>
      </c>
      <c r="K160" s="12">
        <v>0.49987931721171364</v>
      </c>
      <c r="L160" s="25"/>
      <c r="T160" s="47"/>
      <c r="U160" s="36"/>
    </row>
    <row r="161" spans="1:21" x14ac:dyDescent="0.3">
      <c r="A161" s="10">
        <f t="shared" si="3"/>
        <v>149</v>
      </c>
      <c r="B161" s="13">
        <v>-1.0911369059653928</v>
      </c>
      <c r="C161" s="13">
        <v>-0.635806261318138</v>
      </c>
      <c r="D161" s="16">
        <v>-2.49607061053796E-2</v>
      </c>
      <c r="E161" s="16">
        <v>-1.2565707935009291E-2</v>
      </c>
      <c r="F161" s="12">
        <v>8406.0191290576604</v>
      </c>
      <c r="G161" s="12">
        <v>9598.0631596659114</v>
      </c>
      <c r="H161" s="35">
        <v>0.84060191290576602</v>
      </c>
      <c r="I161" s="35">
        <v>0.95980631596659116</v>
      </c>
      <c r="J161" s="12">
        <v>0.85985273426451314</v>
      </c>
      <c r="K161" s="12">
        <v>0.43566203714461482</v>
      </c>
      <c r="L161" s="25"/>
      <c r="T161" s="47"/>
      <c r="U161" s="36"/>
    </row>
    <row r="162" spans="1:21" x14ac:dyDescent="0.3">
      <c r="A162" s="10">
        <f t="shared" si="3"/>
        <v>150</v>
      </c>
      <c r="B162" s="13">
        <v>0.25810478182925661</v>
      </c>
      <c r="C162" s="13">
        <v>0.76727245577250602</v>
      </c>
      <c r="D162" s="16">
        <v>5.6372193039834944E-3</v>
      </c>
      <c r="E162" s="16">
        <v>1.4833843972931481E-2</v>
      </c>
      <c r="F162" s="12">
        <v>8453.5395179456264</v>
      </c>
      <c r="G162" s="12">
        <v>9741.500564873877</v>
      </c>
      <c r="H162" s="35">
        <v>0.84535395179456263</v>
      </c>
      <c r="I162" s="35">
        <v>0.97415005648738773</v>
      </c>
      <c r="J162" s="12">
        <v>0.88758293841326708</v>
      </c>
      <c r="K162" s="12">
        <v>0.51155688532204069</v>
      </c>
      <c r="L162" s="25"/>
      <c r="T162" s="47"/>
      <c r="U162" s="36"/>
    </row>
    <row r="163" spans="1:21" x14ac:dyDescent="0.3">
      <c r="A163" s="10">
        <f t="shared" si="3"/>
        <v>151</v>
      </c>
      <c r="B163" s="13">
        <v>0.54439408433891356</v>
      </c>
      <c r="C163" s="13">
        <v>6.3635806800639183E-2</v>
      </c>
      <c r="D163" s="16">
        <v>1.2129650425057996E-2</v>
      </c>
      <c r="E163" s="16">
        <v>1.093111786635586E-3</v>
      </c>
      <c r="F163" s="12">
        <v>8556.70239713726</v>
      </c>
      <c r="G163" s="12">
        <v>9752.1549361093421</v>
      </c>
      <c r="H163" s="35">
        <v>0.85567023971372602</v>
      </c>
      <c r="I163" s="35">
        <v>0.97521549361093418</v>
      </c>
      <c r="J163" s="12">
        <v>0.94778294450542433</v>
      </c>
      <c r="K163" s="12">
        <v>0.5171942703972181</v>
      </c>
      <c r="L163" s="25"/>
      <c r="T163" s="47"/>
      <c r="U163" s="36"/>
    </row>
    <row r="164" spans="1:21" x14ac:dyDescent="0.3">
      <c r="A164" s="10">
        <f t="shared" si="3"/>
        <v>152</v>
      </c>
      <c r="B164" s="13">
        <v>-1.0946200765573063E-2</v>
      </c>
      <c r="C164" s="13">
        <v>0.87425749610850578</v>
      </c>
      <c r="D164" s="16">
        <v>-4.6428346696067945E-4</v>
      </c>
      <c r="E164" s="16">
        <v>1.6923065433105615E-2</v>
      </c>
      <c r="F164" s="12">
        <v>8552.7305837775511</v>
      </c>
      <c r="G164" s="12">
        <v>9918.5956636385636</v>
      </c>
      <c r="H164" s="35">
        <v>0.85527305837775514</v>
      </c>
      <c r="I164" s="35">
        <v>0.9918595663638563</v>
      </c>
      <c r="J164" s="12">
        <v>0.945465219463966</v>
      </c>
      <c r="K164" s="12">
        <v>0.60526051593516428</v>
      </c>
      <c r="L164" s="25"/>
      <c r="T164" s="47"/>
      <c r="U164" s="36"/>
    </row>
    <row r="165" spans="1:21" x14ac:dyDescent="0.3">
      <c r="A165" s="10">
        <f t="shared" si="3"/>
        <v>153</v>
      </c>
      <c r="B165" s="13">
        <v>0.47121521591454268</v>
      </c>
      <c r="C165" s="13">
        <v>0.198339845739232</v>
      </c>
      <c r="D165" s="16">
        <v>1.047010967869226E-2</v>
      </c>
      <c r="E165" s="16">
        <v>3.7236344096003016E-3</v>
      </c>
      <c r="F165" s="12">
        <v>8642.749040257153</v>
      </c>
      <c r="G165" s="12">
        <v>9955.5977360875004</v>
      </c>
      <c r="H165" s="35">
        <v>0.86427490402571527</v>
      </c>
      <c r="I165" s="35">
        <v>0.99555977360875003</v>
      </c>
      <c r="J165" s="12">
        <v>0.99799488586085061</v>
      </c>
      <c r="K165" s="12">
        <v>0.62483885860450183</v>
      </c>
      <c r="L165" s="25"/>
      <c r="T165" s="47"/>
      <c r="U165" s="36"/>
    </row>
    <row r="166" spans="1:21" x14ac:dyDescent="0.3">
      <c r="A166" s="10">
        <f t="shared" si="3"/>
        <v>154</v>
      </c>
      <c r="B166" s="13">
        <v>0.34855926885827088</v>
      </c>
      <c r="C166" s="13">
        <v>0.57434695203429442</v>
      </c>
      <c r="D166" s="16">
        <v>7.6885342552579757E-3</v>
      </c>
      <c r="E166" s="16">
        <v>1.1066363011491418E-2</v>
      </c>
      <c r="F166" s="12">
        <v>8709.4552200841026</v>
      </c>
      <c r="G166" s="12">
        <v>10066.381852666278</v>
      </c>
      <c r="H166" s="35">
        <v>0.87094552200841024</v>
      </c>
      <c r="I166" s="35">
        <v>1.0066381852666277</v>
      </c>
      <c r="J166" s="12">
        <v>1.0369208296056678</v>
      </c>
      <c r="K166" s="12">
        <v>0.68345636981802493</v>
      </c>
      <c r="L166" s="25"/>
      <c r="T166" s="47"/>
      <c r="U166" s="36"/>
    </row>
    <row r="167" spans="1:21" x14ac:dyDescent="0.3">
      <c r="A167" s="10">
        <f t="shared" si="3"/>
        <v>155</v>
      </c>
      <c r="B167" s="13">
        <v>-0.54928441264179872</v>
      </c>
      <c r="C167" s="13">
        <v>-1.3976202137601299</v>
      </c>
      <c r="D167" s="16">
        <v>-1.2672646580112319E-2</v>
      </c>
      <c r="E167" s="16">
        <v>-2.7442536070076344E-2</v>
      </c>
      <c r="F167" s="12">
        <v>8599.7797790085351</v>
      </c>
      <c r="G167" s="12">
        <v>9793.8908286609039</v>
      </c>
      <c r="H167" s="35">
        <v>0.85997797790085351</v>
      </c>
      <c r="I167" s="35">
        <v>0.97938908286609039</v>
      </c>
      <c r="J167" s="12">
        <v>0.97292046171515389</v>
      </c>
      <c r="K167" s="12">
        <v>0.53927734715225017</v>
      </c>
      <c r="L167" s="25"/>
      <c r="T167" s="47"/>
      <c r="U167" s="36"/>
    </row>
    <row r="168" spans="1:21" x14ac:dyDescent="0.3">
      <c r="A168" s="10">
        <f t="shared" si="3"/>
        <v>156</v>
      </c>
      <c r="B168" s="13">
        <v>-0.75284197326843882</v>
      </c>
      <c r="C168" s="13">
        <v>0.35008891635049633</v>
      </c>
      <c r="D168" s="16">
        <v>-1.7288898147869828E-2</v>
      </c>
      <c r="E168" s="16">
        <v>6.6870152139336721E-3</v>
      </c>
      <c r="F168" s="12">
        <v>8452.3769501765328</v>
      </c>
      <c r="G168" s="12">
        <v>9859.6021871997164</v>
      </c>
      <c r="H168" s="35">
        <v>0.84523769501765322</v>
      </c>
      <c r="I168" s="35">
        <v>0.98596021871997164</v>
      </c>
      <c r="J168" s="12">
        <v>0.88690452979060752</v>
      </c>
      <c r="K168" s="12">
        <v>0.5740461968299535</v>
      </c>
      <c r="L168" s="25"/>
      <c r="T168" s="47"/>
      <c r="U168" s="36"/>
    </row>
    <row r="169" spans="1:21" x14ac:dyDescent="0.3">
      <c r="A169" s="10">
        <f t="shared" si="3"/>
        <v>157</v>
      </c>
      <c r="B169" s="13">
        <v>-5.0031017900433732E-2</v>
      </c>
      <c r="C169" s="13">
        <v>0.17736372636180742</v>
      </c>
      <c r="D169" s="16">
        <v>-1.3506438056230571E-3</v>
      </c>
      <c r="E169" s="16">
        <v>3.3140093011098438E-3</v>
      </c>
      <c r="F169" s="12">
        <v>8440.968505712719</v>
      </c>
      <c r="G169" s="12">
        <v>9892.3312027299889</v>
      </c>
      <c r="H169" s="35">
        <v>0.84409685057127193</v>
      </c>
      <c r="I169" s="35">
        <v>0.98923312027299892</v>
      </c>
      <c r="J169" s="12">
        <v>0.88024720855640803</v>
      </c>
      <c r="K169" s="12">
        <v>0.59136360201492055</v>
      </c>
      <c r="L169" s="25"/>
      <c r="T169" s="47"/>
      <c r="U169" s="36"/>
    </row>
    <row r="170" spans="1:21" x14ac:dyDescent="0.3">
      <c r="A170" s="10">
        <f t="shared" si="3"/>
        <v>158</v>
      </c>
      <c r="B170" s="13">
        <v>1.1419986856765225</v>
      </c>
      <c r="C170" s="13">
        <v>0.56137052539221477</v>
      </c>
      <c r="D170" s="16">
        <v>2.5682048917805518E-2</v>
      </c>
      <c r="E170" s="16">
        <v>1.0812957218196731E-2</v>
      </c>
      <c r="F170" s="12">
        <v>8660.5575507351841</v>
      </c>
      <c r="G170" s="12">
        <v>9999.8769527579243</v>
      </c>
      <c r="H170" s="35">
        <v>0.8660557550735184</v>
      </c>
      <c r="I170" s="35">
        <v>0.99998769527579245</v>
      </c>
      <c r="J170" s="12">
        <v>1.0083869226833035</v>
      </c>
      <c r="K170" s="12">
        <v>0.6482676456893266</v>
      </c>
      <c r="L170" s="25"/>
      <c r="T170" s="47"/>
      <c r="U170" s="36"/>
    </row>
    <row r="171" spans="1:21" x14ac:dyDescent="0.3">
      <c r="A171" s="10">
        <f t="shared" si="3"/>
        <v>159</v>
      </c>
      <c r="B171" s="13">
        <v>1.0577470279569656</v>
      </c>
      <c r="C171" s="13">
        <v>0.11093939449304675</v>
      </c>
      <c r="D171" s="16">
        <v>2.3771400913197949E-2</v>
      </c>
      <c r="E171" s="16">
        <v>2.0168640256385934E-3</v>
      </c>
      <c r="F171" s="12">
        <v>8868.8975931107834</v>
      </c>
      <c r="G171" s="12">
        <v>10020.065696977177</v>
      </c>
      <c r="H171" s="35">
        <v>0.88688975931107839</v>
      </c>
      <c r="I171" s="35">
        <v>1.0020065696977176</v>
      </c>
      <c r="J171" s="12">
        <v>1.1299623567786765</v>
      </c>
      <c r="K171" s="12">
        <v>0.65894980823396798</v>
      </c>
      <c r="L171" s="25"/>
      <c r="T171" s="47"/>
      <c r="U171" s="36"/>
    </row>
    <row r="172" spans="1:21" x14ac:dyDescent="0.3">
      <c r="A172" s="10">
        <f t="shared" si="3"/>
        <v>160</v>
      </c>
      <c r="B172" s="13">
        <v>-0.94107122069791227</v>
      </c>
      <c r="C172" s="13">
        <v>0.60497335467486157</v>
      </c>
      <c r="D172" s="16">
        <v>-2.1557536246446088E-2</v>
      </c>
      <c r="E172" s="16">
        <v>1.166444043842562E-2</v>
      </c>
      <c r="F172" s="12">
        <v>8679.7520923101365</v>
      </c>
      <c r="G172" s="12">
        <v>10137.628475548061</v>
      </c>
      <c r="H172" s="35">
        <v>0.86797520923101368</v>
      </c>
      <c r="I172" s="35">
        <v>1.0137628475548062</v>
      </c>
      <c r="J172" s="12">
        <v>1.0195877686542836</v>
      </c>
      <c r="K172" s="12">
        <v>0.72115400955800368</v>
      </c>
      <c r="L172" s="25"/>
      <c r="T172" s="47"/>
      <c r="U172" s="36"/>
    </row>
    <row r="173" spans="1:21" x14ac:dyDescent="0.3">
      <c r="A173" s="10">
        <f t="shared" si="3"/>
        <v>161</v>
      </c>
      <c r="B173" s="13">
        <v>1.2366612545632856</v>
      </c>
      <c r="C173" s="13">
        <v>0.83122214175312326</v>
      </c>
      <c r="D173" s="16">
        <v>2.7828794195584622E-2</v>
      </c>
      <c r="E173" s="16">
        <v>1.6082663956571243E-2</v>
      </c>
      <c r="F173" s="12">
        <v>8924.6915037863255</v>
      </c>
      <c r="G173" s="12">
        <v>10301.986663774749</v>
      </c>
      <c r="H173" s="35">
        <v>0.8924691503786325</v>
      </c>
      <c r="I173" s="35">
        <v>1.0301986663774749</v>
      </c>
      <c r="J173" s="12">
        <v>1.1625205190642955</v>
      </c>
      <c r="K173" s="12">
        <v>0.80811835281348632</v>
      </c>
      <c r="L173" s="25"/>
      <c r="T173" s="47"/>
      <c r="U173" s="36"/>
    </row>
    <row r="174" spans="1:21" x14ac:dyDescent="0.3">
      <c r="A174" s="10">
        <f t="shared" si="3"/>
        <v>162</v>
      </c>
      <c r="B174" s="13">
        <v>8.5270562228279209E-2</v>
      </c>
      <c r="C174" s="13">
        <v>3.3899742132833713E-2</v>
      </c>
      <c r="D174" s="16">
        <v>1.7177076202168256E-3</v>
      </c>
      <c r="E174" s="16">
        <v>5.1242102603959061E-4</v>
      </c>
      <c r="F174" s="12">
        <v>8940.0346881703008</v>
      </c>
      <c r="G174" s="12">
        <v>10307.266971105957</v>
      </c>
      <c r="H174" s="35">
        <v>0.89400346881703008</v>
      </c>
      <c r="I174" s="35">
        <v>1.0307266971105957</v>
      </c>
      <c r="J174" s="12">
        <v>1.1714739313830098</v>
      </c>
      <c r="K174" s="12">
        <v>0.81091224135776907</v>
      </c>
      <c r="L174" s="25"/>
      <c r="T174" s="47"/>
      <c r="U174" s="36"/>
    </row>
    <row r="175" spans="1:21" x14ac:dyDescent="0.3">
      <c r="A175" s="10">
        <f t="shared" si="3"/>
        <v>163</v>
      </c>
      <c r="B175" s="13">
        <v>-0.28410256369397419</v>
      </c>
      <c r="C175" s="13">
        <v>-0.63230652655974195</v>
      </c>
      <c r="D175" s="16">
        <v>-6.658887512761699E-3</v>
      </c>
      <c r="E175" s="16">
        <v>-1.2497364539155113E-2</v>
      </c>
      <c r="F175" s="12">
        <v>8880.7017676821051</v>
      </c>
      <c r="G175" s="12">
        <v>10179.254871420346</v>
      </c>
      <c r="H175" s="35">
        <v>0.88807017676821054</v>
      </c>
      <c r="I175" s="35">
        <v>1.0179254871420347</v>
      </c>
      <c r="J175" s="12">
        <v>1.1368506036623878</v>
      </c>
      <c r="K175" s="12">
        <v>0.74317915000390067</v>
      </c>
      <c r="L175" s="25"/>
      <c r="T175" s="47"/>
      <c r="U175" s="36"/>
    </row>
    <row r="176" spans="1:21" x14ac:dyDescent="0.3">
      <c r="A176" s="10">
        <f t="shared" si="3"/>
        <v>164</v>
      </c>
      <c r="B176" s="13">
        <v>-0.65939114394785725</v>
      </c>
      <c r="C176" s="13">
        <v>0.92781220878042248</v>
      </c>
      <c r="D176" s="16">
        <v>-1.5169632540484097E-2</v>
      </c>
      <c r="E176" s="16">
        <v>1.796889066863603E-2</v>
      </c>
      <c r="F176" s="12">
        <v>8747.0014414660636</v>
      </c>
      <c r="G176" s="12">
        <v>10363.818020851586</v>
      </c>
      <c r="H176" s="35">
        <v>0.87470014414660635</v>
      </c>
      <c r="I176" s="35">
        <v>1.0363818020851585</v>
      </c>
      <c r="J176" s="12">
        <v>1.0588306752172165</v>
      </c>
      <c r="K176" s="12">
        <v>0.84083423645030309</v>
      </c>
      <c r="L176" s="25"/>
      <c r="T176" s="47"/>
      <c r="U176" s="36"/>
    </row>
    <row r="177" spans="1:21" x14ac:dyDescent="0.3">
      <c r="A177" s="10">
        <f t="shared" si="3"/>
        <v>165</v>
      </c>
      <c r="B177" s="13">
        <v>-0.97280215612741427</v>
      </c>
      <c r="C177" s="13">
        <v>1.0775056337493796</v>
      </c>
      <c r="D177" s="16">
        <v>-2.2277126223708182E-2</v>
      </c>
      <c r="E177" s="16">
        <v>2.0892128486838499E-2</v>
      </c>
      <c r="F177" s="12">
        <v>8554.2977973371198</v>
      </c>
      <c r="G177" s="12">
        <v>10582.617877475117</v>
      </c>
      <c r="H177" s="35">
        <v>0.85542977973371204</v>
      </c>
      <c r="I177" s="35">
        <v>1.0582617877475118</v>
      </c>
      <c r="J177" s="12">
        <v>0.94637975642312255</v>
      </c>
      <c r="K177" s="12">
        <v>0.95660446999300575</v>
      </c>
      <c r="L177" s="25"/>
      <c r="T177" s="47"/>
      <c r="U177" s="36"/>
    </row>
    <row r="178" spans="1:21" x14ac:dyDescent="0.3">
      <c r="A178" s="10">
        <f t="shared" ref="A178:A241" si="4">A177+1</f>
        <v>166</v>
      </c>
      <c r="B178" s="13">
        <v>1.0590816789648101</v>
      </c>
      <c r="C178" s="13">
        <v>-2.3983995954279562</v>
      </c>
      <c r="D178" s="16">
        <v>2.3801667953087823E-2</v>
      </c>
      <c r="E178" s="16">
        <v>-4.6985920402256326E-2</v>
      </c>
      <c r="F178" s="12">
        <v>8760.3467803487329</v>
      </c>
      <c r="G178" s="12">
        <v>10096.884509485155</v>
      </c>
      <c r="H178" s="35">
        <v>0.87603467803487334</v>
      </c>
      <c r="I178" s="35">
        <v>1.0096884509485156</v>
      </c>
      <c r="J178" s="12">
        <v>1.0666182581960342</v>
      </c>
      <c r="K178" s="12">
        <v>0.69959577574857934</v>
      </c>
      <c r="L178" s="25"/>
      <c r="T178" s="47"/>
      <c r="U178" s="36"/>
    </row>
    <row r="179" spans="1:21" x14ac:dyDescent="0.3">
      <c r="A179" s="10">
        <f t="shared" si="4"/>
        <v>167</v>
      </c>
      <c r="B179" s="13">
        <v>-2.0045300755645274</v>
      </c>
      <c r="C179" s="13">
        <v>-0.19003398815566791</v>
      </c>
      <c r="D179" s="16">
        <v>-4.5674516185245477E-2</v>
      </c>
      <c r="E179" s="16">
        <v>-3.8605936824304128E-3</v>
      </c>
      <c r="F179" s="12">
        <v>8369.2223817342801</v>
      </c>
      <c r="G179" s="12">
        <v>10057.979687111716</v>
      </c>
      <c r="H179" s="35">
        <v>0.83692223817342803</v>
      </c>
      <c r="I179" s="35">
        <v>1.0057979687111716</v>
      </c>
      <c r="J179" s="12">
        <v>0.83838023921206106</v>
      </c>
      <c r="K179" s="12">
        <v>0.67901066001031796</v>
      </c>
      <c r="L179" s="25"/>
      <c r="T179" s="47"/>
      <c r="U179" s="36"/>
    </row>
    <row r="180" spans="1:21" x14ac:dyDescent="0.3">
      <c r="A180" s="10">
        <f t="shared" si="4"/>
        <v>168</v>
      </c>
      <c r="B180" s="13">
        <v>0.39171539762999957</v>
      </c>
      <c r="C180" s="13">
        <v>1.1399130813968863</v>
      </c>
      <c r="D180" s="16">
        <v>8.6672232633574608E-3</v>
      </c>
      <c r="E180" s="16">
        <v>2.2110831386705443E-2</v>
      </c>
      <c r="F180" s="12">
        <v>8442.0755619818392</v>
      </c>
      <c r="G180" s="12">
        <v>10282.846818499213</v>
      </c>
      <c r="H180" s="35">
        <v>0.84420755619818388</v>
      </c>
      <c r="I180" s="35">
        <v>1.0282846818499212</v>
      </c>
      <c r="J180" s="12">
        <v>0.8808932238156526</v>
      </c>
      <c r="K180" s="12">
        <v>0.79799117818131726</v>
      </c>
      <c r="L180" s="25"/>
      <c r="T180" s="47"/>
      <c r="U180" s="36"/>
    </row>
    <row r="181" spans="1:21" x14ac:dyDescent="0.3">
      <c r="A181" s="10">
        <f t="shared" si="4"/>
        <v>169</v>
      </c>
      <c r="B181" s="13">
        <v>1.5506378833233767</v>
      </c>
      <c r="C181" s="13">
        <v>0.19040330564243857</v>
      </c>
      <c r="D181" s="16">
        <v>3.4949114857175917E-2</v>
      </c>
      <c r="E181" s="16">
        <v>3.5686483495149099E-3</v>
      </c>
      <c r="F181" s="12">
        <v>8742.3349688820945</v>
      </c>
      <c r="G181" s="12">
        <v>10319.608238102244</v>
      </c>
      <c r="H181" s="35">
        <v>0.87423349688820939</v>
      </c>
      <c r="I181" s="35">
        <v>1.0319608238102245</v>
      </c>
      <c r="J181" s="12">
        <v>1.0561075864455083</v>
      </c>
      <c r="K181" s="12">
        <v>0.81744218787794132</v>
      </c>
      <c r="L181" s="25"/>
      <c r="T181" s="47"/>
      <c r="U181" s="36"/>
    </row>
    <row r="182" spans="1:21" x14ac:dyDescent="0.3">
      <c r="A182" s="10">
        <f t="shared" si="4"/>
        <v>170</v>
      </c>
      <c r="B182" s="13">
        <v>0.22610388919693458</v>
      </c>
      <c r="C182" s="13">
        <v>-0.22083845499684979</v>
      </c>
      <c r="D182" s="16">
        <v>4.9115072728074666E-3</v>
      </c>
      <c r="E182" s="16">
        <v>-4.4621483763548847E-3</v>
      </c>
      <c r="F182" s="12">
        <v>8785.3786287592084</v>
      </c>
      <c r="G182" s="12">
        <v>10273.663197984455</v>
      </c>
      <c r="H182" s="35">
        <v>0.87853786287592084</v>
      </c>
      <c r="I182" s="35">
        <v>1.0273663197984455</v>
      </c>
      <c r="J182" s="12">
        <v>1.0812254254117666</v>
      </c>
      <c r="K182" s="12">
        <v>0.79313198902019111</v>
      </c>
      <c r="L182" s="25"/>
      <c r="T182" s="47"/>
      <c r="U182" s="36"/>
    </row>
    <row r="183" spans="1:21" x14ac:dyDescent="0.3">
      <c r="A183" s="10">
        <f t="shared" si="4"/>
        <v>171</v>
      </c>
      <c r="B183" s="13">
        <v>7.5042499220400877E-2</v>
      </c>
      <c r="C183" s="13">
        <v>-0.2890122141183088</v>
      </c>
      <c r="D183" s="16">
        <v>1.4857569535361513E-3</v>
      </c>
      <c r="E183" s="16">
        <v>-5.7934567548905639E-3</v>
      </c>
      <c r="F183" s="12">
        <v>8798.4412676967004</v>
      </c>
      <c r="G183" s="12">
        <v>10214.315255398853</v>
      </c>
      <c r="H183" s="35">
        <v>0.87984412676967005</v>
      </c>
      <c r="I183" s="35">
        <v>1.0214315255398854</v>
      </c>
      <c r="J183" s="12">
        <v>1.0888480407340466</v>
      </c>
      <c r="K183" s="12">
        <v>0.76173011664494583</v>
      </c>
      <c r="L183" s="25"/>
      <c r="T183" s="47"/>
      <c r="U183" s="36"/>
    </row>
    <row r="184" spans="1:21" x14ac:dyDescent="0.3">
      <c r="A184" s="10">
        <f t="shared" si="4"/>
        <v>172</v>
      </c>
      <c r="B184" s="13">
        <v>-0.48533778457605725</v>
      </c>
      <c r="C184" s="13">
        <v>-7.4597061754088451E-2</v>
      </c>
      <c r="D184" s="16">
        <v>-1.1222473365457217E-2</v>
      </c>
      <c r="E184" s="16">
        <v>-1.6063224013495531E-3</v>
      </c>
      <c r="F184" s="12">
        <v>8700.2529831324591</v>
      </c>
      <c r="G184" s="12">
        <v>10197.920942790606</v>
      </c>
      <c r="H184" s="35">
        <v>0.87002529831324593</v>
      </c>
      <c r="I184" s="35">
        <v>1.0197920942790606</v>
      </c>
      <c r="J184" s="12">
        <v>1.0315509259650244</v>
      </c>
      <c r="K184" s="12">
        <v>0.75305564387006441</v>
      </c>
      <c r="L184" s="25"/>
      <c r="T184" s="47"/>
      <c r="U184" s="36"/>
    </row>
    <row r="185" spans="1:21" x14ac:dyDescent="0.3">
      <c r="A185" s="10">
        <f t="shared" si="4"/>
        <v>173</v>
      </c>
      <c r="B185" s="13">
        <v>0.65640598056039223</v>
      </c>
      <c r="C185" s="13">
        <v>0.24422087609769211</v>
      </c>
      <c r="D185" s="16">
        <v>1.4669841464624921E-2</v>
      </c>
      <c r="E185" s="16">
        <v>4.6196067150623479E-3</v>
      </c>
      <c r="F185" s="12">
        <v>8828.8250754391593</v>
      </c>
      <c r="G185" s="12">
        <v>10245.140310336534</v>
      </c>
      <c r="H185" s="35">
        <v>0.88288250754391595</v>
      </c>
      <c r="I185" s="35">
        <v>1.0245140310336533</v>
      </c>
      <c r="J185" s="12">
        <v>1.1065783079147564</v>
      </c>
      <c r="K185" s="12">
        <v>0.77804010817863389</v>
      </c>
      <c r="L185" s="25"/>
      <c r="T185" s="47"/>
      <c r="U185" s="36"/>
    </row>
    <row r="186" spans="1:21" x14ac:dyDescent="0.3">
      <c r="A186" s="10">
        <f t="shared" si="4"/>
        <v>174</v>
      </c>
      <c r="B186" s="13">
        <v>1.1796977478574387E-2</v>
      </c>
      <c r="C186" s="13">
        <v>1.2665998980304272</v>
      </c>
      <c r="D186" s="16">
        <v>5.1483335815567176E-5</v>
      </c>
      <c r="E186" s="16">
        <v>2.4584792374154608E-2</v>
      </c>
      <c r="F186" s="12">
        <v>8829.2796245061254</v>
      </c>
      <c r="G186" s="12">
        <v>10500.136630057905</v>
      </c>
      <c r="H186" s="35">
        <v>0.88292796245061256</v>
      </c>
      <c r="I186" s="35">
        <v>1.0500136630057906</v>
      </c>
      <c r="J186" s="12">
        <v>1.1068435569734776</v>
      </c>
      <c r="K186" s="12">
        <v>0.91296242459251908</v>
      </c>
      <c r="L186" s="25"/>
      <c r="T186" s="47"/>
      <c r="U186" s="36"/>
    </row>
    <row r="187" spans="1:21" x14ac:dyDescent="0.3">
      <c r="A187" s="10">
        <f t="shared" si="4"/>
        <v>175</v>
      </c>
      <c r="B187" s="13">
        <v>0.92675159203282831</v>
      </c>
      <c r="C187" s="13">
        <v>0.53083251965569733</v>
      </c>
      <c r="D187" s="16">
        <v>2.0800703658857118E-2</v>
      </c>
      <c r="E187" s="16">
        <v>1.0216606020540694E-2</v>
      </c>
      <c r="F187" s="12">
        <v>9014.8582453127474</v>
      </c>
      <c r="G187" s="12">
        <v>10607.962257252058</v>
      </c>
      <c r="H187" s="35">
        <v>0.90148582453127479</v>
      </c>
      <c r="I187" s="35">
        <v>1.0607962257252059</v>
      </c>
      <c r="J187" s="12">
        <v>1.2151367162054934</v>
      </c>
      <c r="K187" s="12">
        <v>0.97001455540645243</v>
      </c>
      <c r="L187" s="25"/>
      <c r="T187" s="47"/>
      <c r="U187" s="36"/>
    </row>
    <row r="188" spans="1:21" x14ac:dyDescent="0.3">
      <c r="A188" s="10">
        <f t="shared" si="4"/>
        <v>176</v>
      </c>
      <c r="B188" s="13">
        <v>-0.1199556925623624</v>
      </c>
      <c r="C188" s="13">
        <v>0.16973968293186231</v>
      </c>
      <c r="D188" s="16">
        <v>-2.9363863741593086E-3</v>
      </c>
      <c r="E188" s="16">
        <v>3.1651257273212466E-3</v>
      </c>
      <c r="F188" s="12">
        <v>8988.4259650823806</v>
      </c>
      <c r="G188" s="12">
        <v>10641.590983005033</v>
      </c>
      <c r="H188" s="35">
        <v>0.89884259650823806</v>
      </c>
      <c r="I188" s="35">
        <v>1.0641590983005034</v>
      </c>
      <c r="J188" s="12">
        <v>1.199712336395951</v>
      </c>
      <c r="K188" s="12">
        <v>0.98780801054963419</v>
      </c>
      <c r="L188" s="25"/>
      <c r="T188" s="47"/>
      <c r="U188" s="36"/>
    </row>
    <row r="189" spans="1:21" x14ac:dyDescent="0.3">
      <c r="A189" s="10">
        <f t="shared" si="4"/>
        <v>177</v>
      </c>
      <c r="B189" s="13">
        <v>-3.1509870998124652E-4</v>
      </c>
      <c r="C189" s="13">
        <v>0.80604252780745811</v>
      </c>
      <c r="D189" s="16">
        <v>-2.2319273380373513E-4</v>
      </c>
      <c r="E189" s="16">
        <v>1.5590952314934538E-2</v>
      </c>
      <c r="F189" s="12">
        <v>8986.4200375811906</v>
      </c>
      <c r="G189" s="12">
        <v>10808.803635696881</v>
      </c>
      <c r="H189" s="35">
        <v>0.89864200375811909</v>
      </c>
      <c r="I189" s="35">
        <v>1.080880363569688</v>
      </c>
      <c r="J189" s="12">
        <v>1.1985417908592397</v>
      </c>
      <c r="K189" s="12">
        <v>1.0762826930844493</v>
      </c>
      <c r="L189" s="25"/>
      <c r="T189" s="47"/>
      <c r="U189" s="36"/>
    </row>
    <row r="190" spans="1:21" x14ac:dyDescent="0.3">
      <c r="A190" s="10">
        <f t="shared" si="4"/>
        <v>178</v>
      </c>
      <c r="B190" s="13">
        <v>1.1988643712886735</v>
      </c>
      <c r="C190" s="13">
        <v>-0.95674335588426807</v>
      </c>
      <c r="D190" s="16">
        <v>2.697164145148782E-2</v>
      </c>
      <c r="E190" s="16">
        <v>-1.8833020292210616E-2</v>
      </c>
      <c r="F190" s="12">
        <v>9232.096796142423</v>
      </c>
      <c r="G190" s="12">
        <v>10607.146088167894</v>
      </c>
      <c r="H190" s="35">
        <v>0.92320967961424227</v>
      </c>
      <c r="I190" s="35">
        <v>1.0607146088167894</v>
      </c>
      <c r="J190" s="12">
        <v>1.3419048152142934</v>
      </c>
      <c r="K190" s="12">
        <v>0.9695827082976739</v>
      </c>
      <c r="L190" s="25"/>
      <c r="T190" s="47"/>
      <c r="U190" s="36"/>
    </row>
    <row r="191" spans="1:21" x14ac:dyDescent="0.3">
      <c r="A191" s="10">
        <f t="shared" si="4"/>
        <v>179</v>
      </c>
      <c r="B191" s="13">
        <v>-0.11324699009788847</v>
      </c>
      <c r="C191" s="13">
        <v>-0.82599686163295105</v>
      </c>
      <c r="D191" s="16">
        <v>-2.784247302665673E-3</v>
      </c>
      <c r="E191" s="16">
        <v>-1.6279781252672963E-2</v>
      </c>
      <c r="F191" s="12">
        <v>9206.4281061123475</v>
      </c>
      <c r="G191" s="12">
        <v>10435.862086131441</v>
      </c>
      <c r="H191" s="35">
        <v>0.92064281061123476</v>
      </c>
      <c r="I191" s="35">
        <v>1.0435862086131442</v>
      </c>
      <c r="J191" s="12">
        <v>1.3269260233436457</v>
      </c>
      <c r="K191" s="12">
        <v>0.87895381473305034</v>
      </c>
      <c r="L191" s="25"/>
      <c r="T191" s="47"/>
      <c r="U191" s="36"/>
    </row>
    <row r="192" spans="1:21" x14ac:dyDescent="0.3">
      <c r="A192" s="10">
        <f t="shared" si="4"/>
        <v>180</v>
      </c>
      <c r="B192" s="13">
        <v>-1.6747475716213476</v>
      </c>
      <c r="C192" s="13">
        <v>0.29072956695901608</v>
      </c>
      <c r="D192" s="16">
        <v>-3.8195751966612637E-2</v>
      </c>
      <c r="E192" s="16">
        <v>5.5278360780360658E-3</v>
      </c>
      <c r="F192" s="12">
        <v>8861.4126683914383</v>
      </c>
      <c r="G192" s="12">
        <v>10493.70955944802</v>
      </c>
      <c r="H192" s="35">
        <v>0.88614126683914385</v>
      </c>
      <c r="I192" s="35">
        <v>1.0493709559448019</v>
      </c>
      <c r="J192" s="12">
        <v>1.1255945791707358</v>
      </c>
      <c r="K192" s="12">
        <v>0.90956176667169575</v>
      </c>
      <c r="L192" s="25"/>
      <c r="T192" s="47"/>
      <c r="U192" s="36"/>
    </row>
    <row r="193" spans="1:21" x14ac:dyDescent="0.3">
      <c r="A193" s="10">
        <f t="shared" si="4"/>
        <v>181</v>
      </c>
      <c r="B193" s="13">
        <v>-2.1081684936328875</v>
      </c>
      <c r="C193" s="13">
        <v>-0.91163332061475066</v>
      </c>
      <c r="D193" s="16">
        <v>-4.8024814589368539E-2</v>
      </c>
      <c r="E193" s="16">
        <v>-1.7952104105626959E-2</v>
      </c>
      <c r="F193" s="12">
        <v>8445.9022312844299</v>
      </c>
      <c r="G193" s="12">
        <v>10307.006265637005</v>
      </c>
      <c r="H193" s="35">
        <v>0.84459022312844301</v>
      </c>
      <c r="I193" s="35">
        <v>1.0307006265637004</v>
      </c>
      <c r="J193" s="12">
        <v>0.88312625101626718</v>
      </c>
      <c r="K193" s="12">
        <v>0.81077429824623215</v>
      </c>
      <c r="L193" s="25"/>
      <c r="T193" s="47"/>
      <c r="U193" s="36"/>
    </row>
    <row r="194" spans="1:21" x14ac:dyDescent="0.3">
      <c r="A194" s="10">
        <f t="shared" si="4"/>
        <v>182</v>
      </c>
      <c r="B194" s="13">
        <v>-1.8992401611053131</v>
      </c>
      <c r="C194" s="13">
        <v>0.41806260221098612</v>
      </c>
      <c r="D194" s="16">
        <v>-4.3286765363339662E-2</v>
      </c>
      <c r="E194" s="16">
        <v>8.014416528929336E-3</v>
      </c>
      <c r="F194" s="12">
        <v>8088.1062254274739</v>
      </c>
      <c r="G194" s="12">
        <v>10389.942807087038</v>
      </c>
      <c r="H194" s="35">
        <v>0.80881062254274738</v>
      </c>
      <c r="I194" s="35">
        <v>1.0389942807087038</v>
      </c>
      <c r="J194" s="12">
        <v>0.67433679204501051</v>
      </c>
      <c r="K194" s="12">
        <v>0.85465724643945229</v>
      </c>
      <c r="L194" s="25"/>
      <c r="T194" s="47"/>
      <c r="U194" s="36"/>
    </row>
    <row r="195" spans="1:21" x14ac:dyDescent="0.3">
      <c r="A195" s="10">
        <f t="shared" si="4"/>
        <v>183</v>
      </c>
      <c r="B195" s="13">
        <v>-1.1770257866867346</v>
      </c>
      <c r="C195" s="13">
        <v>-0.34363293721195992</v>
      </c>
      <c r="D195" s="16">
        <v>-2.690848283773126E-2</v>
      </c>
      <c r="E195" s="16">
        <v>-6.8600992172300939E-3</v>
      </c>
      <c r="F195" s="12">
        <v>7873.3696326388063</v>
      </c>
      <c r="G195" s="12">
        <v>10318.910690821425</v>
      </c>
      <c r="H195" s="35">
        <v>0.78733696326388058</v>
      </c>
      <c r="I195" s="35">
        <v>1.0318910690821426</v>
      </c>
      <c r="J195" s="12">
        <v>0.54902869386685049</v>
      </c>
      <c r="K195" s="12">
        <v>0.81707310531612576</v>
      </c>
      <c r="L195" s="25"/>
      <c r="T195" s="47"/>
      <c r="U195" s="36"/>
    </row>
    <row r="196" spans="1:21" x14ac:dyDescent="0.3">
      <c r="A196" s="10">
        <f t="shared" si="4"/>
        <v>184</v>
      </c>
      <c r="B196" s="13">
        <v>-0.4055256910731791</v>
      </c>
      <c r="C196" s="13">
        <v>0.1363308303390571</v>
      </c>
      <c r="D196" s="16">
        <v>-9.4125052138225064E-3</v>
      </c>
      <c r="E196" s="16">
        <v>2.51271216017698E-3</v>
      </c>
      <c r="F196" s="12">
        <v>7799.6091798126781</v>
      </c>
      <c r="G196" s="12">
        <v>10344.87174586414</v>
      </c>
      <c r="H196" s="35">
        <v>0.77996091798126777</v>
      </c>
      <c r="I196" s="35">
        <v>1.0344871745864141</v>
      </c>
      <c r="J196" s="12">
        <v>0.50598627643640237</v>
      </c>
      <c r="K196" s="12">
        <v>0.83080948271458721</v>
      </c>
      <c r="L196" s="25"/>
      <c r="T196" s="47"/>
      <c r="U196" s="36"/>
    </row>
    <row r="197" spans="1:21" x14ac:dyDescent="0.3">
      <c r="A197" s="10">
        <f t="shared" si="4"/>
        <v>185</v>
      </c>
      <c r="B197" s="13">
        <v>-3.0570150024532396E-3</v>
      </c>
      <c r="C197" s="13">
        <v>0.8911451445526829</v>
      </c>
      <c r="D197" s="16">
        <v>-2.853735505949106E-4</v>
      </c>
      <c r="E197" s="16">
        <v>1.7252850208908318E-2</v>
      </c>
      <c r="F197" s="12">
        <v>7797.3836952101074</v>
      </c>
      <c r="G197" s="12">
        <v>10524.898792801732</v>
      </c>
      <c r="H197" s="35">
        <v>0.77973836952101072</v>
      </c>
      <c r="I197" s="35">
        <v>1.0524898792801731</v>
      </c>
      <c r="J197" s="12">
        <v>0.50468760982606187</v>
      </c>
      <c r="K197" s="12">
        <v>0.92606445038044194</v>
      </c>
      <c r="L197" s="25"/>
      <c r="T197" s="47"/>
      <c r="U197" s="36"/>
    </row>
    <row r="198" spans="1:21" x14ac:dyDescent="0.3">
      <c r="A198" s="10">
        <f t="shared" si="4"/>
        <v>186</v>
      </c>
      <c r="B198" s="13">
        <v>0.68022185279720082</v>
      </c>
      <c r="C198" s="13">
        <v>0.65641569499456032</v>
      </c>
      <c r="D198" s="16">
        <v>1.5209934680579348E-2</v>
      </c>
      <c r="E198" s="16">
        <v>1.2669014919305928E-2</v>
      </c>
      <c r="F198" s="12">
        <v>7916.8879137181302</v>
      </c>
      <c r="G198" s="12">
        <v>10659.087114750251</v>
      </c>
      <c r="H198" s="35">
        <v>0.79168879137181303</v>
      </c>
      <c r="I198" s="35">
        <v>1.0659087114750252</v>
      </c>
      <c r="J198" s="12">
        <v>0.57442349485169908</v>
      </c>
      <c r="K198" s="12">
        <v>0.99706547209232121</v>
      </c>
      <c r="L198" s="25"/>
      <c r="T198" s="47"/>
      <c r="U198" s="36"/>
    </row>
    <row r="199" spans="1:21" x14ac:dyDescent="0.3">
      <c r="A199" s="10">
        <f t="shared" si="4"/>
        <v>187</v>
      </c>
      <c r="B199" s="13">
        <v>-1.0301465777981675</v>
      </c>
      <c r="C199" s="13">
        <v>0.65837102126957414</v>
      </c>
      <c r="D199" s="16">
        <v>-2.357757547071649E-2</v>
      </c>
      <c r="E199" s="16">
        <v>1.2707198852335923E-2</v>
      </c>
      <c r="F199" s="12">
        <v>7732.4102058614508</v>
      </c>
      <c r="G199" s="12">
        <v>10795.39848795316</v>
      </c>
      <c r="H199" s="35">
        <v>0.77324102058614508</v>
      </c>
      <c r="I199" s="35">
        <v>1.0795398487953161</v>
      </c>
      <c r="J199" s="12">
        <v>0.46677276598623374</v>
      </c>
      <c r="K199" s="12">
        <v>1.0691898315583324</v>
      </c>
      <c r="L199" s="25"/>
      <c r="T199" s="47"/>
      <c r="U199" s="36"/>
    </row>
    <row r="200" spans="1:21" x14ac:dyDescent="0.3">
      <c r="A200" s="10">
        <f t="shared" si="4"/>
        <v>188</v>
      </c>
      <c r="B200" s="13">
        <v>-0.3875512321757843</v>
      </c>
      <c r="C200" s="13">
        <v>0.54434405289876298</v>
      </c>
      <c r="D200" s="16">
        <v>-9.0048828007357161E-3</v>
      </c>
      <c r="E200" s="16">
        <v>1.0480461463531729E-2</v>
      </c>
      <c r="F200" s="12">
        <v>7663.0933217951833</v>
      </c>
      <c r="G200" s="12">
        <v>10909.134206135619</v>
      </c>
      <c r="H200" s="35">
        <v>0.76630933217951835</v>
      </c>
      <c r="I200" s="35">
        <v>1.090913420613562</v>
      </c>
      <c r="J200" s="12">
        <v>0.42632336329626819</v>
      </c>
      <c r="K200" s="12">
        <v>1.1293690787448873</v>
      </c>
      <c r="L200" s="25"/>
      <c r="T200" s="47"/>
      <c r="U200" s="36"/>
    </row>
    <row r="201" spans="1:21" x14ac:dyDescent="0.3">
      <c r="A201" s="10">
        <f t="shared" si="4"/>
        <v>189</v>
      </c>
      <c r="B201" s="13">
        <v>-1.7994202812074762</v>
      </c>
      <c r="C201" s="13">
        <v>0.45088869334816872</v>
      </c>
      <c r="D201" s="16">
        <v>-4.1023063265253845E-2</v>
      </c>
      <c r="E201" s="16">
        <v>8.6554498345396032E-3</v>
      </c>
      <c r="F201" s="12">
        <v>7355.0905614067224</v>
      </c>
      <c r="G201" s="12">
        <v>11003.967490312132</v>
      </c>
      <c r="H201" s="35">
        <v>0.73550905614067219</v>
      </c>
      <c r="I201" s="35">
        <v>1.1003967490312132</v>
      </c>
      <c r="J201" s="12">
        <v>0.24659041868405229</v>
      </c>
      <c r="K201" s="12">
        <v>1.1795467691061146</v>
      </c>
      <c r="L201" s="25"/>
      <c r="T201" s="47"/>
      <c r="U201" s="36"/>
    </row>
    <row r="202" spans="1:21" x14ac:dyDescent="0.3">
      <c r="A202" s="10">
        <f t="shared" si="4"/>
        <v>190</v>
      </c>
      <c r="B202" s="13">
        <v>1.1974310507620269</v>
      </c>
      <c r="C202" s="13">
        <v>-1.0092993224904641</v>
      </c>
      <c r="D202" s="16">
        <v>2.6939136797237383E-2</v>
      </c>
      <c r="E202" s="16">
        <v>-1.9859341850337022E-2</v>
      </c>
      <c r="F202" s="12">
        <v>7555.9233375096555</v>
      </c>
      <c r="G202" s="12">
        <v>10787.591591077429</v>
      </c>
      <c r="H202" s="35">
        <v>0.75559233375096557</v>
      </c>
      <c r="I202" s="35">
        <v>1.078759159107743</v>
      </c>
      <c r="J202" s="12">
        <v>0.36378503790792061</v>
      </c>
      <c r="K202" s="12">
        <v>1.0650590871945358</v>
      </c>
      <c r="L202" s="25"/>
      <c r="T202" s="47"/>
      <c r="U202" s="36"/>
    </row>
    <row r="203" spans="1:21" x14ac:dyDescent="0.3">
      <c r="A203" s="10">
        <f t="shared" si="4"/>
        <v>191</v>
      </c>
      <c r="B203" s="13">
        <v>-1.9489782494481185</v>
      </c>
      <c r="C203" s="13">
        <v>-0.48737239565033075</v>
      </c>
      <c r="D203" s="16">
        <v>-4.4414719184278154E-2</v>
      </c>
      <c r="E203" s="16">
        <v>-9.6670669979601054E-3</v>
      </c>
      <c r="F203" s="12">
        <v>7227.6726640444767</v>
      </c>
      <c r="G203" s="12">
        <v>10683.809662069705</v>
      </c>
      <c r="H203" s="35">
        <v>0.72276726640444766</v>
      </c>
      <c r="I203" s="35">
        <v>1.0683809662069705</v>
      </c>
      <c r="J203" s="12">
        <v>0.17223655945133004</v>
      </c>
      <c r="K203" s="12">
        <v>1.0101465367744993</v>
      </c>
      <c r="L203" s="25"/>
      <c r="T203" s="47"/>
      <c r="U203" s="36"/>
    </row>
    <row r="204" spans="1:21" x14ac:dyDescent="0.3">
      <c r="A204" s="10">
        <f t="shared" si="4"/>
        <v>192</v>
      </c>
      <c r="B204" s="13">
        <v>-0.4049521798589758</v>
      </c>
      <c r="C204" s="13">
        <v>0.80176139151300352</v>
      </c>
      <c r="D204" s="16">
        <v>-9.3994992019920329E-3</v>
      </c>
      <c r="E204" s="16">
        <v>1.550734958139147E-2</v>
      </c>
      <c r="F204" s="12">
        <v>7160.0544471361527</v>
      </c>
      <c r="G204" s="12">
        <v>10850.778509490599</v>
      </c>
      <c r="H204" s="35">
        <v>0.71600544471361527</v>
      </c>
      <c r="I204" s="35">
        <v>1.08507785094906</v>
      </c>
      <c r="J204" s="12">
        <v>0.13277840258600634</v>
      </c>
      <c r="K204" s="12">
        <v>1.0984922183419796</v>
      </c>
      <c r="L204" s="25"/>
      <c r="T204" s="47"/>
      <c r="U204" s="36"/>
    </row>
    <row r="205" spans="1:21" x14ac:dyDescent="0.3">
      <c r="A205" s="10">
        <f t="shared" si="4"/>
        <v>193</v>
      </c>
      <c r="B205" s="13">
        <v>-1.2159320044355078</v>
      </c>
      <c r="C205" s="13">
        <v>-1.6838656022555847</v>
      </c>
      <c r="D205" s="16">
        <v>-2.7790792923023094E-2</v>
      </c>
      <c r="E205" s="16">
        <v>-3.3032383086466659E-2</v>
      </c>
      <c r="F205" s="12">
        <v>6963.8103760881213</v>
      </c>
      <c r="G205" s="12">
        <v>10498.206639654196</v>
      </c>
      <c r="H205" s="35">
        <v>0.69638103760881209</v>
      </c>
      <c r="I205" s="35">
        <v>1.0498206639654195</v>
      </c>
      <c r="J205" s="12">
        <v>1.8261491413956329E-2</v>
      </c>
      <c r="K205" s="12">
        <v>0.91194123818398787</v>
      </c>
      <c r="L205" s="25"/>
      <c r="T205" s="47"/>
      <c r="U205" s="36"/>
    </row>
    <row r="206" spans="1:21" x14ac:dyDescent="0.3">
      <c r="A206" s="10">
        <f t="shared" si="4"/>
        <v>194</v>
      </c>
      <c r="B206" s="13">
        <v>0.74808639185221226</v>
      </c>
      <c r="C206" s="13">
        <v>-0.15929122770051751</v>
      </c>
      <c r="D206" s="16">
        <v>1.6748957764975841E-2</v>
      </c>
      <c r="E206" s="16">
        <v>-3.260244000959288E-3</v>
      </c>
      <c r="F206" s="12">
        <v>7081.4291886250203</v>
      </c>
      <c r="G206" s="12">
        <v>10464.035657573586</v>
      </c>
      <c r="H206" s="35">
        <v>0.70814291886250202</v>
      </c>
      <c r="I206" s="35">
        <v>1.0464035657573585</v>
      </c>
      <c r="J206" s="12">
        <v>8.6897160433243012E-2</v>
      </c>
      <c r="K206" s="12">
        <v>0.89386086721435587</v>
      </c>
      <c r="L206" s="25"/>
      <c r="T206" s="47"/>
      <c r="U206" s="36"/>
    </row>
    <row r="207" spans="1:21" x14ac:dyDescent="0.3">
      <c r="A207" s="10">
        <f t="shared" si="4"/>
        <v>195</v>
      </c>
      <c r="B207" s="13">
        <v>1.0707118431234552</v>
      </c>
      <c r="C207" s="13">
        <v>-0.19055196610739994</v>
      </c>
      <c r="D207" s="16">
        <v>2.4065415285121808E-2</v>
      </c>
      <c r="E207" s="16">
        <v>-3.8707088410475138E-3</v>
      </c>
      <c r="F207" s="12">
        <v>7253.9138560598021</v>
      </c>
      <c r="G207" s="12">
        <v>10423.610709314929</v>
      </c>
      <c r="H207" s="35">
        <v>0.72539138560598027</v>
      </c>
      <c r="I207" s="35">
        <v>1.042361070931493</v>
      </c>
      <c r="J207" s="12">
        <v>0.18754943101488533</v>
      </c>
      <c r="K207" s="12">
        <v>0.87247143043374231</v>
      </c>
      <c r="L207" s="25"/>
      <c r="T207" s="47"/>
      <c r="U207" s="36"/>
    </row>
    <row r="208" spans="1:21" x14ac:dyDescent="0.3">
      <c r="A208" s="10">
        <f t="shared" si="4"/>
        <v>196</v>
      </c>
      <c r="B208" s="13">
        <v>-0.34566772487631142</v>
      </c>
      <c r="C208" s="13">
        <v>-0.91947376576389783</v>
      </c>
      <c r="D208" s="16">
        <v>-8.0550541348823126E-3</v>
      </c>
      <c r="E208" s="16">
        <v>-1.8105213607772976E-2</v>
      </c>
      <c r="F208" s="12">
        <v>7195.7178877617653</v>
      </c>
      <c r="G208" s="12">
        <v>10236.587170233324</v>
      </c>
      <c r="H208" s="35">
        <v>0.71957178877617656</v>
      </c>
      <c r="I208" s="35">
        <v>1.0236587170233324</v>
      </c>
      <c r="J208" s="12">
        <v>0.15358956411767558</v>
      </c>
      <c r="K208" s="12">
        <v>0.77351451550891037</v>
      </c>
      <c r="L208" s="25"/>
      <c r="T208" s="47"/>
      <c r="U208" s="36"/>
    </row>
    <row r="209" spans="1:21" x14ac:dyDescent="0.3">
      <c r="A209" s="10">
        <f t="shared" si="4"/>
        <v>197</v>
      </c>
      <c r="B209" s="13">
        <v>-1.2792558469686031</v>
      </c>
      <c r="C209" s="13">
        <v>-1.1258662593078748</v>
      </c>
      <c r="D209" s="16">
        <v>-2.9226842689339533E-2</v>
      </c>
      <c r="E209" s="16">
        <v>-2.2135680160635805E-2</v>
      </c>
      <c r="F209" s="12">
        <v>6988.4533704536261</v>
      </c>
      <c r="G209" s="12">
        <v>10012.482852084917</v>
      </c>
      <c r="H209" s="35">
        <v>0.69884533704536256</v>
      </c>
      <c r="I209" s="35">
        <v>1.0012482852084916</v>
      </c>
      <c r="J209" s="12">
        <v>3.2641745460342986E-2</v>
      </c>
      <c r="K209" s="12">
        <v>0.6549376130815483</v>
      </c>
      <c r="L209" s="25"/>
      <c r="T209" s="47"/>
      <c r="U209" s="36"/>
    </row>
    <row r="210" spans="1:21" x14ac:dyDescent="0.3">
      <c r="A210" s="10">
        <f t="shared" si="4"/>
        <v>198</v>
      </c>
      <c r="B210" s="13">
        <v>0.76791182322191665</v>
      </c>
      <c r="C210" s="13">
        <v>2.004711013032848</v>
      </c>
      <c r="D210" s="16">
        <v>1.7198556288165696E-2</v>
      </c>
      <c r="E210" s="16">
        <v>3.8998747602035332E-2</v>
      </c>
      <c r="F210" s="12">
        <v>7109.6841884084988</v>
      </c>
      <c r="G210" s="12">
        <v>10410.671099339785</v>
      </c>
      <c r="H210" s="35">
        <v>0.71096841884084994</v>
      </c>
      <c r="I210" s="35">
        <v>1.0410671099339786</v>
      </c>
      <c r="J210" s="12">
        <v>0.10338517601043189</v>
      </c>
      <c r="K210" s="12">
        <v>0.86562489181214031</v>
      </c>
      <c r="L210" s="25"/>
      <c r="T210" s="47"/>
      <c r="U210" s="36"/>
    </row>
    <row r="211" spans="1:21" x14ac:dyDescent="0.3">
      <c r="A211" s="10">
        <f t="shared" si="4"/>
        <v>199</v>
      </c>
      <c r="B211" s="13">
        <v>1.3071711268236186</v>
      </c>
      <c r="C211" s="13">
        <v>0.13810101226412885</v>
      </c>
      <c r="D211" s="16">
        <v>2.9427807798234104E-2</v>
      </c>
      <c r="E211" s="16">
        <v>2.5472805638963904E-3</v>
      </c>
      <c r="F211" s="12">
        <v>7322.0155078914204</v>
      </c>
      <c r="G211" s="12">
        <v>10437.223803724577</v>
      </c>
      <c r="H211" s="35">
        <v>0.73220155078914206</v>
      </c>
      <c r="I211" s="35">
        <v>1.0437223803724578</v>
      </c>
      <c r="J211" s="12">
        <v>0.22728969308661195</v>
      </c>
      <c r="K211" s="12">
        <v>0.87967431961001552</v>
      </c>
      <c r="L211" s="25"/>
      <c r="T211" s="47"/>
      <c r="U211" s="36"/>
    </row>
    <row r="212" spans="1:21" x14ac:dyDescent="0.3">
      <c r="A212" s="10">
        <f t="shared" si="4"/>
        <v>200</v>
      </c>
      <c r="B212" s="13">
        <v>0.59005365073709026</v>
      </c>
      <c r="C212" s="13">
        <v>-5.0180716657692387E-2</v>
      </c>
      <c r="D212" s="16">
        <v>1.3165112062148996E-2</v>
      </c>
      <c r="E212" s="16">
        <v>-1.1295159993123969E-3</v>
      </c>
      <c r="F212" s="12">
        <v>7419.0479828068183</v>
      </c>
      <c r="G212" s="12">
        <v>10425.441447882249</v>
      </c>
      <c r="H212" s="35">
        <v>0.74190479828068179</v>
      </c>
      <c r="I212" s="35">
        <v>1.0425441447882249</v>
      </c>
      <c r="J212" s="12">
        <v>0.28391234288871031</v>
      </c>
      <c r="K212" s="12">
        <v>0.87344010123072047</v>
      </c>
      <c r="L212" s="25"/>
      <c r="T212" s="47"/>
      <c r="U212" s="36"/>
    </row>
    <row r="213" spans="1:21" x14ac:dyDescent="0.3">
      <c r="A213" s="10">
        <f t="shared" si="4"/>
        <v>201</v>
      </c>
      <c r="B213" s="13">
        <v>0.72355494050870384</v>
      </c>
      <c r="C213" s="13">
        <v>-0.61853897781171008</v>
      </c>
      <c r="D213" s="16">
        <v>1.6192636740223802E-2</v>
      </c>
      <c r="E213" s="16">
        <v>-1.2228509583284213E-2</v>
      </c>
      <c r="F213" s="12">
        <v>7540.1598456530783</v>
      </c>
      <c r="G213" s="12">
        <v>10298.73016131029</v>
      </c>
      <c r="H213" s="35">
        <v>0.75401598456530783</v>
      </c>
      <c r="I213" s="35">
        <v>1.029873016131029</v>
      </c>
      <c r="J213" s="12">
        <v>0.35458635798316934</v>
      </c>
      <c r="K213" s="12">
        <v>0.80639528929479543</v>
      </c>
      <c r="L213" s="25"/>
      <c r="T213" s="47"/>
      <c r="U213" s="36"/>
    </row>
    <row r="214" spans="1:21" x14ac:dyDescent="0.3">
      <c r="A214" s="10">
        <f t="shared" si="4"/>
        <v>202</v>
      </c>
      <c r="B214" s="13">
        <v>0.77109547269396694</v>
      </c>
      <c r="C214" s="13">
        <v>0.58726907580875665</v>
      </c>
      <c r="D214" s="16">
        <v>1.7270754671862672E-2</v>
      </c>
      <c r="E214" s="16">
        <v>1.1318708369457774E-2</v>
      </c>
      <c r="F214" s="12">
        <v>7671.5151339867371</v>
      </c>
      <c r="G214" s="12">
        <v>10415.960682058383</v>
      </c>
      <c r="H214" s="35">
        <v>0.76715151339867371</v>
      </c>
      <c r="I214" s="35">
        <v>1.0415960682058383</v>
      </c>
      <c r="J214" s="12">
        <v>0.43123785530357978</v>
      </c>
      <c r="K214" s="12">
        <v>0.86842368810079251</v>
      </c>
      <c r="L214" s="25"/>
      <c r="T214" s="47"/>
      <c r="U214" s="36"/>
    </row>
    <row r="215" spans="1:21" x14ac:dyDescent="0.3">
      <c r="A215" s="10">
        <f t="shared" si="4"/>
        <v>203</v>
      </c>
      <c r="B215" s="13">
        <v>-1.5354367386082581</v>
      </c>
      <c r="C215" s="13">
        <v>-1.5699318343773805E-2</v>
      </c>
      <c r="D215" s="16">
        <v>-3.5036479231556505E-2</v>
      </c>
      <c r="E215" s="16">
        <v>-4.5615758295808654E-4</v>
      </c>
      <c r="F215" s="12">
        <v>7407.3863435891362</v>
      </c>
      <c r="G215" s="12">
        <v>10411.210446119911</v>
      </c>
      <c r="H215" s="35">
        <v>0.74073863435891363</v>
      </c>
      <c r="I215" s="35">
        <v>1.041121044611991</v>
      </c>
      <c r="J215" s="12">
        <v>0.27710727155442816</v>
      </c>
      <c r="K215" s="12">
        <v>0.86591026815405947</v>
      </c>
      <c r="L215" s="25"/>
      <c r="T215" s="47"/>
      <c r="U215" s="36"/>
    </row>
    <row r="216" spans="1:21" x14ac:dyDescent="0.3">
      <c r="A216" s="10">
        <f t="shared" si="4"/>
        <v>204</v>
      </c>
      <c r="B216" s="13">
        <v>-2.9107187691713391E-2</v>
      </c>
      <c r="C216" s="13">
        <v>1.2244779990571395</v>
      </c>
      <c r="D216" s="16">
        <v>-8.7613593813264513E-4</v>
      </c>
      <c r="E216" s="16">
        <v>2.37622290045293E-2</v>
      </c>
      <c r="F216" s="12">
        <v>7400.8993083831847</v>
      </c>
      <c r="G216" s="12">
        <v>10661.566744744176</v>
      </c>
      <c r="H216" s="35">
        <v>0.74008993083831842</v>
      </c>
      <c r="I216" s="35">
        <v>1.0661566744744175</v>
      </c>
      <c r="J216" s="12">
        <v>0.27332180567776432</v>
      </c>
      <c r="K216" s="12">
        <v>0.99837748092050815</v>
      </c>
      <c r="L216" s="25"/>
      <c r="T216" s="47"/>
      <c r="U216" s="36"/>
    </row>
    <row r="217" spans="1:21" x14ac:dyDescent="0.3">
      <c r="A217" s="10">
        <f t="shared" si="4"/>
        <v>205</v>
      </c>
      <c r="B217" s="13">
        <v>0.71136702442951938</v>
      </c>
      <c r="C217" s="13">
        <v>1.1074736760072046</v>
      </c>
      <c r="D217" s="16">
        <v>1.5916240783546823E-2</v>
      </c>
      <c r="E217" s="16">
        <v>2.1477349343958518E-2</v>
      </c>
      <c r="F217" s="12">
        <v>7519.636219834355</v>
      </c>
      <c r="G217" s="12">
        <v>10893.025602505164</v>
      </c>
      <c r="H217" s="35">
        <v>0.75196362198343547</v>
      </c>
      <c r="I217" s="35">
        <v>1.0893025602505164</v>
      </c>
      <c r="J217" s="12">
        <v>0.34260993381779475</v>
      </c>
      <c r="K217" s="12">
        <v>1.120845778807112</v>
      </c>
      <c r="L217" s="25"/>
      <c r="T217" s="47"/>
      <c r="U217" s="36"/>
    </row>
    <row r="218" spans="1:21" x14ac:dyDescent="0.3">
      <c r="A218" s="10">
        <f t="shared" si="4"/>
        <v>206</v>
      </c>
      <c r="B218" s="13">
        <v>0.43631589547119176</v>
      </c>
      <c r="C218" s="13">
        <v>-0.22240832283606829</v>
      </c>
      <c r="D218" s="16">
        <v>9.6786674831071846E-3</v>
      </c>
      <c r="E218" s="16">
        <v>-4.4928050136663431E-3</v>
      </c>
      <c r="F218" s="12">
        <v>7592.7696244461076</v>
      </c>
      <c r="G218" s="12">
        <v>10844.195137481363</v>
      </c>
      <c r="H218" s="35">
        <v>0.75927696244461074</v>
      </c>
      <c r="I218" s="35">
        <v>1.0844195137481363</v>
      </c>
      <c r="J218" s="12">
        <v>0.38528644146924812</v>
      </c>
      <c r="K218" s="12">
        <v>1.0950088590438101</v>
      </c>
      <c r="L218" s="25"/>
      <c r="T218" s="47"/>
      <c r="U218" s="36"/>
    </row>
    <row r="219" spans="1:21" x14ac:dyDescent="0.3">
      <c r="A219" s="10">
        <f t="shared" si="4"/>
        <v>207</v>
      </c>
      <c r="B219" s="13">
        <v>-0.33398636232394907</v>
      </c>
      <c r="C219" s="13">
        <v>1.4061717427002367</v>
      </c>
      <c r="D219" s="16">
        <v>-7.7901457324143107E-3</v>
      </c>
      <c r="E219" s="16">
        <v>2.7310374307894705E-2</v>
      </c>
      <c r="F219" s="12">
        <v>7533.8506342835808</v>
      </c>
      <c r="G219" s="12">
        <v>11144.435340810007</v>
      </c>
      <c r="H219" s="35">
        <v>0.75338506342835809</v>
      </c>
      <c r="I219" s="35">
        <v>1.1144435340810006</v>
      </c>
      <c r="J219" s="12">
        <v>0.35090466001335097</v>
      </c>
      <c r="K219" s="12">
        <v>1.2538703820569261</v>
      </c>
      <c r="L219" s="25"/>
      <c r="T219" s="47"/>
      <c r="U219" s="36"/>
    </row>
    <row r="220" spans="1:21" x14ac:dyDescent="0.3">
      <c r="A220" s="10">
        <f t="shared" si="4"/>
        <v>208</v>
      </c>
      <c r="B220" s="13">
        <v>-3.0684659499377442</v>
      </c>
      <c r="C220" s="13">
        <v>1.6748189229715607</v>
      </c>
      <c r="D220" s="16">
        <v>-6.9802313909630528E-2</v>
      </c>
      <c r="E220" s="16">
        <v>3.2556560620255776E-2</v>
      </c>
      <c r="F220" s="12">
        <v>7025.9045578274718</v>
      </c>
      <c r="G220" s="12">
        <v>11513.230604056687</v>
      </c>
      <c r="H220" s="35">
        <v>0.70259045578274715</v>
      </c>
      <c r="I220" s="35">
        <v>1.1513230604056688</v>
      </c>
      <c r="J220" s="12">
        <v>5.4496134613984143E-2</v>
      </c>
      <c r="K220" s="12">
        <v>1.4490053991194507</v>
      </c>
      <c r="L220" s="25"/>
      <c r="T220" s="47"/>
      <c r="U220" s="36"/>
    </row>
    <row r="221" spans="1:21" x14ac:dyDescent="0.3">
      <c r="A221" s="10">
        <f t="shared" si="4"/>
        <v>209</v>
      </c>
      <c r="B221" s="13">
        <v>-1.1051979061623642</v>
      </c>
      <c r="C221" s="13">
        <v>-0.50977471131605745</v>
      </c>
      <c r="D221" s="16">
        <v>-2.5279579617145456E-2</v>
      </c>
      <c r="E221" s="16">
        <v>-1.0104543102090548E-2</v>
      </c>
      <c r="F221" s="12">
        <v>6850.5188230248441</v>
      </c>
      <c r="G221" s="12">
        <v>11397.480455214167</v>
      </c>
      <c r="H221" s="35">
        <v>0.68505188230248437</v>
      </c>
      <c r="I221" s="35">
        <v>1.1397480455214166</v>
      </c>
      <c r="J221" s="12">
        <v>-4.7849034368580685E-2</v>
      </c>
      <c r="K221" s="12">
        <v>1.3877602869384218</v>
      </c>
      <c r="L221" s="25"/>
      <c r="T221" s="47"/>
      <c r="U221" s="36"/>
    </row>
    <row r="222" spans="1:21" x14ac:dyDescent="0.3">
      <c r="A222" s="10">
        <f t="shared" si="4"/>
        <v>210</v>
      </c>
      <c r="B222" s="13">
        <v>1.0558683180629624</v>
      </c>
      <c r="C222" s="13">
        <v>-0.29514149314749627</v>
      </c>
      <c r="D222" s="16">
        <v>2.3728795777496502E-2</v>
      </c>
      <c r="E222" s="16">
        <v>-5.9131503236638872E-3</v>
      </c>
      <c r="F222" s="12">
        <v>7015.0173426208939</v>
      </c>
      <c r="G222" s="12">
        <v>11330.284306231126</v>
      </c>
      <c r="H222" s="35">
        <v>0.70150173426208939</v>
      </c>
      <c r="I222" s="35">
        <v>1.1330284306231126</v>
      </c>
      <c r="J222" s="12">
        <v>4.814297321621884E-2</v>
      </c>
      <c r="K222" s="12">
        <v>1.3522058127217313</v>
      </c>
      <c r="L222" s="25"/>
      <c r="T222" s="47"/>
      <c r="U222" s="36"/>
    </row>
    <row r="223" spans="1:21" x14ac:dyDescent="0.3">
      <c r="A223" s="10">
        <f t="shared" si="4"/>
        <v>211</v>
      </c>
      <c r="B223" s="13">
        <v>8.0595322167556025E-3</v>
      </c>
      <c r="C223" s="13">
        <v>-1.3899341219719996</v>
      </c>
      <c r="D223" s="16">
        <v>-3.3273955911483004E-5</v>
      </c>
      <c r="E223" s="16">
        <v>-2.7292440805745947E-2</v>
      </c>
      <c r="F223" s="12">
        <v>7014.7839291264336</v>
      </c>
      <c r="G223" s="12">
        <v>11025.234899065454</v>
      </c>
      <c r="H223" s="35">
        <v>0.70147839291264336</v>
      </c>
      <c r="I223" s="35">
        <v>1.1025234899065455</v>
      </c>
      <c r="J223" s="12">
        <v>4.80067663373627E-2</v>
      </c>
      <c r="K223" s="12">
        <v>1.1907996689764124</v>
      </c>
      <c r="L223" s="25"/>
      <c r="T223" s="47"/>
      <c r="U223" s="36"/>
    </row>
    <row r="224" spans="1:21" x14ac:dyDescent="0.3">
      <c r="A224" s="10">
        <f t="shared" si="4"/>
        <v>212</v>
      </c>
      <c r="B224" s="13">
        <v>-0.34649512554555884</v>
      </c>
      <c r="C224" s="13">
        <v>1.2446097443642565</v>
      </c>
      <c r="D224" s="16">
        <v>-8.0738178183574882E-3</v>
      </c>
      <c r="E224" s="16">
        <v>2.4155365037326924E-2</v>
      </c>
      <c r="F224" s="12">
        <v>6958.3758622952637</v>
      </c>
      <c r="G224" s="12">
        <v>11294.796039679335</v>
      </c>
      <c r="H224" s="35">
        <v>0.69583758622952641</v>
      </c>
      <c r="I224" s="35">
        <v>1.1294796039679336</v>
      </c>
      <c r="J224" s="12">
        <v>1.5090217347145742E-2</v>
      </c>
      <c r="K224" s="12">
        <v>1.3334284470957767</v>
      </c>
      <c r="L224" s="25"/>
      <c r="T224" s="47"/>
      <c r="U224" s="36"/>
    </row>
    <row r="225" spans="1:21" x14ac:dyDescent="0.3">
      <c r="A225" s="10">
        <f t="shared" si="4"/>
        <v>213</v>
      </c>
      <c r="B225" s="13">
        <v>0.91636271266619063</v>
      </c>
      <c r="C225" s="13">
        <v>-0.12357367871082793</v>
      </c>
      <c r="D225" s="16">
        <v>2.0565106019959058E-2</v>
      </c>
      <c r="E225" s="16">
        <v>-2.5627458309373753E-3</v>
      </c>
      <c r="F225" s="12">
        <v>7102.95716904654</v>
      </c>
      <c r="G225" s="12">
        <v>11265.887406778435</v>
      </c>
      <c r="H225" s="35">
        <v>0.71029571690465398</v>
      </c>
      <c r="I225" s="35">
        <v>1.1265887406778434</v>
      </c>
      <c r="J225" s="12">
        <v>9.9459668989444999E-2</v>
      </c>
      <c r="K225" s="12">
        <v>1.3181324627474142</v>
      </c>
      <c r="L225" s="25"/>
      <c r="T225" s="47"/>
      <c r="U225" s="36"/>
    </row>
    <row r="226" spans="1:21" x14ac:dyDescent="0.3">
      <c r="A226" s="10">
        <f t="shared" si="4"/>
        <v>214</v>
      </c>
      <c r="B226" s="13">
        <v>0.71068409036187752</v>
      </c>
      <c r="C226" s="13">
        <v>0.80594061476275525</v>
      </c>
      <c r="D226" s="16">
        <v>1.5900753294648243E-2</v>
      </c>
      <c r="E226" s="16">
        <v>1.558896214023912E-2</v>
      </c>
      <c r="F226" s="12">
        <v>7216.8022512888447</v>
      </c>
      <c r="G226" s="12">
        <v>11442.886934045522</v>
      </c>
      <c r="H226" s="35">
        <v>0.72168022512888452</v>
      </c>
      <c r="I226" s="35">
        <v>1.1442886934045522</v>
      </c>
      <c r="J226" s="12">
        <v>0.1658932030110962</v>
      </c>
      <c r="K226" s="12">
        <v>1.4117855250705589</v>
      </c>
      <c r="L226" s="25"/>
      <c r="T226" s="47"/>
      <c r="U226" s="36"/>
    </row>
    <row r="227" spans="1:21" x14ac:dyDescent="0.3">
      <c r="A227" s="10">
        <f t="shared" si="4"/>
        <v>215</v>
      </c>
      <c r="B227" s="13">
        <v>-0.57322277023520829</v>
      </c>
      <c r="C227" s="13">
        <v>-1.573690061094452</v>
      </c>
      <c r="D227" s="16">
        <v>-1.3215517502862288E-2</v>
      </c>
      <c r="E227" s="16">
        <v>-3.0880857001537171E-2</v>
      </c>
      <c r="F227" s="12">
        <v>7122.055914706154</v>
      </c>
      <c r="G227" s="12">
        <v>11094.921171460654</v>
      </c>
      <c r="H227" s="35">
        <v>0.71220559147061535</v>
      </c>
      <c r="I227" s="35">
        <v>1.1094921171460654</v>
      </c>
      <c r="J227" s="12">
        <v>0.11060461389666863</v>
      </c>
      <c r="K227" s="12">
        <v>1.2276717042437566</v>
      </c>
      <c r="L227" s="25"/>
      <c r="T227" s="47"/>
      <c r="U227" s="36"/>
    </row>
    <row r="228" spans="1:21" x14ac:dyDescent="0.3">
      <c r="A228" s="10">
        <f t="shared" si="4"/>
        <v>216</v>
      </c>
      <c r="B228" s="13">
        <v>1.6280892197395835</v>
      </c>
      <c r="C228" s="13">
        <v>-1.4343270336856839</v>
      </c>
      <c r="D228" s="16">
        <v>3.670554607032063E-2</v>
      </c>
      <c r="E228" s="16">
        <v>-2.8159352885608353E-2</v>
      </c>
      <c r="F228" s="12">
        <v>7388.3318730287638</v>
      </c>
      <c r="G228" s="12">
        <v>10786.853224552833</v>
      </c>
      <c r="H228" s="35">
        <v>0.73883318730287639</v>
      </c>
      <c r="I228" s="35">
        <v>1.0786853224552833</v>
      </c>
      <c r="J228" s="12">
        <v>0.26598816308435086</v>
      </c>
      <c r="K228" s="12">
        <v>1.0646684065683611</v>
      </c>
      <c r="L228" s="25"/>
      <c r="T228" s="47"/>
      <c r="U228" s="36"/>
    </row>
    <row r="229" spans="1:21" x14ac:dyDescent="0.3">
      <c r="A229" s="10">
        <f t="shared" si="4"/>
        <v>217</v>
      </c>
      <c r="B229" s="13">
        <v>-1.0563422138705014</v>
      </c>
      <c r="C229" s="13">
        <v>0.10037328383007438</v>
      </c>
      <c r="D229" s="16">
        <v>-2.4171636657709761E-2</v>
      </c>
      <c r="E229" s="16">
        <v>1.8105272791334045E-3</v>
      </c>
      <c r="F229" s="12">
        <v>7211.8848965333918</v>
      </c>
      <c r="G229" s="12">
        <v>10806.400806947715</v>
      </c>
      <c r="H229" s="35">
        <v>0.72118848965333915</v>
      </c>
      <c r="I229" s="35">
        <v>1.0806400806947716</v>
      </c>
      <c r="J229" s="12">
        <v>0.16302371363124216</v>
      </c>
      <c r="K229" s="12">
        <v>1.0750113209284216</v>
      </c>
      <c r="L229" s="25"/>
      <c r="T229" s="47"/>
      <c r="U229" s="36"/>
    </row>
    <row r="230" spans="1:21" x14ac:dyDescent="0.3">
      <c r="A230" s="10">
        <f t="shared" si="4"/>
        <v>218</v>
      </c>
      <c r="B230" s="13">
        <v>-0.44195697436118975</v>
      </c>
      <c r="C230" s="13">
        <v>-0.4173584502723261</v>
      </c>
      <c r="D230" s="16">
        <v>-1.0238689061162674E-2</v>
      </c>
      <c r="E230" s="16">
        <v>-8.2998231596085638E-3</v>
      </c>
      <c r="F230" s="12">
        <v>7138.4213763715898</v>
      </c>
      <c r="G230" s="12">
        <v>10717.0807742452</v>
      </c>
      <c r="H230" s="35">
        <v>0.71384213763715898</v>
      </c>
      <c r="I230" s="35">
        <v>1.07170807742452</v>
      </c>
      <c r="J230" s="12">
        <v>0.12015456926511184</v>
      </c>
      <c r="K230" s="12">
        <v>1.0277507732955951</v>
      </c>
      <c r="L230" s="25"/>
      <c r="T230" s="47"/>
      <c r="U230" s="36"/>
    </row>
    <row r="231" spans="1:21" x14ac:dyDescent="0.3">
      <c r="A231" s="10">
        <f t="shared" si="4"/>
        <v>219</v>
      </c>
      <c r="B231" s="13">
        <v>-0.95906649385106257</v>
      </c>
      <c r="C231" s="13">
        <v>2.5095592134872886</v>
      </c>
      <c r="D231" s="16">
        <v>-2.1965630682485342E-2</v>
      </c>
      <c r="E231" s="16">
        <v>4.8857506277147002E-2</v>
      </c>
      <c r="F231" s="12">
        <v>6983.3310133127507</v>
      </c>
      <c r="G231" s="12">
        <v>11253.692634822119</v>
      </c>
      <c r="H231" s="35">
        <v>0.69833310133127502</v>
      </c>
      <c r="I231" s="35">
        <v>1.1253692634822119</v>
      </c>
      <c r="J231" s="12">
        <v>2.9652628313718055E-2</v>
      </c>
      <c r="K231" s="12">
        <v>1.311680028915102</v>
      </c>
      <c r="L231" s="25"/>
      <c r="T231" s="47"/>
      <c r="U231" s="36"/>
    </row>
    <row r="232" spans="1:21" x14ac:dyDescent="0.3">
      <c r="A232" s="10">
        <f t="shared" si="4"/>
        <v>220</v>
      </c>
      <c r="B232" s="13">
        <v>1.2139405501868399</v>
      </c>
      <c r="C232" s="13">
        <v>0.20012323025745027</v>
      </c>
      <c r="D232" s="16">
        <v>2.7313537052222118E-2</v>
      </c>
      <c r="E232" s="16">
        <v>3.7584606357296962E-3</v>
      </c>
      <c r="F232" s="12">
        <v>7176.6992475264269</v>
      </c>
      <c r="G232" s="12">
        <v>11296.068780250074</v>
      </c>
      <c r="H232" s="35">
        <v>0.71766992475264269</v>
      </c>
      <c r="I232" s="35">
        <v>1.1296068780250075</v>
      </c>
      <c r="J232" s="12">
        <v>0.14249136419340699</v>
      </c>
      <c r="K232" s="12">
        <v>1.3341018729169247</v>
      </c>
      <c r="L232" s="25"/>
      <c r="T232" s="47"/>
      <c r="U232" s="36"/>
    </row>
    <row r="233" spans="1:21" x14ac:dyDescent="0.3">
      <c r="A233" s="10">
        <f t="shared" si="4"/>
        <v>221</v>
      </c>
      <c r="B233" s="13">
        <v>-0.44750579871035329</v>
      </c>
      <c r="C233" s="13">
        <v>0.46321260441018258</v>
      </c>
      <c r="D233" s="16">
        <v>-1.0364524569419817E-2</v>
      </c>
      <c r="E233" s="16">
        <v>8.8961131962878807E-3</v>
      </c>
      <c r="F233" s="12">
        <v>7102.70031615263</v>
      </c>
      <c r="G233" s="12">
        <v>11397.008205366523</v>
      </c>
      <c r="H233" s="35">
        <v>0.71027003161526303</v>
      </c>
      <c r="I233" s="35">
        <v>1.1397008205366523</v>
      </c>
      <c r="J233" s="12">
        <v>9.9309784206281379E-2</v>
      </c>
      <c r="K233" s="12">
        <v>1.387510412573804</v>
      </c>
      <c r="L233" s="25"/>
      <c r="T233" s="47"/>
      <c r="U233" s="36"/>
    </row>
    <row r="234" spans="1:21" x14ac:dyDescent="0.3">
      <c r="A234" s="10">
        <f t="shared" si="4"/>
        <v>222</v>
      </c>
      <c r="B234" s="13">
        <v>3.4479884072510521E-2</v>
      </c>
      <c r="C234" s="13">
        <v>0.60885945330308611</v>
      </c>
      <c r="D234" s="16">
        <v>5.658833060412429E-4</v>
      </c>
      <c r="E234" s="16">
        <v>1.1740328811463023E-2</v>
      </c>
      <c r="F234" s="12">
        <v>7106.7207531311524</v>
      </c>
      <c r="G234" s="12">
        <v>11531.60136718146</v>
      </c>
      <c r="H234" s="35">
        <v>0.71067207531311527</v>
      </c>
      <c r="I234" s="35">
        <v>1.1531601367181459</v>
      </c>
      <c r="J234" s="12">
        <v>0.10165588323431056</v>
      </c>
      <c r="K234" s="12">
        <v>1.4587256410342886</v>
      </c>
      <c r="L234" s="25"/>
      <c r="T234" s="47"/>
      <c r="U234" s="36"/>
    </row>
    <row r="235" spans="1:21" x14ac:dyDescent="0.3">
      <c r="A235" s="10">
        <f t="shared" si="4"/>
        <v>223</v>
      </c>
      <c r="B235" s="13">
        <v>0.70585222299871431</v>
      </c>
      <c r="C235" s="13">
        <v>0.26205030271341284</v>
      </c>
      <c r="D235" s="16">
        <v>1.5791176842554138E-2</v>
      </c>
      <c r="E235" s="16">
        <v>4.9677826898638392E-3</v>
      </c>
      <c r="F235" s="12">
        <v>7219.8349902594346</v>
      </c>
      <c r="G235" s="12">
        <v>11589.030386176115</v>
      </c>
      <c r="H235" s="35">
        <v>0.7219834990259435</v>
      </c>
      <c r="I235" s="35">
        <v>1.1589030386176116</v>
      </c>
      <c r="J235" s="12">
        <v>0.16766293749249134</v>
      </c>
      <c r="K235" s="12">
        <v>1.4891121826149767</v>
      </c>
      <c r="L235" s="25"/>
      <c r="T235" s="47"/>
      <c r="U235" s="36"/>
    </row>
    <row r="236" spans="1:21" x14ac:dyDescent="0.3">
      <c r="A236" s="10">
        <f t="shared" si="4"/>
        <v>224</v>
      </c>
      <c r="B236" s="13">
        <v>0.21077235205044353</v>
      </c>
      <c r="C236" s="13">
        <v>0.35129509241660301</v>
      </c>
      <c r="D236" s="16">
        <v>4.5638206913277742E-3</v>
      </c>
      <c r="E236" s="16">
        <v>6.7105696184947602E-3</v>
      </c>
      <c r="F236" s="12">
        <v>7252.8603261092794</v>
      </c>
      <c r="G236" s="12">
        <v>11667.060903181127</v>
      </c>
      <c r="H236" s="35">
        <v>0.72528603261092794</v>
      </c>
      <c r="I236" s="35">
        <v>1.1667060903181128</v>
      </c>
      <c r="J236" s="12">
        <v>0.18693465067978124</v>
      </c>
      <c r="K236" s="12">
        <v>1.5303992808632696</v>
      </c>
      <c r="L236" s="25"/>
      <c r="T236" s="47"/>
      <c r="U236" s="36"/>
    </row>
    <row r="237" spans="1:21" x14ac:dyDescent="0.3">
      <c r="A237" s="10">
        <f t="shared" si="4"/>
        <v>225</v>
      </c>
      <c r="B237" s="13">
        <v>1.9384991370640914</v>
      </c>
      <c r="C237" s="13">
        <v>1.8567458407576454E-2</v>
      </c>
      <c r="D237" s="16">
        <v>4.3744981319424357E-2</v>
      </c>
      <c r="E237" s="16">
        <v>2.1300966823027535E-4</v>
      </c>
      <c r="F237" s="12">
        <v>7577.1784947823589</v>
      </c>
      <c r="G237" s="12">
        <v>11669.546364657599</v>
      </c>
      <c r="H237" s="35">
        <v>0.75771784947823584</v>
      </c>
      <c r="I237" s="35">
        <v>1.1669546364657599</v>
      </c>
      <c r="J237" s="12">
        <v>0.37618834234584364</v>
      </c>
      <c r="K237" s="12">
        <v>1.5317143752149429</v>
      </c>
      <c r="L237" s="25"/>
      <c r="T237" s="47"/>
      <c r="U237" s="36"/>
    </row>
    <row r="238" spans="1:21" x14ac:dyDescent="0.3">
      <c r="A238" s="10">
        <f t="shared" si="4"/>
        <v>226</v>
      </c>
      <c r="B238" s="13">
        <v>0.79271879061939488</v>
      </c>
      <c r="C238" s="13">
        <v>2.1347462381614686</v>
      </c>
      <c r="D238" s="16">
        <v>1.7761125429726392E-2</v>
      </c>
      <c r="E238" s="16">
        <v>4.1538096861184724E-2</v>
      </c>
      <c r="F238" s="12">
        <v>7712.9599588162846</v>
      </c>
      <c r="G238" s="12">
        <v>12164.485361383227</v>
      </c>
      <c r="H238" s="35">
        <v>0.77129599588162845</v>
      </c>
      <c r="I238" s="35">
        <v>1.2164485361383228</v>
      </c>
      <c r="J238" s="12">
        <v>0.45542270480349073</v>
      </c>
      <c r="K238" s="12">
        <v>1.7935939034950112</v>
      </c>
      <c r="L238" s="25"/>
      <c r="T238" s="47"/>
      <c r="U238" s="36"/>
    </row>
    <row r="239" spans="1:21" x14ac:dyDescent="0.3">
      <c r="A239" s="10">
        <f t="shared" si="4"/>
        <v>227</v>
      </c>
      <c r="B239" s="13">
        <v>-0.53229266642790718</v>
      </c>
      <c r="C239" s="13">
        <v>0.15713306236901414</v>
      </c>
      <c r="D239" s="16">
        <v>-1.2287309995917916E-2</v>
      </c>
      <c r="E239" s="16">
        <v>2.9189415679522629E-3</v>
      </c>
      <c r="F239" s="12">
        <v>7618.7682949718846</v>
      </c>
      <c r="G239" s="12">
        <v>12200.044655860958</v>
      </c>
      <c r="H239" s="35">
        <v>0.76187682949718849</v>
      </c>
      <c r="I239" s="35">
        <v>1.2200044655860958</v>
      </c>
      <c r="J239" s="12">
        <v>0.40045779124451397</v>
      </c>
      <c r="K239" s="12">
        <v>1.8124088510449261</v>
      </c>
      <c r="L239" s="25"/>
      <c r="T239" s="47"/>
      <c r="U239" s="36"/>
    </row>
    <row r="240" spans="1:21" x14ac:dyDescent="0.3">
      <c r="A240" s="10">
        <f t="shared" si="4"/>
        <v>228</v>
      </c>
      <c r="B240" s="13">
        <v>-0.83340140524750839</v>
      </c>
      <c r="C240" s="13">
        <v>-0.46633749194409524</v>
      </c>
      <c r="D240" s="16">
        <v>-1.9115814343103329E-2</v>
      </c>
      <c r="E240" s="16">
        <v>-9.2562939394302025E-3</v>
      </c>
      <c r="F240" s="12">
        <v>7474.5125108501506</v>
      </c>
      <c r="G240" s="12">
        <v>12087.638491271447</v>
      </c>
      <c r="H240" s="35">
        <v>0.74745125108501509</v>
      </c>
      <c r="I240" s="35">
        <v>1.2087638491271449</v>
      </c>
      <c r="J240" s="12">
        <v>0.31627829614894098</v>
      </c>
      <c r="K240" s="12">
        <v>1.7529330902881084</v>
      </c>
      <c r="L240" s="25"/>
      <c r="T240" s="47"/>
      <c r="U240" s="36"/>
    </row>
    <row r="241" spans="1:21" x14ac:dyDescent="0.3">
      <c r="A241" s="10">
        <f t="shared" si="4"/>
        <v>229</v>
      </c>
      <c r="B241" s="13">
        <v>0.21042681581653588</v>
      </c>
      <c r="C241" s="13">
        <v>0.82750811215557429</v>
      </c>
      <c r="D241" s="16">
        <v>4.5559846660945041E-3</v>
      </c>
      <c r="E241" s="16">
        <v>1.6010135775859698E-2</v>
      </c>
      <c r="F241" s="12">
        <v>7508.643967393582</v>
      </c>
      <c r="G241" s="12">
        <v>12282.720704072848</v>
      </c>
      <c r="H241" s="35">
        <v>0.75086439673935823</v>
      </c>
      <c r="I241" s="35">
        <v>1.2282720704072847</v>
      </c>
      <c r="J241" s="12">
        <v>0.33619547864664895</v>
      </c>
      <c r="K241" s="12">
        <v>1.8561539684210626</v>
      </c>
      <c r="L241" s="25"/>
      <c r="T241" s="47"/>
      <c r="U241" s="36"/>
    </row>
    <row r="242" spans="1:21" x14ac:dyDescent="0.3">
      <c r="A242" s="10">
        <f t="shared" ref="A242:A305" si="5">A241+1</f>
        <v>230</v>
      </c>
      <c r="B242" s="13">
        <v>0.33955929359406911</v>
      </c>
      <c r="C242" s="13">
        <v>-0.99975843905583894</v>
      </c>
      <c r="D242" s="16">
        <v>7.4844340007881689E-3</v>
      </c>
      <c r="E242" s="16">
        <v>-1.9673025909734146E-2</v>
      </c>
      <c r="F242" s="12">
        <v>7565.0527481819145</v>
      </c>
      <c r="G242" s="12">
        <v>12043.443789081721</v>
      </c>
      <c r="H242" s="35">
        <v>0.75650527481819141</v>
      </c>
      <c r="I242" s="35">
        <v>1.204344378908172</v>
      </c>
      <c r="J242" s="12">
        <v>0.36911244426177858</v>
      </c>
      <c r="K242" s="12">
        <v>1.7295490210624223</v>
      </c>
      <c r="L242" s="25"/>
      <c r="T242" s="47"/>
      <c r="U242" s="36"/>
    </row>
    <row r="243" spans="1:21" x14ac:dyDescent="0.3">
      <c r="A243" s="10">
        <f t="shared" si="5"/>
        <v>231</v>
      </c>
      <c r="B243" s="13">
        <v>-0.98498667123717842</v>
      </c>
      <c r="C243" s="13">
        <v>-0.4186544214859102</v>
      </c>
      <c r="D243" s="16">
        <v>-2.2553445053648279E-2</v>
      </c>
      <c r="E243" s="16">
        <v>-8.3251310985753991E-3</v>
      </c>
      <c r="F243" s="12">
        <v>7396.344375382223</v>
      </c>
      <c r="G243" s="12">
        <v>11943.596737238517</v>
      </c>
      <c r="H243" s="35">
        <v>0.73963443753822233</v>
      </c>
      <c r="I243" s="35">
        <v>1.1943596737238518</v>
      </c>
      <c r="J243" s="12">
        <v>0.27066380508146554</v>
      </c>
      <c r="K243" s="12">
        <v>1.6767184722274333</v>
      </c>
      <c r="L243" s="25"/>
      <c r="T243" s="47"/>
      <c r="U243" s="36"/>
    </row>
    <row r="244" spans="1:21" x14ac:dyDescent="0.3">
      <c r="A244" s="10">
        <f t="shared" si="5"/>
        <v>232</v>
      </c>
      <c r="B244" s="13">
        <v>-0.92967906998922256</v>
      </c>
      <c r="C244" s="13">
        <v>1.1573437020079056</v>
      </c>
      <c r="D244" s="16">
        <v>-2.1299186552102993E-2</v>
      </c>
      <c r="E244" s="16">
        <v>2.245121941226794E-2</v>
      </c>
      <c r="F244" s="12">
        <v>7240.4741042889482</v>
      </c>
      <c r="G244" s="12">
        <v>12214.77783046611</v>
      </c>
      <c r="H244" s="35">
        <v>0.72404741042889487</v>
      </c>
      <c r="I244" s="35">
        <v>1.221477783046611</v>
      </c>
      <c r="J244" s="12">
        <v>0.17970675402852895</v>
      </c>
      <c r="K244" s="12">
        <v>1.8202043911846006</v>
      </c>
      <c r="L244" s="25"/>
      <c r="T244" s="47"/>
      <c r="U244" s="36"/>
    </row>
    <row r="245" spans="1:21" x14ac:dyDescent="0.3">
      <c r="A245" s="10">
        <f t="shared" si="5"/>
        <v>233</v>
      </c>
      <c r="B245" s="13">
        <v>-1.6926947400582906</v>
      </c>
      <c r="C245" s="13">
        <v>0.11118103913502372</v>
      </c>
      <c r="D245" s="16">
        <v>-3.8602755490229256E-2</v>
      </c>
      <c r="E245" s="16">
        <v>2.0215829019428772E-3</v>
      </c>
      <c r="F245" s="12">
        <v>6966.2978783621311</v>
      </c>
      <c r="G245" s="12">
        <v>12239.495992968374</v>
      </c>
      <c r="H245" s="35">
        <v>0.6966297878362131</v>
      </c>
      <c r="I245" s="35">
        <v>1.2239495992968374</v>
      </c>
      <c r="J245" s="12">
        <v>1.9713056678739946E-2</v>
      </c>
      <c r="K245" s="12">
        <v>1.8332831357952855</v>
      </c>
      <c r="L245" s="25"/>
      <c r="T245" s="47"/>
      <c r="U245" s="36"/>
    </row>
    <row r="246" spans="1:21" x14ac:dyDescent="0.3">
      <c r="A246" s="10">
        <f t="shared" si="5"/>
        <v>234</v>
      </c>
      <c r="B246" s="13">
        <v>-1.5820066298751327</v>
      </c>
      <c r="C246" s="13">
        <v>0.44482403066837822</v>
      </c>
      <c r="D246" s="16">
        <v>-3.6092585096203382E-2</v>
      </c>
      <c r="E246" s="16">
        <v>8.5370181044627409E-3</v>
      </c>
      <c r="F246" s="12">
        <v>6719.3494894551777</v>
      </c>
      <c r="G246" s="12">
        <v>12344.43207514958</v>
      </c>
      <c r="H246" s="35">
        <v>0.67193494894551775</v>
      </c>
      <c r="I246" s="35">
        <v>1.2344432075149581</v>
      </c>
      <c r="J246" s="12">
        <v>-0.1243920190339264</v>
      </c>
      <c r="K246" s="12">
        <v>1.8888063656942757</v>
      </c>
      <c r="L246" s="25"/>
      <c r="T246" s="47"/>
      <c r="U246" s="36"/>
    </row>
    <row r="247" spans="1:21" x14ac:dyDescent="0.3">
      <c r="A247" s="10">
        <f t="shared" si="5"/>
        <v>235</v>
      </c>
      <c r="B247" s="13">
        <v>-0.3133862977666762</v>
      </c>
      <c r="C247" s="13">
        <v>-0.33356906877244374</v>
      </c>
      <c r="D247" s="16">
        <v>-7.3229801797535686E-3</v>
      </c>
      <c r="E247" s="16">
        <v>-6.6635703394526714E-3</v>
      </c>
      <c r="F247" s="12">
        <v>6670.3235533908064</v>
      </c>
      <c r="G247" s="12">
        <v>12262.447541932348</v>
      </c>
      <c r="H247" s="35">
        <v>0.66703235533908067</v>
      </c>
      <c r="I247" s="35">
        <v>1.2262447541932349</v>
      </c>
      <c r="J247" s="12">
        <v>-0.15300077513762592</v>
      </c>
      <c r="K247" s="12">
        <v>1.8454271391083128</v>
      </c>
      <c r="L247" s="25"/>
      <c r="T247" s="47"/>
      <c r="U247" s="36"/>
    </row>
    <row r="248" spans="1:21" x14ac:dyDescent="0.3">
      <c r="A248" s="10">
        <f t="shared" si="5"/>
        <v>236</v>
      </c>
      <c r="B248" s="13">
        <v>0.5333368467752404</v>
      </c>
      <c r="C248" s="13">
        <v>-0.88443814168798995</v>
      </c>
      <c r="D248" s="16">
        <v>1.1878895846936502E-2</v>
      </c>
      <c r="E248" s="16">
        <v>-1.7421032179602315E-2</v>
      </c>
      <c r="F248" s="12">
        <v>6750.032119733818</v>
      </c>
      <c r="G248" s="12">
        <v>12050.673069619628</v>
      </c>
      <c r="H248" s="35">
        <v>0.67500321197338176</v>
      </c>
      <c r="I248" s="35">
        <v>1.2050673069619628</v>
      </c>
      <c r="J248" s="12">
        <v>-0.10648737596685549</v>
      </c>
      <c r="K248" s="12">
        <v>1.7333741400964777</v>
      </c>
      <c r="L248" s="25"/>
      <c r="T248" s="47"/>
      <c r="U248" s="36"/>
    </row>
    <row r="249" spans="1:21" x14ac:dyDescent="0.3">
      <c r="A249" s="10">
        <f t="shared" si="5"/>
        <v>237</v>
      </c>
      <c r="B249" s="13">
        <v>-1.0835769554361501</v>
      </c>
      <c r="C249" s="13">
        <v>-1.7439154624066109</v>
      </c>
      <c r="D249" s="16">
        <v>-2.4789262542313936E-2</v>
      </c>
      <c r="E249" s="16">
        <v>-3.4205046630023446E-2</v>
      </c>
      <c r="F249" s="12">
        <v>6584.7607424190874</v>
      </c>
      <c r="G249" s="12">
        <v>11645.44909587664</v>
      </c>
      <c r="H249" s="35">
        <v>0.65847607424190868</v>
      </c>
      <c r="I249" s="35">
        <v>1.1645449095876641</v>
      </c>
      <c r="J249" s="12">
        <v>-0.20293037948873555</v>
      </c>
      <c r="K249" s="12">
        <v>1.5189641546363573</v>
      </c>
      <c r="L249" s="25"/>
      <c r="T249" s="47"/>
      <c r="U249" s="36"/>
    </row>
    <row r="250" spans="1:21" x14ac:dyDescent="0.3">
      <c r="A250" s="10">
        <f t="shared" si="5"/>
        <v>238</v>
      </c>
      <c r="B250" s="13">
        <v>-1.4335503670796648</v>
      </c>
      <c r="C250" s="13">
        <v>-1.1270899229402069</v>
      </c>
      <c r="D250" s="16">
        <v>-3.2725913508258882E-2</v>
      </c>
      <c r="E250" s="16">
        <v>-2.2159576065265779E-2</v>
      </c>
      <c r="F250" s="12">
        <v>6372.7563710453187</v>
      </c>
      <c r="G250" s="12">
        <v>11390.229107852683</v>
      </c>
      <c r="H250" s="35">
        <v>0.63727563710453183</v>
      </c>
      <c r="I250" s="35">
        <v>1.1390229107852683</v>
      </c>
      <c r="J250" s="12">
        <v>-0.32664410818912532</v>
      </c>
      <c r="K250" s="12">
        <v>1.3839234920223142</v>
      </c>
      <c r="L250" s="25"/>
      <c r="T250" s="47"/>
      <c r="U250" s="36"/>
    </row>
    <row r="251" spans="1:21" x14ac:dyDescent="0.3">
      <c r="A251" s="10">
        <f t="shared" si="5"/>
        <v>239</v>
      </c>
      <c r="B251" s="13">
        <v>-1.2596702321000366</v>
      </c>
      <c r="C251" s="13">
        <v>0.16874533325115179</v>
      </c>
      <c r="D251" s="16">
        <v>-2.8782682693197968E-2</v>
      </c>
      <c r="E251" s="16">
        <v>3.145707903246653E-3</v>
      </c>
      <c r="F251" s="12">
        <v>6191.9459336797036</v>
      </c>
      <c r="G251" s="12">
        <v>11426.115856598582</v>
      </c>
      <c r="H251" s="35">
        <v>0.61919459336797034</v>
      </c>
      <c r="I251" s="35">
        <v>1.1426115856598582</v>
      </c>
      <c r="J251" s="12">
        <v>-0.43215482596112786</v>
      </c>
      <c r="K251" s="12">
        <v>1.4029117004586182</v>
      </c>
      <c r="L251" s="25"/>
      <c r="T251" s="47"/>
      <c r="U251" s="36"/>
    </row>
    <row r="252" spans="1:21" x14ac:dyDescent="0.3">
      <c r="A252" s="10">
        <f t="shared" si="5"/>
        <v>240</v>
      </c>
      <c r="B252" s="13">
        <v>-0.68655515672360401</v>
      </c>
      <c r="C252" s="13">
        <v>-0.61271133079334483</v>
      </c>
      <c r="D252" s="16">
        <v>-1.5785654446900159E-2</v>
      </c>
      <c r="E252" s="16">
        <v>-1.2114706334018236E-2</v>
      </c>
      <c r="F252" s="12">
        <v>6094.9694472330366</v>
      </c>
      <c r="G252" s="12">
        <v>11288.526925980601</v>
      </c>
      <c r="H252" s="35">
        <v>0.60949694472330362</v>
      </c>
      <c r="I252" s="35">
        <v>1.1288526925980602</v>
      </c>
      <c r="J252" s="12">
        <v>-0.48874480406789256</v>
      </c>
      <c r="K252" s="12">
        <v>1.3301113665080277</v>
      </c>
      <c r="L252" s="25"/>
      <c r="T252" s="47"/>
      <c r="U252" s="36"/>
    </row>
    <row r="253" spans="1:21" x14ac:dyDescent="0.3">
      <c r="A253" s="10">
        <f t="shared" si="5"/>
        <v>241</v>
      </c>
      <c r="B253" s="13">
        <v>-1.8016389733071188</v>
      </c>
      <c r="C253" s="13">
        <v>-1.4704594933736272</v>
      </c>
      <c r="D253" s="16">
        <v>-4.1073378472666518E-2</v>
      </c>
      <c r="E253" s="16">
        <v>-2.8864953499973187E-2</v>
      </c>
      <c r="F253" s="12">
        <v>5849.6999637982526</v>
      </c>
      <c r="G253" s="12">
        <v>10967.34191660832</v>
      </c>
      <c r="H253" s="35">
        <v>0.58496999637982527</v>
      </c>
      <c r="I253" s="35">
        <v>1.096734191660832</v>
      </c>
      <c r="J253" s="12">
        <v>-0.6318701657550807</v>
      </c>
      <c r="K253" s="12">
        <v>1.1601676374798018</v>
      </c>
      <c r="L253" s="25"/>
      <c r="T253" s="47"/>
      <c r="U253" s="36"/>
    </row>
    <row r="254" spans="1:21" x14ac:dyDescent="0.3">
      <c r="A254" s="10">
        <f t="shared" si="5"/>
        <v>242</v>
      </c>
      <c r="B254" s="13">
        <v>-0.75983695245941063</v>
      </c>
      <c r="C254" s="13">
        <v>-0.46131364014836285</v>
      </c>
      <c r="D254" s="16">
        <v>-1.7447529365287397E-2</v>
      </c>
      <c r="E254" s="16">
        <v>-9.1581873354469306E-3</v>
      </c>
      <c r="F254" s="12">
        <v>5748.5223681003799</v>
      </c>
      <c r="G254" s="12">
        <v>10867.359472553522</v>
      </c>
      <c r="H254" s="35">
        <v>0.57485223681003794</v>
      </c>
      <c r="I254" s="35">
        <v>1.0867359472553522</v>
      </c>
      <c r="J254" s="12">
        <v>-0.69091167298257317</v>
      </c>
      <c r="K254" s="12">
        <v>1.1072654506273203</v>
      </c>
      <c r="L254" s="25"/>
      <c r="T254" s="47"/>
      <c r="U254" s="36"/>
    </row>
    <row r="255" spans="1:21" x14ac:dyDescent="0.3">
      <c r="A255" s="10">
        <f t="shared" si="5"/>
        <v>243</v>
      </c>
      <c r="B255" s="13">
        <v>-1.0526980648362159</v>
      </c>
      <c r="C255" s="13">
        <v>-1.0485655409544259</v>
      </c>
      <c r="D255" s="16">
        <v>-2.4088995125551113E-2</v>
      </c>
      <c r="E255" s="16">
        <v>-2.0626139021391512E-2</v>
      </c>
      <c r="F255" s="12">
        <v>5611.7008039591274</v>
      </c>
      <c r="G255" s="12">
        <v>10645.503684864241</v>
      </c>
      <c r="H255" s="35">
        <v>0.56117008039591276</v>
      </c>
      <c r="I255" s="35">
        <v>1.0645503684864241</v>
      </c>
      <c r="J255" s="12">
        <v>-0.77075297888042049</v>
      </c>
      <c r="K255" s="12">
        <v>0.9898782788533419</v>
      </c>
      <c r="L255" s="25"/>
      <c r="T255" s="47"/>
      <c r="U255" s="36"/>
    </row>
    <row r="256" spans="1:21" x14ac:dyDescent="0.3">
      <c r="A256" s="10">
        <f t="shared" si="5"/>
        <v>244</v>
      </c>
      <c r="B256" s="13">
        <v>-1.8181863910782969</v>
      </c>
      <c r="C256" s="13">
        <v>-1.6773540623913714</v>
      </c>
      <c r="D256" s="16">
        <v>-4.1448638634919328E-2</v>
      </c>
      <c r="E256" s="16">
        <v>-3.2905224665248436E-2</v>
      </c>
      <c r="F256" s="12">
        <v>5383.8579516060299</v>
      </c>
      <c r="G256" s="12">
        <v>10300.911527429731</v>
      </c>
      <c r="H256" s="35">
        <v>0.53838579516060303</v>
      </c>
      <c r="I256" s="35">
        <v>1.030091152742973</v>
      </c>
      <c r="J256" s="12">
        <v>-0.90370914690508453</v>
      </c>
      <c r="K256" s="12">
        <v>0.80754948230473111</v>
      </c>
      <c r="L256" s="25"/>
      <c r="T256" s="47"/>
      <c r="U256" s="36"/>
    </row>
    <row r="257" spans="1:21" x14ac:dyDescent="0.3">
      <c r="A257" s="10">
        <f t="shared" si="5"/>
        <v>245</v>
      </c>
      <c r="B257" s="13">
        <v>0.82694777409909215</v>
      </c>
      <c r="C257" s="13">
        <v>-1.3887033023060456</v>
      </c>
      <c r="D257" s="16">
        <v>1.8537365811879113E-2</v>
      </c>
      <c r="E257" s="16">
        <v>-2.7268405156914675E-2</v>
      </c>
      <c r="F257" s="12">
        <v>5484.5912765822259</v>
      </c>
      <c r="G257" s="12">
        <v>10023.817227838574</v>
      </c>
      <c r="H257" s="35">
        <v>0.54845912765822258</v>
      </c>
      <c r="I257" s="35">
        <v>1.0023817227838574</v>
      </c>
      <c r="J257" s="12">
        <v>-0.84492689087687112</v>
      </c>
      <c r="K257" s="12">
        <v>0.66093479858391058</v>
      </c>
      <c r="L257" s="25"/>
      <c r="T257" s="47"/>
      <c r="U257" s="36"/>
    </row>
    <row r="258" spans="1:21" x14ac:dyDescent="0.3">
      <c r="A258" s="10">
        <f t="shared" si="5"/>
        <v>246</v>
      </c>
      <c r="B258" s="13">
        <v>-1.6485728385303282</v>
      </c>
      <c r="C258" s="13">
        <v>-1.2245728267593856</v>
      </c>
      <c r="D258" s="16">
        <v>-3.7602164814678374E-2</v>
      </c>
      <c r="E258" s="16">
        <v>-2.4063238241019407E-2</v>
      </c>
      <c r="F258" s="12">
        <v>5282.1880197564287</v>
      </c>
      <c r="G258" s="12">
        <v>9785.4906799789587</v>
      </c>
      <c r="H258" s="35">
        <v>0.52821880197564286</v>
      </c>
      <c r="I258" s="35">
        <v>0.97854906799789587</v>
      </c>
      <c r="J258" s="12">
        <v>-0.96303795359111943</v>
      </c>
      <c r="K258" s="12">
        <v>0.53483270450161313</v>
      </c>
      <c r="L258" s="25"/>
      <c r="T258" s="47"/>
      <c r="U258" s="36"/>
    </row>
    <row r="259" spans="1:21" x14ac:dyDescent="0.3">
      <c r="A259" s="10">
        <f t="shared" si="5"/>
        <v>247</v>
      </c>
      <c r="B259" s="13">
        <v>-0.13102485100380504</v>
      </c>
      <c r="C259" s="13">
        <v>0.55032082808503235</v>
      </c>
      <c r="D259" s="16">
        <v>-3.1874112923778392E-3</v>
      </c>
      <c r="E259" s="16">
        <v>1.0597176912182996E-2</v>
      </c>
      <c r="F259" s="12">
        <v>5265.3783179620932</v>
      </c>
      <c r="G259" s="12">
        <v>9889.7406580117713</v>
      </c>
      <c r="H259" s="35">
        <v>0.52653783179620928</v>
      </c>
      <c r="I259" s="35">
        <v>0.98897406580117708</v>
      </c>
      <c r="J259" s="12">
        <v>-0.97284714230663183</v>
      </c>
      <c r="K259" s="12">
        <v>0.58999290656905068</v>
      </c>
      <c r="L259" s="25"/>
      <c r="T259" s="47"/>
      <c r="U259" s="36"/>
    </row>
    <row r="260" spans="1:21" x14ac:dyDescent="0.3">
      <c r="A260" s="10">
        <f t="shared" si="5"/>
        <v>248</v>
      </c>
      <c r="B260" s="13">
        <v>0.15791351154610569</v>
      </c>
      <c r="C260" s="13">
        <v>4.4568372705912351E-2</v>
      </c>
      <c r="D260" s="16">
        <v>3.3650948636217226E-3</v>
      </c>
      <c r="E260" s="16">
        <v>7.2075979820758679E-4</v>
      </c>
      <c r="F260" s="12">
        <v>5283.126661175871</v>
      </c>
      <c r="G260" s="12">
        <v>9896.8713549439108</v>
      </c>
      <c r="H260" s="35">
        <v>0.52831266611758709</v>
      </c>
      <c r="I260" s="35">
        <v>0.98968713549439102</v>
      </c>
      <c r="J260" s="12">
        <v>-0.96249021568760651</v>
      </c>
      <c r="K260" s="12">
        <v>0.59376586356223748</v>
      </c>
      <c r="L260" s="25"/>
      <c r="T260" s="47"/>
      <c r="U260" s="36"/>
    </row>
    <row r="261" spans="1:21" x14ac:dyDescent="0.3">
      <c r="A261" s="10">
        <f t="shared" si="5"/>
        <v>249</v>
      </c>
      <c r="B261" s="13">
        <v>1.1317633472172022</v>
      </c>
      <c r="C261" s="13">
        <v>-1.0974061150738799</v>
      </c>
      <c r="D261" s="16">
        <v>2.5449933259394632E-2</v>
      </c>
      <c r="E261" s="16">
        <v>-2.1579905784082098E-2</v>
      </c>
      <c r="F261" s="12">
        <v>5419.3074275440285</v>
      </c>
      <c r="G261" s="12">
        <v>9685.5857645570795</v>
      </c>
      <c r="H261" s="35">
        <v>0.54193074275440289</v>
      </c>
      <c r="I261" s="35">
        <v>0.96855857645570798</v>
      </c>
      <c r="J261" s="12">
        <v>-0.88302284303150702</v>
      </c>
      <c r="K261" s="12">
        <v>0.48197153919310248</v>
      </c>
      <c r="L261" s="25"/>
      <c r="T261" s="47"/>
      <c r="U261" s="36"/>
    </row>
    <row r="262" spans="1:21" x14ac:dyDescent="0.3">
      <c r="A262" s="10">
        <f t="shared" si="5"/>
        <v>250</v>
      </c>
      <c r="B262" s="13">
        <v>0.30184897334118266</v>
      </c>
      <c r="C262" s="13">
        <v>1.0572794904092924</v>
      </c>
      <c r="D262" s="16">
        <v>6.6292443215046843E-3</v>
      </c>
      <c r="E262" s="16">
        <v>2.0497149033730334E-2</v>
      </c>
      <c r="F262" s="12">
        <v>5455.3526849372201</v>
      </c>
      <c r="G262" s="12">
        <v>9886.1612499425701</v>
      </c>
      <c r="H262" s="35">
        <v>0.54553526849372203</v>
      </c>
      <c r="I262" s="35">
        <v>0.988616124994257</v>
      </c>
      <c r="J262" s="12">
        <v>-0.861988874886505</v>
      </c>
      <c r="K262" s="12">
        <v>0.58809898892892598</v>
      </c>
      <c r="L262" s="25"/>
      <c r="T262" s="47"/>
      <c r="U262" s="36"/>
    </row>
    <row r="263" spans="1:21" x14ac:dyDescent="0.3">
      <c r="A263" s="10">
        <f t="shared" si="5"/>
        <v>251</v>
      </c>
      <c r="B263" s="13">
        <v>0.23599367130950585</v>
      </c>
      <c r="C263" s="13">
        <v>2.4009693096374405</v>
      </c>
      <c r="D263" s="16">
        <v>5.1357864498687116E-3</v>
      </c>
      <c r="E263" s="16">
        <v>4.6736944778372591E-2</v>
      </c>
      <c r="F263" s="12">
        <v>5483.4422806767534</v>
      </c>
      <c r="G263" s="12">
        <v>10359.177797115068</v>
      </c>
      <c r="H263" s="35">
        <v>0.54834422806767535</v>
      </c>
      <c r="I263" s="35">
        <v>1.0359177797115067</v>
      </c>
      <c r="J263" s="12">
        <v>-0.84559737972956028</v>
      </c>
      <c r="K263" s="12">
        <v>0.83837902558336264</v>
      </c>
      <c r="L263" s="25"/>
      <c r="T263" s="47"/>
      <c r="U263" s="36"/>
    </row>
    <row r="264" spans="1:21" x14ac:dyDescent="0.3">
      <c r="A264" s="10">
        <f t="shared" si="5"/>
        <v>252</v>
      </c>
      <c r="B264" s="13">
        <v>-1.3340450068465646</v>
      </c>
      <c r="C264" s="13">
        <v>-0.52520005703423034</v>
      </c>
      <c r="D264" s="16">
        <v>-3.0469344045733055E-2</v>
      </c>
      <c r="E264" s="16">
        <v>-1.0405771789800523E-2</v>
      </c>
      <c r="F264" s="12">
        <v>5318.8850967798262</v>
      </c>
      <c r="G264" s="12">
        <v>10251.941463066378</v>
      </c>
      <c r="H264" s="35">
        <v>0.53188850967798262</v>
      </c>
      <c r="I264" s="35">
        <v>1.0251941463066379</v>
      </c>
      <c r="J264" s="12">
        <v>-0.94162362047359183</v>
      </c>
      <c r="K264" s="12">
        <v>0.78163869847043832</v>
      </c>
      <c r="L264" s="25"/>
      <c r="T264" s="47"/>
      <c r="U264" s="36"/>
    </row>
    <row r="265" spans="1:21" x14ac:dyDescent="0.3">
      <c r="A265" s="10">
        <f t="shared" si="5"/>
        <v>253</v>
      </c>
      <c r="B265" s="13">
        <v>0.26341686282790006</v>
      </c>
      <c r="C265" s="13">
        <v>0.54039472957078671</v>
      </c>
      <c r="D265" s="16">
        <v>5.7576859776975698E-3</v>
      </c>
      <c r="E265" s="16">
        <v>1.0403338428160979E-2</v>
      </c>
      <c r="F265" s="12">
        <v>5349.597899408559</v>
      </c>
      <c r="G265" s="12">
        <v>10359.15258951987</v>
      </c>
      <c r="H265" s="35">
        <v>0.53495978994085591</v>
      </c>
      <c r="I265" s="35">
        <v>1.0359152589519871</v>
      </c>
      <c r="J265" s="12">
        <v>-0.92370137053403334</v>
      </c>
      <c r="K265" s="12">
        <v>0.83836568787268906</v>
      </c>
      <c r="L265" s="25"/>
      <c r="T265" s="47"/>
      <c r="U265" s="36"/>
    </row>
    <row r="266" spans="1:21" x14ac:dyDescent="0.3">
      <c r="A266" s="10">
        <f t="shared" si="5"/>
        <v>254</v>
      </c>
      <c r="B266" s="13">
        <v>-2.282196426124635</v>
      </c>
      <c r="C266" s="13">
        <v>0.36470283937646197</v>
      </c>
      <c r="D266" s="16">
        <v>-5.1971397136956261E-2</v>
      </c>
      <c r="E266" s="16">
        <v>6.9723983058808427E-3</v>
      </c>
      <c r="F266" s="12">
        <v>5078.6729744206896</v>
      </c>
      <c r="G266" s="12">
        <v>10431.633115400837</v>
      </c>
      <c r="H266" s="35">
        <v>0.50786729744206893</v>
      </c>
      <c r="I266" s="35">
        <v>1.0431633115400836</v>
      </c>
      <c r="J266" s="12">
        <v>-1.081797793031998</v>
      </c>
      <c r="K266" s="12">
        <v>0.87671620390147775</v>
      </c>
      <c r="L266" s="25"/>
      <c r="T266" s="47"/>
      <c r="U266" s="36"/>
    </row>
    <row r="267" spans="1:21" x14ac:dyDescent="0.3">
      <c r="A267" s="10">
        <f t="shared" si="5"/>
        <v>255</v>
      </c>
      <c r="B267" s="13">
        <v>-0.50281404315327927</v>
      </c>
      <c r="C267" s="13">
        <v>-0.49413616445357489</v>
      </c>
      <c r="D267" s="16">
        <v>-1.1618797657255979E-2</v>
      </c>
      <c r="E267" s="16">
        <v>-9.7991509873759514E-3</v>
      </c>
      <c r="F267" s="12">
        <v>5020.0063783981432</v>
      </c>
      <c r="G267" s="12">
        <v>10329.911175753015</v>
      </c>
      <c r="H267" s="35">
        <v>0.5020006378398143</v>
      </c>
      <c r="I267" s="35">
        <v>1.0329911175753015</v>
      </c>
      <c r="J267" s="12">
        <v>-1.116032291580676</v>
      </c>
      <c r="K267" s="12">
        <v>0.82289362425643031</v>
      </c>
      <c r="L267" s="25"/>
      <c r="T267" s="47"/>
      <c r="U267" s="36"/>
    </row>
    <row r="268" spans="1:21" x14ac:dyDescent="0.3">
      <c r="A268" s="10">
        <f t="shared" si="5"/>
        <v>256</v>
      </c>
      <c r="B268" s="13">
        <v>-1.0560713126689489</v>
      </c>
      <c r="C268" s="13">
        <v>-0.11859900091822426</v>
      </c>
      <c r="D268" s="16">
        <v>-2.4165493195916821E-2</v>
      </c>
      <c r="E268" s="16">
        <v>-2.4655995049733142E-3</v>
      </c>
      <c r="F268" s="12">
        <v>4900.1494816191362</v>
      </c>
      <c r="G268" s="12">
        <v>10304.473124781476</v>
      </c>
      <c r="H268" s="35">
        <v>0.4900149481619136</v>
      </c>
      <c r="I268" s="35">
        <v>1.0304473124781477</v>
      </c>
      <c r="J268" s="12">
        <v>-1.1859739796454314</v>
      </c>
      <c r="K268" s="12">
        <v>0.80943397603137035</v>
      </c>
      <c r="L268" s="25"/>
      <c r="T268" s="47"/>
      <c r="U268" s="36"/>
    </row>
    <row r="269" spans="1:21" x14ac:dyDescent="0.3">
      <c r="A269" s="10">
        <f t="shared" si="5"/>
        <v>257</v>
      </c>
      <c r="B269" s="13">
        <v>0.60386648584284219</v>
      </c>
      <c r="C269" s="13">
        <v>-1.0737789217204718</v>
      </c>
      <c r="D269" s="16">
        <v>1.347835771863953E-2</v>
      </c>
      <c r="E269" s="16">
        <v>-2.1118510067049186E-2</v>
      </c>
      <c r="F269" s="12">
        <v>4966.6425512713422</v>
      </c>
      <c r="G269" s="12">
        <v>10089.139768199997</v>
      </c>
      <c r="H269" s="35">
        <v>0.49666425512713425</v>
      </c>
      <c r="I269" s="35">
        <v>1.0089139768199997</v>
      </c>
      <c r="J269" s="12">
        <v>-1.1471723949134527</v>
      </c>
      <c r="K269" s="12">
        <v>0.69549791882514789</v>
      </c>
      <c r="L269" s="25"/>
      <c r="T269" s="47"/>
      <c r="U269" s="36"/>
    </row>
    <row r="270" spans="1:21" x14ac:dyDescent="0.3">
      <c r="A270" s="10">
        <f t="shared" si="5"/>
        <v>258</v>
      </c>
      <c r="B270" s="13">
        <v>0.92946687302153119</v>
      </c>
      <c r="C270" s="13">
        <v>4.5334843985243768E-2</v>
      </c>
      <c r="D270" s="16">
        <v>2.0862280443735143E-2</v>
      </c>
      <c r="E270" s="16">
        <v>7.3572757538799575E-4</v>
      </c>
      <c r="F270" s="12">
        <v>5071.3464242848513</v>
      </c>
      <c r="G270" s="12">
        <v>10096.565357809974</v>
      </c>
      <c r="H270" s="35">
        <v>0.50713464242848516</v>
      </c>
      <c r="I270" s="35">
        <v>1.0096565357809975</v>
      </c>
      <c r="J270" s="12">
        <v>-1.0860731522141769</v>
      </c>
      <c r="K270" s="12">
        <v>0.69942690788668282</v>
      </c>
      <c r="L270" s="25"/>
      <c r="T270" s="47"/>
      <c r="U270" s="36"/>
    </row>
    <row r="271" spans="1:21" x14ac:dyDescent="0.3">
      <c r="A271" s="10">
        <f t="shared" si="5"/>
        <v>259</v>
      </c>
      <c r="B271" s="13">
        <v>1.710349639308766</v>
      </c>
      <c r="C271" s="13">
        <v>-0.96950185063707028</v>
      </c>
      <c r="D271" s="16">
        <v>3.8571037038239671E-2</v>
      </c>
      <c r="E271" s="16">
        <v>-1.9082170275735034E-2</v>
      </c>
      <c r="F271" s="12">
        <v>5270.7748721312964</v>
      </c>
      <c r="G271" s="12">
        <v>9905.7275688106874</v>
      </c>
      <c r="H271" s="35">
        <v>0.52707748721312964</v>
      </c>
      <c r="I271" s="35">
        <v>0.99057275688106872</v>
      </c>
      <c r="J271" s="12">
        <v>-0.96969801932355559</v>
      </c>
      <c r="K271" s="12">
        <v>0.59845181703351857</v>
      </c>
      <c r="L271" s="25"/>
      <c r="T271" s="47"/>
      <c r="U271" s="36"/>
    </row>
    <row r="272" spans="1:21" x14ac:dyDescent="0.3">
      <c r="A272" s="10">
        <f t="shared" si="5"/>
        <v>260</v>
      </c>
      <c r="B272" s="13">
        <v>-2.1115804903730231</v>
      </c>
      <c r="C272" s="13">
        <v>-8.3137442091094638E-3</v>
      </c>
      <c r="D272" s="16">
        <v>-4.8102191402356213E-2</v>
      </c>
      <c r="E272" s="16">
        <v>-3.1193087678133881E-4</v>
      </c>
      <c r="F272" s="12">
        <v>5023.240256511318</v>
      </c>
      <c r="G272" s="12">
        <v>9902.6381483928508</v>
      </c>
      <c r="H272" s="35">
        <v>0.50232402565113177</v>
      </c>
      <c r="I272" s="35">
        <v>0.99026381483928505</v>
      </c>
      <c r="J272" s="12">
        <v>-1.1141451837019516</v>
      </c>
      <c r="K272" s="12">
        <v>0.59681715909176347</v>
      </c>
      <c r="L272" s="25"/>
      <c r="T272" s="47"/>
      <c r="U272" s="36"/>
    </row>
    <row r="273" spans="1:21" x14ac:dyDescent="0.3">
      <c r="A273" s="10">
        <f t="shared" si="5"/>
        <v>261</v>
      </c>
      <c r="B273" s="13">
        <v>1.0989887323611109</v>
      </c>
      <c r="C273" s="13">
        <v>-1.748887280071832</v>
      </c>
      <c r="D273" s="16">
        <v>2.4706674857464857E-2</v>
      </c>
      <c r="E273" s="16">
        <v>-3.4302137102949666E-2</v>
      </c>
      <c r="F273" s="12">
        <v>5148.8936675330015</v>
      </c>
      <c r="G273" s="12">
        <v>9568.716353941847</v>
      </c>
      <c r="H273" s="35">
        <v>0.5148893667533001</v>
      </c>
      <c r="I273" s="35">
        <v>0.95687163539418474</v>
      </c>
      <c r="J273" s="12">
        <v>-1.0408209786363456</v>
      </c>
      <c r="K273" s="12">
        <v>0.420134209088251</v>
      </c>
      <c r="L273" s="25"/>
      <c r="T273" s="47"/>
      <c r="U273" s="36"/>
    </row>
    <row r="274" spans="1:21" x14ac:dyDescent="0.3">
      <c r="A274" s="10">
        <f t="shared" si="5"/>
        <v>262</v>
      </c>
      <c r="B274" s="13">
        <v>0.43369604747223545</v>
      </c>
      <c r="C274" s="13">
        <v>0.82243262093711123</v>
      </c>
      <c r="D274" s="16">
        <v>9.6192549150097961E-3</v>
      </c>
      <c r="E274" s="16">
        <v>1.5911020748737816E-2</v>
      </c>
      <c r="F274" s="12">
        <v>5198.6611676376988</v>
      </c>
      <c r="G274" s="12">
        <v>9722.1820587866114</v>
      </c>
      <c r="H274" s="35">
        <v>0.51986611676376993</v>
      </c>
      <c r="I274" s="35">
        <v>0.97221820587866115</v>
      </c>
      <c r="J274" s="12">
        <v>-1.0117794878116382</v>
      </c>
      <c r="K274" s="12">
        <v>0.50133517861741972</v>
      </c>
      <c r="L274" s="25"/>
      <c r="T274" s="47"/>
      <c r="U274" s="36"/>
    </row>
    <row r="275" spans="1:21" x14ac:dyDescent="0.3">
      <c r="A275" s="10">
        <f t="shared" si="5"/>
        <v>263</v>
      </c>
      <c r="B275" s="13">
        <v>-1.683031671822069</v>
      </c>
      <c r="C275" s="13">
        <v>-0.50710243663071564</v>
      </c>
      <c r="D275" s="16">
        <v>-3.8383617700615914E-2</v>
      </c>
      <c r="E275" s="16">
        <v>-1.0052358482609523E-2</v>
      </c>
      <c r="F275" s="12">
        <v>5002.898812687703</v>
      </c>
      <c r="G275" s="12">
        <v>9624.9407704936912</v>
      </c>
      <c r="H275" s="35">
        <v>0.50028988126877028</v>
      </c>
      <c r="I275" s="35">
        <v>0.96249407704936907</v>
      </c>
      <c r="J275" s="12">
        <v>-1.1260152967862345</v>
      </c>
      <c r="K275" s="12">
        <v>0.44988337773697101</v>
      </c>
      <c r="L275" s="25"/>
      <c r="T275" s="47"/>
      <c r="U275" s="36"/>
    </row>
    <row r="276" spans="1:21" x14ac:dyDescent="0.3">
      <c r="A276" s="10">
        <f t="shared" si="5"/>
        <v>264</v>
      </c>
      <c r="B276" s="13">
        <v>-0.63135664828247628</v>
      </c>
      <c r="C276" s="13">
        <v>-0.22994670593340399</v>
      </c>
      <c r="D276" s="16">
        <v>-1.4533869937669388E-2</v>
      </c>
      <c r="E276" s="16">
        <v>-4.6400157983938614E-3</v>
      </c>
      <c r="F276" s="12">
        <v>4930.7131710597614</v>
      </c>
      <c r="G276" s="12">
        <v>9580.3843444610357</v>
      </c>
      <c r="H276" s="35">
        <v>0.49307131710597613</v>
      </c>
      <c r="I276" s="35">
        <v>0.95803843444610359</v>
      </c>
      <c r="J276" s="12">
        <v>-1.1681387437064787</v>
      </c>
      <c r="K276" s="12">
        <v>0.42630791508708404</v>
      </c>
      <c r="L276" s="25"/>
      <c r="T276" s="47"/>
      <c r="U276" s="36"/>
    </row>
    <row r="277" spans="1:21" x14ac:dyDescent="0.3">
      <c r="A277" s="10">
        <f t="shared" si="5"/>
        <v>265</v>
      </c>
      <c r="B277" s="13">
        <v>-1.8914124186801358</v>
      </c>
      <c r="C277" s="13">
        <v>0.91263434331880977</v>
      </c>
      <c r="D277" s="16">
        <v>-4.3109248850904613E-2</v>
      </c>
      <c r="E277" s="16">
        <v>1.767249481607152E-2</v>
      </c>
      <c r="F277" s="12">
        <v>4722.6703332202705</v>
      </c>
      <c r="G277" s="12">
        <v>9751.198548028493</v>
      </c>
      <c r="H277" s="35">
        <v>0.47226703332202707</v>
      </c>
      <c r="I277" s="35">
        <v>0.97511985480284924</v>
      </c>
      <c r="J277" s="12">
        <v>-1.2895407460885793</v>
      </c>
      <c r="K277" s="12">
        <v>0.51668823134771424</v>
      </c>
      <c r="L277" s="25"/>
      <c r="T277" s="47"/>
      <c r="U277" s="36"/>
    </row>
    <row r="278" spans="1:21" x14ac:dyDescent="0.3">
      <c r="A278" s="10">
        <f t="shared" si="5"/>
        <v>266</v>
      </c>
      <c r="B278" s="13">
        <v>0.44236456420712394</v>
      </c>
      <c r="C278" s="13">
        <v>0.71176413785227521</v>
      </c>
      <c r="D278" s="16">
        <v>9.8158383965782237E-3</v>
      </c>
      <c r="E278" s="16">
        <v>1.3749868412863468E-2</v>
      </c>
      <c r="F278" s="12">
        <v>4769.255564519889</v>
      </c>
      <c r="G278" s="12">
        <v>9886.2022596020943</v>
      </c>
      <c r="H278" s="35">
        <v>0.47692555645198892</v>
      </c>
      <c r="I278" s="35">
        <v>0.98862022596020938</v>
      </c>
      <c r="J278" s="12">
        <v>-1.2623562468770737</v>
      </c>
      <c r="K278" s="12">
        <v>0.58812068774506732</v>
      </c>
      <c r="L278" s="25"/>
      <c r="T278" s="47"/>
      <c r="U278" s="36"/>
    </row>
    <row r="279" spans="1:21" x14ac:dyDescent="0.3">
      <c r="A279" s="10">
        <f t="shared" si="5"/>
        <v>267</v>
      </c>
      <c r="B279" s="13">
        <v>0.59439332194414785</v>
      </c>
      <c r="C279" s="13">
        <v>-1.1633589460755662</v>
      </c>
      <c r="D279" s="16">
        <v>1.3263526554597527E-2</v>
      </c>
      <c r="E279" s="16">
        <v>-2.2867843513088081E-2</v>
      </c>
      <c r="F279" s="12">
        <v>4832.9340796534498</v>
      </c>
      <c r="G279" s="12">
        <v>9662.6914782862459</v>
      </c>
      <c r="H279" s="35">
        <v>0.48329340796534498</v>
      </c>
      <c r="I279" s="35">
        <v>0.96626914782862461</v>
      </c>
      <c r="J279" s="12">
        <v>-1.2251970765532314</v>
      </c>
      <c r="K279" s="12">
        <v>0.46985783441619156</v>
      </c>
      <c r="L279" s="25"/>
      <c r="T279" s="47"/>
      <c r="U279" s="36"/>
    </row>
    <row r="280" spans="1:21" x14ac:dyDescent="0.3">
      <c r="A280" s="10">
        <f t="shared" si="5"/>
        <v>268</v>
      </c>
      <c r="B280" s="13">
        <v>-0.81390710404350353</v>
      </c>
      <c r="C280" s="13">
        <v>0.13096560154104397</v>
      </c>
      <c r="D280" s="16">
        <v>-1.8673725146228039E-2</v>
      </c>
      <c r="E280" s="16">
        <v>2.4079390899575405E-3</v>
      </c>
      <c r="F280" s="12">
        <v>4743.5226177252998</v>
      </c>
      <c r="G280" s="12">
        <v>9685.9866862761774</v>
      </c>
      <c r="H280" s="35">
        <v>0.47435226177252998</v>
      </c>
      <c r="I280" s="35">
        <v>0.96859866862761779</v>
      </c>
      <c r="J280" s="12">
        <v>-1.2773725353515919</v>
      </c>
      <c r="K280" s="12">
        <v>0.4821836727921302</v>
      </c>
      <c r="L280" s="25"/>
      <c r="T280" s="47"/>
      <c r="U280" s="36"/>
    </row>
    <row r="281" spans="1:21" x14ac:dyDescent="0.3">
      <c r="A281" s="10">
        <f t="shared" si="5"/>
        <v>269</v>
      </c>
      <c r="B281" s="13">
        <v>-1.1390920123838679</v>
      </c>
      <c r="C281" s="13">
        <v>-0.31995619502360179</v>
      </c>
      <c r="D281" s="16">
        <v>-2.6048225696913219E-2</v>
      </c>
      <c r="E281" s="16">
        <v>-6.3977359024005248E-3</v>
      </c>
      <c r="F281" s="12">
        <v>4621.557651589631</v>
      </c>
      <c r="G281" s="12">
        <v>9624.216108120283</v>
      </c>
      <c r="H281" s="35">
        <v>0.46215576515896312</v>
      </c>
      <c r="I281" s="35">
        <v>0.96242161081202826</v>
      </c>
      <c r="J281" s="12">
        <v>-1.3485443731476086</v>
      </c>
      <c r="K281" s="12">
        <v>0.44949994817945799</v>
      </c>
      <c r="L281" s="25"/>
      <c r="T281" s="47"/>
      <c r="U281" s="36"/>
    </row>
    <row r="282" spans="1:21" x14ac:dyDescent="0.3">
      <c r="A282" s="10">
        <f t="shared" si="5"/>
        <v>270</v>
      </c>
      <c r="B282" s="13">
        <v>1.9803599877288416</v>
      </c>
      <c r="C282" s="13">
        <v>6.9821492573403476E-2</v>
      </c>
      <c r="D282" s="16">
        <v>4.4694296181097569E-2</v>
      </c>
      <c r="E282" s="16">
        <v>1.2139068755729352E-3</v>
      </c>
      <c r="F282" s="12">
        <v>4832.8004283428472</v>
      </c>
      <c r="G282" s="12">
        <v>9635.9061040736597</v>
      </c>
      <c r="H282" s="35">
        <v>0.48328004283428472</v>
      </c>
      <c r="I282" s="35">
        <v>0.96359061040736593</v>
      </c>
      <c r="J282" s="12">
        <v>-1.2252750678789441</v>
      </c>
      <c r="K282" s="12">
        <v>0.45568529757831183</v>
      </c>
      <c r="L282" s="25"/>
      <c r="T282" s="47"/>
      <c r="U282" s="36"/>
    </row>
    <row r="283" spans="1:21" x14ac:dyDescent="0.3">
      <c r="A283" s="10">
        <f t="shared" si="5"/>
        <v>271</v>
      </c>
      <c r="B283" s="13">
        <v>-0.59156790402752468</v>
      </c>
      <c r="C283" s="13">
        <v>2.3140417059481759</v>
      </c>
      <c r="D283" s="16">
        <v>-1.3631546032428086E-2</v>
      </c>
      <c r="E283" s="16">
        <v>4.5039408239256916E-2</v>
      </c>
      <c r="F283" s="12">
        <v>4767.3688667099386</v>
      </c>
      <c r="G283" s="12">
        <v>10079.823460593187</v>
      </c>
      <c r="H283" s="35">
        <v>0.47673688667099384</v>
      </c>
      <c r="I283" s="35">
        <v>1.0079823460593187</v>
      </c>
      <c r="J283" s="12">
        <v>-1.2634572167273055</v>
      </c>
      <c r="K283" s="12">
        <v>0.69056852296520521</v>
      </c>
      <c r="L283" s="25"/>
      <c r="T283" s="47"/>
      <c r="U283" s="36"/>
    </row>
    <row r="284" spans="1:21" x14ac:dyDescent="0.3">
      <c r="A284" s="10">
        <f t="shared" si="5"/>
        <v>272</v>
      </c>
      <c r="B284" s="13">
        <v>-0.15711691475320289</v>
      </c>
      <c r="C284" s="13">
        <v>0.71568836475004671</v>
      </c>
      <c r="D284" s="16">
        <v>-3.779123679863698E-3</v>
      </c>
      <c r="E284" s="16">
        <v>1.382650136101835E-2</v>
      </c>
      <c r="F284" s="12">
        <v>4749.3863905376757</v>
      </c>
      <c r="G284" s="12">
        <v>10220.160100060686</v>
      </c>
      <c r="H284" s="35">
        <v>0.47493863905376754</v>
      </c>
      <c r="I284" s="35">
        <v>1.0220160100060687</v>
      </c>
      <c r="J284" s="12">
        <v>-1.2739507700635921</v>
      </c>
      <c r="K284" s="12">
        <v>0.76482271022322001</v>
      </c>
      <c r="L284" s="25"/>
      <c r="T284" s="47"/>
      <c r="U284" s="36"/>
    </row>
    <row r="285" spans="1:21" x14ac:dyDescent="0.3">
      <c r="A285" s="10">
        <f t="shared" si="5"/>
        <v>273</v>
      </c>
      <c r="B285" s="13">
        <v>-0.11640227602401369</v>
      </c>
      <c r="C285" s="13">
        <v>-0.5311678896298011</v>
      </c>
      <c r="D285" s="16">
        <v>-2.8558024616013545E-3</v>
      </c>
      <c r="E285" s="16">
        <v>-1.052231260607012E-2</v>
      </c>
      <c r="F285" s="12">
        <v>4735.8424298355731</v>
      </c>
      <c r="G285" s="12">
        <v>10113.184184636406</v>
      </c>
      <c r="H285" s="35">
        <v>0.47358424298355728</v>
      </c>
      <c r="I285" s="35">
        <v>1.0113184184636406</v>
      </c>
      <c r="J285" s="12">
        <v>-1.2818542574727012</v>
      </c>
      <c r="K285" s="12">
        <v>0.70822017444815133</v>
      </c>
      <c r="L285" s="25"/>
      <c r="T285" s="47"/>
      <c r="U285" s="36"/>
    </row>
    <row r="286" spans="1:21" x14ac:dyDescent="0.3">
      <c r="A286" s="10">
        <f t="shared" si="5"/>
        <v>274</v>
      </c>
      <c r="B286" s="13">
        <v>-0.69898627401281843</v>
      </c>
      <c r="C286" s="13">
        <v>-0.30463920547593865</v>
      </c>
      <c r="D286" s="16">
        <v>-1.6067565688608187E-2</v>
      </c>
      <c r="E286" s="16">
        <v>-6.0986232118062237E-3</v>
      </c>
      <c r="F286" s="12">
        <v>4660.357027808659</v>
      </c>
      <c r="G286" s="12">
        <v>10051.695373947156</v>
      </c>
      <c r="H286" s="35">
        <v>0.46603570278086592</v>
      </c>
      <c r="I286" s="35">
        <v>1.0051695373947156</v>
      </c>
      <c r="J286" s="12">
        <v>-1.3259032574375809</v>
      </c>
      <c r="K286" s="12">
        <v>0.67568553716086177</v>
      </c>
      <c r="L286" s="25"/>
      <c r="T286" s="47"/>
      <c r="U286" s="36"/>
    </row>
    <row r="287" spans="1:21" x14ac:dyDescent="0.3">
      <c r="A287" s="10">
        <f t="shared" si="5"/>
        <v>275</v>
      </c>
      <c r="B287" s="13">
        <v>0.34244159534308399</v>
      </c>
      <c r="C287" s="13">
        <v>0.63747071471395311</v>
      </c>
      <c r="D287" s="16">
        <v>7.5497984604853685E-3</v>
      </c>
      <c r="E287" s="16">
        <v>1.2299054229096216E-2</v>
      </c>
      <c r="F287" s="12">
        <v>4695.6749379158837</v>
      </c>
      <c r="G287" s="12">
        <v>10176.085090381435</v>
      </c>
      <c r="H287" s="35">
        <v>0.46956749379158835</v>
      </c>
      <c r="I287" s="35">
        <v>1.0176085090381435</v>
      </c>
      <c r="J287" s="12">
        <v>-1.3052937279219523</v>
      </c>
      <c r="K287" s="12">
        <v>0.74150197207144297</v>
      </c>
      <c r="L287" s="25"/>
      <c r="T287" s="47"/>
      <c r="U287" s="36"/>
    </row>
    <row r="288" spans="1:21" x14ac:dyDescent="0.3">
      <c r="A288" s="10">
        <f t="shared" si="5"/>
        <v>276</v>
      </c>
      <c r="B288" s="13">
        <v>-0.50411754739205661</v>
      </c>
      <c r="C288" s="13">
        <v>-0.23991005756027195</v>
      </c>
      <c r="D288" s="16">
        <v>-1.1648358354816465E-2</v>
      </c>
      <c r="E288" s="16">
        <v>-4.834581767325024E-3</v>
      </c>
      <c r="F288" s="12">
        <v>4641.2953647684972</v>
      </c>
      <c r="G288" s="12">
        <v>10127.006707261951</v>
      </c>
      <c r="H288" s="35">
        <v>0.46412953647684974</v>
      </c>
      <c r="I288" s="35">
        <v>1.0127006707261952</v>
      </c>
      <c r="J288" s="12">
        <v>-1.337026563030989</v>
      </c>
      <c r="K288" s="12">
        <v>0.71553387518453737</v>
      </c>
      <c r="L288" s="25"/>
      <c r="T288" s="47"/>
      <c r="U288" s="36"/>
    </row>
    <row r="289" spans="1:21" x14ac:dyDescent="0.3">
      <c r="A289" s="10">
        <f t="shared" si="5"/>
        <v>277</v>
      </c>
      <c r="B289" s="13">
        <v>-0.86207457135886234</v>
      </c>
      <c r="C289" s="13">
        <v>-0.19552484958921218</v>
      </c>
      <c r="D289" s="16">
        <v>-1.9766060630230366E-2</v>
      </c>
      <c r="E289" s="16">
        <v>-3.9678201274153859E-3</v>
      </c>
      <c r="F289" s="12">
        <v>4550.4559652634289</v>
      </c>
      <c r="G289" s="12">
        <v>10086.904178641673</v>
      </c>
      <c r="H289" s="35">
        <v>0.45504559652634291</v>
      </c>
      <c r="I289" s="35">
        <v>1.0086904178641674</v>
      </c>
      <c r="J289" s="12">
        <v>-1.3900352852231526</v>
      </c>
      <c r="K289" s="12">
        <v>0.69431503539338169</v>
      </c>
      <c r="L289" s="25"/>
      <c r="T289" s="47"/>
      <c r="U289" s="36"/>
    </row>
    <row r="290" spans="1:21" x14ac:dyDescent="0.3">
      <c r="A290" s="10">
        <f t="shared" si="5"/>
        <v>278</v>
      </c>
      <c r="B290" s="13">
        <v>-1.0645524665557025</v>
      </c>
      <c r="C290" s="13">
        <v>-1.3819120312157263</v>
      </c>
      <c r="D290" s="16">
        <v>-2.4357827687475839E-2</v>
      </c>
      <c r="E290" s="16">
        <v>-2.7135784098314384E-2</v>
      </c>
      <c r="F290" s="12">
        <v>4440.9557504975819</v>
      </c>
      <c r="G290" s="12">
        <v>9816.868509318394</v>
      </c>
      <c r="H290" s="35">
        <v>0.44409557504975822</v>
      </c>
      <c r="I290" s="35">
        <v>0.98168685093183938</v>
      </c>
      <c r="J290" s="12">
        <v>-1.4539334009761211</v>
      </c>
      <c r="K290" s="12">
        <v>0.55143517713001067</v>
      </c>
      <c r="L290" s="25"/>
      <c r="T290" s="47"/>
      <c r="U290" s="36"/>
    </row>
    <row r="291" spans="1:21" x14ac:dyDescent="0.3">
      <c r="A291" s="10">
        <f t="shared" si="5"/>
        <v>279</v>
      </c>
      <c r="B291" s="13">
        <v>1.0961127249081544</v>
      </c>
      <c r="C291" s="13">
        <v>0.39298277237396856</v>
      </c>
      <c r="D291" s="16">
        <v>2.4641453138985216E-2</v>
      </c>
      <c r="E291" s="16">
        <v>7.5246534877746818E-3</v>
      </c>
      <c r="F291" s="12">
        <v>4551.7467734355223</v>
      </c>
      <c r="G291" s="12">
        <v>9891.0156591376381</v>
      </c>
      <c r="H291" s="35">
        <v>0.45517467734355221</v>
      </c>
      <c r="I291" s="35">
        <v>0.98910156591376386</v>
      </c>
      <c r="J291" s="12">
        <v>-1.3892820427736132</v>
      </c>
      <c r="K291" s="12">
        <v>0.59066752848328152</v>
      </c>
      <c r="L291" s="25"/>
      <c r="T291" s="47"/>
      <c r="U291" s="36"/>
    </row>
    <row r="292" spans="1:21" x14ac:dyDescent="0.3">
      <c r="A292" s="10">
        <f t="shared" si="5"/>
        <v>280</v>
      </c>
      <c r="B292" s="13">
        <v>-0.16107517539299607</v>
      </c>
      <c r="C292" s="13">
        <v>-0.88054944895506659</v>
      </c>
      <c r="D292" s="16">
        <v>-3.8688885936688541E-3</v>
      </c>
      <c r="E292" s="16">
        <v>-1.734509314846178E-2</v>
      </c>
      <c r="F292" s="12">
        <v>4534.1705943257339</v>
      </c>
      <c r="G292" s="12">
        <v>9720.9343731612098</v>
      </c>
      <c r="H292" s="35">
        <v>0.45341705943257338</v>
      </c>
      <c r="I292" s="35">
        <v>0.97209343731612097</v>
      </c>
      <c r="J292" s="12">
        <v>-1.3995385041847048</v>
      </c>
      <c r="K292" s="12">
        <v>0.50067500973765144</v>
      </c>
      <c r="L292" s="25"/>
      <c r="T292" s="47"/>
      <c r="U292" s="36"/>
    </row>
    <row r="293" spans="1:21" x14ac:dyDescent="0.3">
      <c r="A293" s="10">
        <f t="shared" si="5"/>
        <v>281</v>
      </c>
      <c r="B293" s="13">
        <v>1.4463585783451396</v>
      </c>
      <c r="C293" s="13">
        <v>0.53989368472129995</v>
      </c>
      <c r="D293" s="16">
        <v>3.2584282504063838E-2</v>
      </c>
      <c r="E293" s="16">
        <v>1.0393553941948982E-2</v>
      </c>
      <c r="F293" s="12">
        <v>4684.3466930671721</v>
      </c>
      <c r="G293" s="12">
        <v>9822.4963093906081</v>
      </c>
      <c r="H293" s="35">
        <v>0.46843466930671723</v>
      </c>
      <c r="I293" s="35">
        <v>0.98224963093906081</v>
      </c>
      <c r="J293" s="12">
        <v>-1.311904249208772</v>
      </c>
      <c r="K293" s="12">
        <v>0.55441292921242136</v>
      </c>
      <c r="L293" s="25"/>
      <c r="T293" s="47"/>
      <c r="U293" s="36"/>
    </row>
    <row r="294" spans="1:21" x14ac:dyDescent="0.3">
      <c r="A294" s="10">
        <f t="shared" si="5"/>
        <v>282</v>
      </c>
      <c r="B294" s="13">
        <v>1.1258556900341952</v>
      </c>
      <c r="C294" s="13">
        <v>8.8877388158921655E-3</v>
      </c>
      <c r="D294" s="16">
        <v>2.5315960187360965E-2</v>
      </c>
      <c r="E294" s="16">
        <v>2.3982512322293098E-5</v>
      </c>
      <c r="F294" s="12">
        <v>4804.4492690807538</v>
      </c>
      <c r="G294" s="12">
        <v>9822.7318803541657</v>
      </c>
      <c r="H294" s="35">
        <v>0.48044492690807539</v>
      </c>
      <c r="I294" s="35">
        <v>0.98227318803541652</v>
      </c>
      <c r="J294" s="12">
        <v>-1.2418191966748005</v>
      </c>
      <c r="K294" s="12">
        <v>0.55453757328617803</v>
      </c>
      <c r="L294" s="25"/>
      <c r="T294" s="47"/>
      <c r="U294" s="36"/>
    </row>
    <row r="295" spans="1:21" x14ac:dyDescent="0.3">
      <c r="A295" s="10">
        <f t="shared" si="5"/>
        <v>283</v>
      </c>
      <c r="B295" s="13">
        <v>0.45383542313807729</v>
      </c>
      <c r="C295" s="13">
        <v>-2.0918558373093661</v>
      </c>
      <c r="D295" s="16">
        <v>1.0075973025626283E-2</v>
      </c>
      <c r="E295" s="16">
        <v>-4.0999683486025673E-2</v>
      </c>
      <c r="F295" s="12">
        <v>4853.1034779318597</v>
      </c>
      <c r="G295" s="12">
        <v>9428.1471785707072</v>
      </c>
      <c r="H295" s="35">
        <v>0.48531034779318599</v>
      </c>
      <c r="I295" s="35">
        <v>0.94281471785707072</v>
      </c>
      <c r="J295" s="12">
        <v>-1.213427359492699</v>
      </c>
      <c r="K295" s="12">
        <v>0.34575698365147794</v>
      </c>
      <c r="L295" s="25"/>
      <c r="T295" s="47"/>
      <c r="U295" s="36"/>
    </row>
    <row r="296" spans="1:21" x14ac:dyDescent="0.3">
      <c r="A296" s="10">
        <f t="shared" si="5"/>
        <v>284</v>
      </c>
      <c r="B296" s="13">
        <v>-0.80776345677326078</v>
      </c>
      <c r="C296" s="13">
        <v>-0.28904403234060061</v>
      </c>
      <c r="D296" s="16">
        <v>-1.8534400322056926E-2</v>
      </c>
      <c r="E296" s="16">
        <v>-5.7940781063676294E-3</v>
      </c>
      <c r="F296" s="12">
        <v>4763.9825678296065</v>
      </c>
      <c r="G296" s="12">
        <v>9373.6777099817882</v>
      </c>
      <c r="H296" s="35">
        <v>0.47639825678296066</v>
      </c>
      <c r="I296" s="35">
        <v>0.93736777099817881</v>
      </c>
      <c r="J296" s="12">
        <v>-1.2654332687222016</v>
      </c>
      <c r="K296" s="12">
        <v>0.31693638387231032</v>
      </c>
      <c r="L296" s="25"/>
      <c r="T296" s="47"/>
      <c r="U296" s="36"/>
    </row>
    <row r="297" spans="1:21" x14ac:dyDescent="0.3">
      <c r="A297" s="10">
        <f t="shared" si="5"/>
        <v>285</v>
      </c>
      <c r="B297" s="13">
        <v>-1.1959024385436405</v>
      </c>
      <c r="C297" s="13">
        <v>2.3453780882336468</v>
      </c>
      <c r="D297" s="16">
        <v>-2.7336565064007706E-2</v>
      </c>
      <c r="E297" s="16">
        <v>4.5651350265445007E-2</v>
      </c>
      <c r="F297" s="12">
        <v>4635.5155716519557</v>
      </c>
      <c r="G297" s="12">
        <v>9811.5166875938448</v>
      </c>
      <c r="H297" s="35">
        <v>0.46355155716519558</v>
      </c>
      <c r="I297" s="35">
        <v>0.98115166875938453</v>
      </c>
      <c r="J297" s="12">
        <v>-1.3403993225308559</v>
      </c>
      <c r="K297" s="12">
        <v>0.54860344926468574</v>
      </c>
      <c r="L297" s="25"/>
      <c r="T297" s="47"/>
      <c r="U297" s="36"/>
    </row>
    <row r="298" spans="1:21" x14ac:dyDescent="0.3">
      <c r="A298" s="10">
        <f t="shared" si="5"/>
        <v>286</v>
      </c>
      <c r="B298" s="13">
        <v>0.32362507722478251</v>
      </c>
      <c r="C298" s="13">
        <v>-0.30914660053390003</v>
      </c>
      <c r="D298" s="16">
        <v>7.1230799392182241E-3</v>
      </c>
      <c r="E298" s="16">
        <v>-6.1866443636887734E-3</v>
      </c>
      <c r="F298" s="12">
        <v>4668.6525983639394</v>
      </c>
      <c r="G298" s="12">
        <v>9751.0037023477653</v>
      </c>
      <c r="H298" s="35">
        <v>0.46686525983639393</v>
      </c>
      <c r="I298" s="35">
        <v>0.97510037023477658</v>
      </c>
      <c r="J298" s="12">
        <v>-1.3210624328902343</v>
      </c>
      <c r="K298" s="12">
        <v>0.51658513562219255</v>
      </c>
      <c r="L298" s="25"/>
      <c r="T298" s="47"/>
      <c r="U298" s="36"/>
    </row>
    <row r="299" spans="1:21" x14ac:dyDescent="0.3">
      <c r="A299" s="10">
        <f t="shared" si="5"/>
        <v>287</v>
      </c>
      <c r="B299" s="13">
        <v>1.3964574190226744</v>
      </c>
      <c r="C299" s="13">
        <v>1.3537258779040546</v>
      </c>
      <c r="D299" s="16">
        <v>3.1452630580911939E-2</v>
      </c>
      <c r="E299" s="16">
        <v>2.6286202836019262E-2</v>
      </c>
      <c r="F299" s="12">
        <v>4817.8276805859205</v>
      </c>
      <c r="G299" s="12">
        <v>10010.719074665196</v>
      </c>
      <c r="H299" s="35">
        <v>0.48178276805859205</v>
      </c>
      <c r="I299" s="35">
        <v>1.0010719074665195</v>
      </c>
      <c r="J299" s="12">
        <v>-1.2340123143889894</v>
      </c>
      <c r="K299" s="12">
        <v>0.65400437241608578</v>
      </c>
      <c r="L299" s="25"/>
      <c r="T299" s="47"/>
      <c r="U299" s="36"/>
    </row>
    <row r="300" spans="1:21" x14ac:dyDescent="0.3">
      <c r="A300" s="10">
        <f t="shared" si="5"/>
        <v>288</v>
      </c>
      <c r="B300" s="13">
        <v>-0.58653758799667077</v>
      </c>
      <c r="C300" s="13">
        <v>0.3132212725424931</v>
      </c>
      <c r="D300" s="16">
        <v>-1.3517469187567792E-2</v>
      </c>
      <c r="E300" s="16">
        <v>5.9670578031795077E-3</v>
      </c>
      <c r="F300" s="12">
        <v>4753.141028247237</v>
      </c>
      <c r="G300" s="12">
        <v>10070.632188771651</v>
      </c>
      <c r="H300" s="35">
        <v>0.47531410282472369</v>
      </c>
      <c r="I300" s="35">
        <v>1.0070632188771651</v>
      </c>
      <c r="J300" s="12">
        <v>-1.2717597764158715</v>
      </c>
      <c r="K300" s="12">
        <v>0.68570528538473241</v>
      </c>
      <c r="L300" s="25"/>
      <c r="T300" s="47"/>
      <c r="U300" s="36"/>
    </row>
    <row r="301" spans="1:21" x14ac:dyDescent="0.3">
      <c r="A301" s="10">
        <f t="shared" si="5"/>
        <v>289</v>
      </c>
      <c r="B301" s="13">
        <v>0.31060708117246116</v>
      </c>
      <c r="C301" s="13">
        <v>-0.22243334695147246</v>
      </c>
      <c r="D301" s="16">
        <v>6.8278595381651144E-3</v>
      </c>
      <c r="E301" s="16">
        <v>-4.4932936887068916E-3</v>
      </c>
      <c r="F301" s="12">
        <v>4785.7058550715719</v>
      </c>
      <c r="G301" s="12">
        <v>10025.483390084308</v>
      </c>
      <c r="H301" s="35">
        <v>0.4785705855071572</v>
      </c>
      <c r="I301" s="35">
        <v>1.0025483390084309</v>
      </c>
      <c r="J301" s="12">
        <v>-1.252756790181129</v>
      </c>
      <c r="K301" s="12">
        <v>0.66181638962005351</v>
      </c>
      <c r="L301" s="25"/>
      <c r="T301" s="47"/>
      <c r="U301" s="36"/>
    </row>
    <row r="302" spans="1:21" x14ac:dyDescent="0.3">
      <c r="A302" s="10">
        <f t="shared" si="5"/>
        <v>290</v>
      </c>
      <c r="B302" s="13">
        <v>-1.0996711382572968</v>
      </c>
      <c r="C302" s="13">
        <v>-1.1075926909894058</v>
      </c>
      <c r="D302" s="16">
        <v>-2.5154244302024467E-2</v>
      </c>
      <c r="E302" s="16">
        <v>-2.1778830913628911E-2</v>
      </c>
      <c r="F302" s="12">
        <v>4666.8264695940597</v>
      </c>
      <c r="G302" s="12">
        <v>9809.5005463897523</v>
      </c>
      <c r="H302" s="35">
        <v>0.46668264695940598</v>
      </c>
      <c r="I302" s="35">
        <v>0.98095005463897522</v>
      </c>
      <c r="J302" s="12">
        <v>-1.3221280580834553</v>
      </c>
      <c r="K302" s="12">
        <v>0.54753667919611815</v>
      </c>
      <c r="L302" s="25"/>
      <c r="T302" s="47"/>
      <c r="U302" s="36"/>
    </row>
    <row r="303" spans="1:21" x14ac:dyDescent="0.3">
      <c r="A303" s="10">
        <f t="shared" si="5"/>
        <v>291</v>
      </c>
      <c r="B303" s="13">
        <v>-1.3705113367390127</v>
      </c>
      <c r="C303" s="13">
        <v>-0.78092630279311182</v>
      </c>
      <c r="D303" s="16">
        <v>-3.1296322675355842E-2</v>
      </c>
      <c r="E303" s="16">
        <v>-1.5399635968299517E-2</v>
      </c>
      <c r="F303" s="12">
        <v>4523.0337899857759</v>
      </c>
      <c r="G303" s="12">
        <v>9659.5950167189785</v>
      </c>
      <c r="H303" s="35">
        <v>0.45230337899857759</v>
      </c>
      <c r="I303" s="35">
        <v>0.96595950167189781</v>
      </c>
      <c r="J303" s="12">
        <v>-1.4060373116469049</v>
      </c>
      <c r="K303" s="12">
        <v>0.46821945089834788</v>
      </c>
      <c r="L303" s="25"/>
      <c r="T303" s="47"/>
      <c r="U303" s="36"/>
    </row>
    <row r="304" spans="1:21" x14ac:dyDescent="0.3">
      <c r="A304" s="10">
        <f t="shared" si="5"/>
        <v>292</v>
      </c>
      <c r="B304" s="13">
        <v>-1.5551739890609102</v>
      </c>
      <c r="C304" s="13">
        <v>-1.282024400529064</v>
      </c>
      <c r="D304" s="16">
        <v>-3.5484077999515772E-2</v>
      </c>
      <c r="E304" s="16">
        <v>-2.5185162020862111E-2</v>
      </c>
      <c r="F304" s="12">
        <v>4365.3522429929535</v>
      </c>
      <c r="G304" s="12">
        <v>9419.3544977903512</v>
      </c>
      <c r="H304" s="35">
        <v>0.43653522429929537</v>
      </c>
      <c r="I304" s="35">
        <v>0.94193544977903509</v>
      </c>
      <c r="J304" s="12">
        <v>-1.4980513206002197</v>
      </c>
      <c r="K304" s="12">
        <v>0.34110464647394634</v>
      </c>
      <c r="L304" s="25"/>
      <c r="T304" s="47"/>
      <c r="U304" s="36"/>
    </row>
    <row r="305" spans="1:21" x14ac:dyDescent="0.3">
      <c r="A305" s="10">
        <f t="shared" si="5"/>
        <v>293</v>
      </c>
      <c r="B305" s="13">
        <v>-0.86782210157911455</v>
      </c>
      <c r="C305" s="13">
        <v>-1.2217292480511761</v>
      </c>
      <c r="D305" s="16">
        <v>-1.9896402364078501E-2</v>
      </c>
      <c r="E305" s="16">
        <v>-2.4007708368410791E-2</v>
      </c>
      <c r="F305" s="12">
        <v>4279.3557852777476</v>
      </c>
      <c r="G305" s="12">
        <v>9195.9103055988944</v>
      </c>
      <c r="H305" s="35">
        <v>0.42793557852777475</v>
      </c>
      <c r="I305" s="35">
        <v>0.91959103055988944</v>
      </c>
      <c r="J305" s="12">
        <v>-1.5482339765994058</v>
      </c>
      <c r="K305" s="12">
        <v>0.22287702643361648</v>
      </c>
      <c r="L305" s="25"/>
      <c r="T305" s="47"/>
      <c r="U305" s="36"/>
    </row>
    <row r="306" spans="1:21" x14ac:dyDescent="0.3">
      <c r="A306" s="10">
        <f t="shared" ref="A306:A369" si="6">A305+1</f>
        <v>294</v>
      </c>
      <c r="B306" s="13">
        <v>-1.1111629679510855</v>
      </c>
      <c r="C306" s="13">
        <v>-1.2559265291266137</v>
      </c>
      <c r="D306" s="16">
        <v>-2.5414854503271946E-2</v>
      </c>
      <c r="E306" s="16">
        <v>-2.4675518496612144E-2</v>
      </c>
      <c r="F306" s="12">
        <v>4171.9669961250374</v>
      </c>
      <c r="G306" s="12">
        <v>8971.7731733613928</v>
      </c>
      <c r="H306" s="35">
        <v>0.41719669961250372</v>
      </c>
      <c r="I306" s="35">
        <v>0.89717731733613926</v>
      </c>
      <c r="J306" s="12">
        <v>-1.6108999841001621</v>
      </c>
      <c r="K306" s="12">
        <v>0.10428276158739112</v>
      </c>
      <c r="L306" s="25"/>
      <c r="T306" s="47"/>
      <c r="U306" s="36"/>
    </row>
    <row r="307" spans="1:21" x14ac:dyDescent="0.3">
      <c r="A307" s="10">
        <f t="shared" si="6"/>
        <v>295</v>
      </c>
      <c r="B307" s="13">
        <v>0.86335998625154653</v>
      </c>
      <c r="C307" s="13">
        <v>0.70129692746098971</v>
      </c>
      <c r="D307" s="16">
        <v>1.9363117166517268E-2</v>
      </c>
      <c r="E307" s="16">
        <v>1.3545463007126822E-2</v>
      </c>
      <c r="F307" s="12">
        <v>4253.5364528034288</v>
      </c>
      <c r="G307" s="12">
        <v>9094.1267924231761</v>
      </c>
      <c r="H307" s="35">
        <v>0.42535364528034286</v>
      </c>
      <c r="I307" s="35">
        <v>0.90941267924231761</v>
      </c>
      <c r="J307" s="12">
        <v>-1.5633006748578184</v>
      </c>
      <c r="K307" s="12">
        <v>0.16902186732615671</v>
      </c>
      <c r="L307" s="25"/>
      <c r="T307" s="47"/>
      <c r="U307" s="36"/>
    </row>
    <row r="308" spans="1:21" x14ac:dyDescent="0.3">
      <c r="A308" s="10">
        <f t="shared" si="6"/>
        <v>296</v>
      </c>
      <c r="B308" s="13">
        <v>-0.72141282130254858</v>
      </c>
      <c r="C308" s="13">
        <v>-0.5376690404053851</v>
      </c>
      <c r="D308" s="16">
        <v>-1.6576151976274951E-2</v>
      </c>
      <c r="E308" s="16">
        <v>-1.0649268147457222E-2</v>
      </c>
      <c r="F308" s="12">
        <v>4183.6103401790424</v>
      </c>
      <c r="G308" s="12">
        <v>8997.7948404283798</v>
      </c>
      <c r="H308" s="35">
        <v>0.41836103401790425</v>
      </c>
      <c r="I308" s="35">
        <v>0.89977948404283803</v>
      </c>
      <c r="J308" s="12">
        <v>-1.6041055887859121</v>
      </c>
      <c r="K308" s="12">
        <v>0.11805120970250543</v>
      </c>
      <c r="L308" s="25"/>
      <c r="T308" s="47"/>
      <c r="U308" s="36"/>
    </row>
    <row r="309" spans="1:21" x14ac:dyDescent="0.3">
      <c r="A309" s="10">
        <f t="shared" si="6"/>
        <v>297</v>
      </c>
      <c r="B309" s="13">
        <v>1.8440775593574916</v>
      </c>
      <c r="C309" s="13">
        <v>-0.46011636996645211</v>
      </c>
      <c r="D309" s="16">
        <v>4.160370120790987E-2</v>
      </c>
      <c r="E309" s="16">
        <v>-9.1348068464568929E-3</v>
      </c>
      <c r="F309" s="12">
        <v>4361.3353905450867</v>
      </c>
      <c r="G309" s="12">
        <v>8915.9759911542387</v>
      </c>
      <c r="H309" s="35">
        <v>0.43613353905450869</v>
      </c>
      <c r="I309" s="35">
        <v>0.89159759911542391</v>
      </c>
      <c r="J309" s="12">
        <v>-1.5003953278994313</v>
      </c>
      <c r="K309" s="12">
        <v>7.4759648936264078E-2</v>
      </c>
      <c r="L309" s="25"/>
      <c r="T309" s="47"/>
      <c r="U309" s="36"/>
    </row>
    <row r="310" spans="1:21" x14ac:dyDescent="0.3">
      <c r="A310" s="10">
        <f t="shared" si="6"/>
        <v>298</v>
      </c>
      <c r="B310" s="13">
        <v>1.1352495679404304</v>
      </c>
      <c r="C310" s="13">
        <v>-2.2319603321212038</v>
      </c>
      <c r="D310" s="16">
        <v>2.5528993314101561E-2</v>
      </c>
      <c r="E310" s="16">
        <v>-4.3735667099327656E-2</v>
      </c>
      <c r="F310" s="12">
        <v>4474.1092696009582</v>
      </c>
      <c r="G310" s="12">
        <v>8534.4341430701334</v>
      </c>
      <c r="H310" s="35">
        <v>0.44741092696009582</v>
      </c>
      <c r="I310" s="35">
        <v>0.85344341430701331</v>
      </c>
      <c r="J310" s="12">
        <v>-1.4345868873111403</v>
      </c>
      <c r="K310" s="12">
        <v>-0.12711977429851695</v>
      </c>
      <c r="L310" s="25"/>
      <c r="T310" s="47"/>
      <c r="U310" s="36"/>
    </row>
    <row r="311" spans="1:21" x14ac:dyDescent="0.3">
      <c r="A311" s="10">
        <f t="shared" si="6"/>
        <v>299</v>
      </c>
      <c r="B311" s="13">
        <v>-0.3772769715691161</v>
      </c>
      <c r="C311" s="13">
        <v>2.3479019870382909</v>
      </c>
      <c r="D311" s="16">
        <v>-8.7718844709901884E-3</v>
      </c>
      <c r="E311" s="16">
        <v>4.5700637376329012E-2</v>
      </c>
      <c r="F311" s="12">
        <v>4435.034530081115</v>
      </c>
      <c r="G311" s="12">
        <v>8933.5128430210098</v>
      </c>
      <c r="H311" s="35">
        <v>0.4435034530081115</v>
      </c>
      <c r="I311" s="35">
        <v>0.89335128430210098</v>
      </c>
      <c r="J311" s="12">
        <v>-1.4573886894281054</v>
      </c>
      <c r="K311" s="12">
        <v>8.4038656096278447E-2</v>
      </c>
      <c r="L311" s="25"/>
      <c r="T311" s="47"/>
      <c r="U311" s="36"/>
    </row>
    <row r="312" spans="1:21" x14ac:dyDescent="0.3">
      <c r="A312" s="10">
        <f t="shared" si="6"/>
        <v>300</v>
      </c>
      <c r="B312" s="13">
        <v>-0.66621311405261885</v>
      </c>
      <c r="C312" s="13">
        <v>-0.38125335179875786</v>
      </c>
      <c r="D312" s="16">
        <v>-1.5324340280615953E-2</v>
      </c>
      <c r="E312" s="16">
        <v>-7.5947568595372932E-3</v>
      </c>
      <c r="F312" s="12">
        <v>4367.5886534526735</v>
      </c>
      <c r="G312" s="12">
        <v>8865.9219780576877</v>
      </c>
      <c r="H312" s="35">
        <v>0.43675886534526737</v>
      </c>
      <c r="I312" s="35">
        <v>0.88659219780576881</v>
      </c>
      <c r="J312" s="12">
        <v>-1.4967462782792349</v>
      </c>
      <c r="K312" s="12">
        <v>4.8275331828562654E-2</v>
      </c>
      <c r="L312" s="25"/>
      <c r="T312" s="47"/>
      <c r="U312" s="36"/>
    </row>
    <row r="313" spans="1:21" x14ac:dyDescent="0.3">
      <c r="A313" s="10">
        <f t="shared" si="6"/>
        <v>301</v>
      </c>
      <c r="B313" s="13">
        <v>1.9727879153284196</v>
      </c>
      <c r="C313" s="13">
        <v>-0.6232565868363259</v>
      </c>
      <c r="D313" s="16">
        <v>4.4522577719832777E-2</v>
      </c>
      <c r="E313" s="16">
        <v>-1.2320635828074925E-2</v>
      </c>
      <c r="F313" s="12">
        <v>4566.4387720202449</v>
      </c>
      <c r="G313" s="12">
        <v>8757.3583419075385</v>
      </c>
      <c r="H313" s="35">
        <v>0.45664387720202448</v>
      </c>
      <c r="I313" s="35">
        <v>0.87573583419075385</v>
      </c>
      <c r="J313" s="12">
        <v>-1.3807086255596237</v>
      </c>
      <c r="K313" s="12">
        <v>-9.1672904167212268E-3</v>
      </c>
      <c r="L313" s="25"/>
      <c r="T313" s="47"/>
      <c r="U313" s="36"/>
    </row>
    <row r="314" spans="1:21" x14ac:dyDescent="0.3">
      <c r="A314" s="10">
        <f t="shared" si="6"/>
        <v>302</v>
      </c>
      <c r="B314" s="13">
        <v>0.30456343000737268</v>
      </c>
      <c r="C314" s="13">
        <v>4.6839765012840762E-2</v>
      </c>
      <c r="D314" s="16">
        <v>6.6908024125052583E-3</v>
      </c>
      <c r="E314" s="16">
        <v>7.6511592068233291E-4</v>
      </c>
      <c r="F314" s="12">
        <v>4597.0943524256063</v>
      </c>
      <c r="G314" s="12">
        <v>8764.0613001410875</v>
      </c>
      <c r="H314" s="35">
        <v>0.45970943524256064</v>
      </c>
      <c r="I314" s="35">
        <v>0.87640613001410872</v>
      </c>
      <c r="J314" s="12">
        <v>-1.3628197672646427</v>
      </c>
      <c r="K314" s="12">
        <v>-5.6206562822201855E-3</v>
      </c>
      <c r="L314" s="25"/>
      <c r="T314" s="47"/>
      <c r="U314" s="36"/>
    </row>
    <row r="315" spans="1:21" x14ac:dyDescent="0.3">
      <c r="A315" s="10">
        <f t="shared" si="6"/>
        <v>303</v>
      </c>
      <c r="B315" s="13">
        <v>-1.086077467573854</v>
      </c>
      <c r="C315" s="13">
        <v>-0.627411138934312</v>
      </c>
      <c r="D315" s="16">
        <v>-2.4845968827456762E-2</v>
      </c>
      <c r="E315" s="16">
        <v>-1.2401766604614001E-2</v>
      </c>
      <c r="F315" s="12">
        <v>4484.282354525827</v>
      </c>
      <c r="G315" s="12">
        <v>8656.042652884109</v>
      </c>
      <c r="H315" s="35">
        <v>0.4484282354525827</v>
      </c>
      <c r="I315" s="35">
        <v>0.86560426528841095</v>
      </c>
      <c r="J315" s="12">
        <v>-1.428650451848579</v>
      </c>
      <c r="K315" s="12">
        <v>-6.2774916860297333E-2</v>
      </c>
      <c r="L315" s="25"/>
      <c r="T315" s="47"/>
      <c r="U315" s="36"/>
    </row>
    <row r="316" spans="1:21" x14ac:dyDescent="0.3">
      <c r="A316" s="10">
        <f t="shared" si="6"/>
        <v>304</v>
      </c>
      <c r="B316" s="13">
        <v>0.93559925929181786</v>
      </c>
      <c r="C316" s="13">
        <v>0.49470164512669856</v>
      </c>
      <c r="D316" s="16">
        <v>2.1001349892431416E-2</v>
      </c>
      <c r="E316" s="16">
        <v>9.5110363614203906E-3</v>
      </c>
      <c r="F316" s="12">
        <v>4579.4542079772355</v>
      </c>
      <c r="G316" s="12">
        <v>8738.7633454853585</v>
      </c>
      <c r="H316" s="35">
        <v>0.45794542079772355</v>
      </c>
      <c r="I316" s="35">
        <v>0.87387633454853586</v>
      </c>
      <c r="J316" s="12">
        <v>-1.3731135552199578</v>
      </c>
      <c r="K316" s="12">
        <v>-1.9006177478816198E-2</v>
      </c>
      <c r="L316" s="25"/>
      <c r="T316" s="47"/>
      <c r="U316" s="36"/>
    </row>
    <row r="317" spans="1:21" x14ac:dyDescent="0.3">
      <c r="A317" s="10">
        <f t="shared" si="6"/>
        <v>305</v>
      </c>
      <c r="B317" s="13">
        <v>0.35347597493952515</v>
      </c>
      <c r="C317" s="13">
        <v>-0.78647005584754492</v>
      </c>
      <c r="D317" s="16">
        <v>7.8000346686345279E-3</v>
      </c>
      <c r="E317" s="16">
        <v>-1.5507895289554643E-2</v>
      </c>
      <c r="F317" s="12">
        <v>4615.3137807086705</v>
      </c>
      <c r="G317" s="12">
        <v>8604.2889212312948</v>
      </c>
      <c r="H317" s="35">
        <v>0.46153137807086703</v>
      </c>
      <c r="I317" s="35">
        <v>0.86042889212312945</v>
      </c>
      <c r="J317" s="12">
        <v>-1.3521879421136729</v>
      </c>
      <c r="K317" s="12">
        <v>-9.0158580143321121E-2</v>
      </c>
      <c r="L317" s="25"/>
      <c r="T317" s="47"/>
      <c r="U317" s="36"/>
    </row>
    <row r="318" spans="1:21" x14ac:dyDescent="0.3">
      <c r="A318" s="10">
        <f t="shared" si="6"/>
        <v>306</v>
      </c>
      <c r="B318" s="13">
        <v>-0.99323121222141819</v>
      </c>
      <c r="C318" s="13">
        <v>0.62268645001935463</v>
      </c>
      <c r="D318" s="16">
        <v>-2.2740413668946951E-2</v>
      </c>
      <c r="E318" s="16">
        <v>1.2010344677033203E-2</v>
      </c>
      <c r="F318" s="12">
        <v>4511.5439918884413</v>
      </c>
      <c r="G318" s="12">
        <v>8708.2524661689349</v>
      </c>
      <c r="H318" s="35">
        <v>0.45115439918884415</v>
      </c>
      <c r="I318" s="35">
        <v>0.87082524661689353</v>
      </c>
      <c r="J318" s="12">
        <v>-1.4127421062481911</v>
      </c>
      <c r="K318" s="12">
        <v>-3.5149934054183603E-2</v>
      </c>
      <c r="L318" s="25"/>
      <c r="T318" s="47"/>
      <c r="U318" s="36"/>
    </row>
    <row r="319" spans="1:21" x14ac:dyDescent="0.3">
      <c r="A319" s="10">
        <f t="shared" si="6"/>
        <v>307</v>
      </c>
      <c r="B319" s="13">
        <v>-0.7841765052319335</v>
      </c>
      <c r="C319" s="13">
        <v>3.7082434445348174</v>
      </c>
      <c r="D319" s="16">
        <v>-1.7999498539504211E-2</v>
      </c>
      <c r="E319" s="16">
        <v>7.2265609051251734E-2</v>
      </c>
      <c r="F319" s="12">
        <v>4431.0649266064984</v>
      </c>
      <c r="G319" s="12">
        <v>9360.8560481527948</v>
      </c>
      <c r="H319" s="35">
        <v>0.44310649266064983</v>
      </c>
      <c r="I319" s="35">
        <v>0.93608560481527947</v>
      </c>
      <c r="J319" s="12">
        <v>-1.459705124905943</v>
      </c>
      <c r="K319" s="12">
        <v>0.31015225335570701</v>
      </c>
      <c r="L319" s="25"/>
      <c r="T319" s="47"/>
      <c r="U319" s="36"/>
    </row>
    <row r="320" spans="1:21" x14ac:dyDescent="0.3">
      <c r="A320" s="10">
        <f t="shared" si="6"/>
        <v>308</v>
      </c>
      <c r="B320" s="13">
        <v>-0.17077583705405694</v>
      </c>
      <c r="C320" s="13">
        <v>-0.76895000421462378</v>
      </c>
      <c r="D320" s="16">
        <v>-4.088878922022675E-3</v>
      </c>
      <c r="E320" s="16">
        <v>-1.5165760840290516E-2</v>
      </c>
      <c r="F320" s="12">
        <v>4412.9838295257305</v>
      </c>
      <c r="G320" s="12">
        <v>9219.9626225152351</v>
      </c>
      <c r="H320" s="35">
        <v>0.44129838295257307</v>
      </c>
      <c r="I320" s="35">
        <v>0.92199626225152354</v>
      </c>
      <c r="J320" s="12">
        <v>-1.470256227811797</v>
      </c>
      <c r="K320" s="12">
        <v>0.23560346231715992</v>
      </c>
      <c r="L320" s="25"/>
      <c r="T320" s="47"/>
      <c r="U320" s="36"/>
    </row>
    <row r="321" spans="1:21" x14ac:dyDescent="0.3">
      <c r="A321" s="10">
        <f t="shared" si="6"/>
        <v>309</v>
      </c>
      <c r="B321" s="13">
        <v>-0.62607956443872703</v>
      </c>
      <c r="C321" s="13">
        <v>0.86484390902097175</v>
      </c>
      <c r="D321" s="16">
        <v>-1.4414196924827696E-2</v>
      </c>
      <c r="E321" s="16">
        <v>1.6739235356501191E-2</v>
      </c>
      <c r="F321" s="12">
        <v>4349.8304575899829</v>
      </c>
      <c r="G321" s="12">
        <v>9375.5967105815525</v>
      </c>
      <c r="H321" s="35">
        <v>0.43498304575899827</v>
      </c>
      <c r="I321" s="35">
        <v>0.9375596710581553</v>
      </c>
      <c r="J321" s="12">
        <v>-1.5071089543454377</v>
      </c>
      <c r="K321" s="12">
        <v>0.31795175541336923</v>
      </c>
      <c r="L321" s="25"/>
      <c r="T321" s="47"/>
      <c r="U321" s="36"/>
    </row>
    <row r="322" spans="1:21" x14ac:dyDescent="0.3">
      <c r="A322" s="10">
        <f t="shared" si="6"/>
        <v>310</v>
      </c>
      <c r="B322" s="13">
        <v>-0.54427834322869162</v>
      </c>
      <c r="C322" s="13">
        <v>1.1631317385653723</v>
      </c>
      <c r="D322" s="16">
        <v>-1.2559119596857961E-2</v>
      </c>
      <c r="E322" s="16">
        <v>2.2564249141939993E-2</v>
      </c>
      <c r="F322" s="12">
        <v>4295.5420376075799</v>
      </c>
      <c r="G322" s="12">
        <v>9589.5548349204437</v>
      </c>
      <c r="H322" s="35">
        <v>0.42955420376075798</v>
      </c>
      <c r="I322" s="35">
        <v>0.9589554834920444</v>
      </c>
      <c r="J322" s="12">
        <v>-1.5387885976365421</v>
      </c>
      <c r="K322" s="12">
        <v>0.43116015694213017</v>
      </c>
      <c r="L322" s="25"/>
      <c r="T322" s="47"/>
      <c r="U322" s="36"/>
    </row>
    <row r="323" spans="1:21" x14ac:dyDescent="0.3">
      <c r="A323" s="10">
        <f t="shared" si="6"/>
        <v>311</v>
      </c>
      <c r="B323" s="13">
        <v>0.77242725456511674</v>
      </c>
      <c r="C323" s="13">
        <v>-2.3738689368258958</v>
      </c>
      <c r="D323" s="16">
        <v>1.7300956645848214E-2</v>
      </c>
      <c r="E323" s="16">
        <v>-4.6506881667282979E-2</v>
      </c>
      <c r="F323" s="12">
        <v>4370.5056252084005</v>
      </c>
      <c r="G323" s="12">
        <v>9153.7862035296857</v>
      </c>
      <c r="H323" s="35">
        <v>0.43705056252084007</v>
      </c>
      <c r="I323" s="35">
        <v>0.91537862035296857</v>
      </c>
      <c r="J323" s="12">
        <v>-1.4950440989794578</v>
      </c>
      <c r="K323" s="12">
        <v>0.20058854229297168</v>
      </c>
      <c r="L323" s="25"/>
      <c r="T323" s="47"/>
      <c r="U323" s="36"/>
    </row>
    <row r="324" spans="1:21" x14ac:dyDescent="0.3">
      <c r="A324" s="10">
        <f t="shared" si="6"/>
        <v>312</v>
      </c>
      <c r="B324" s="13">
        <v>0.90809403855422677</v>
      </c>
      <c r="C324" s="13">
        <v>-0.30050427448297617</v>
      </c>
      <c r="D324" s="16">
        <v>2.037759011676625E-2</v>
      </c>
      <c r="E324" s="16">
        <v>-6.0178755994325208E-3</v>
      </c>
      <c r="F324" s="12">
        <v>4460.4796105141995</v>
      </c>
      <c r="G324" s="12">
        <v>9098.8652762928905</v>
      </c>
      <c r="H324" s="35">
        <v>0.44604796105141997</v>
      </c>
      <c r="I324" s="35">
        <v>0.90988652762928901</v>
      </c>
      <c r="J324" s="12">
        <v>-1.4425403834377144</v>
      </c>
      <c r="K324" s="12">
        <v>0.17152906907985369</v>
      </c>
      <c r="L324" s="25"/>
      <c r="T324" s="47"/>
      <c r="U324" s="36"/>
    </row>
    <row r="325" spans="1:21" x14ac:dyDescent="0.3">
      <c r="A325" s="10">
        <f t="shared" si="6"/>
        <v>313</v>
      </c>
      <c r="B325" s="13">
        <v>0.15069509726663094</v>
      </c>
      <c r="C325" s="13">
        <v>-8.574134320175103E-2</v>
      </c>
      <c r="D325" s="16">
        <v>3.2013966146754854E-3</v>
      </c>
      <c r="E325" s="16">
        <v>-1.8239497620118883E-3</v>
      </c>
      <c r="F325" s="12">
        <v>4474.782256845323</v>
      </c>
      <c r="G325" s="12">
        <v>9082.2845289594188</v>
      </c>
      <c r="H325" s="35">
        <v>0.44747822568453227</v>
      </c>
      <c r="I325" s="35">
        <v>0.9082284528959419</v>
      </c>
      <c r="J325" s="12">
        <v>-1.4341941701193734</v>
      </c>
      <c r="K325" s="12">
        <v>0.16275595094014958</v>
      </c>
      <c r="L325" s="25"/>
      <c r="T325" s="47"/>
      <c r="U325" s="36"/>
    </row>
    <row r="326" spans="1:21" x14ac:dyDescent="0.3">
      <c r="A326" s="10">
        <f t="shared" si="6"/>
        <v>314</v>
      </c>
      <c r="B326" s="13">
        <v>-0.43144875486348749</v>
      </c>
      <c r="C326" s="13">
        <v>-0.21300027898769791</v>
      </c>
      <c r="D326" s="16">
        <v>-1.0000385042479815E-2</v>
      </c>
      <c r="E326" s="16">
        <v>-4.3090831863478304E-3</v>
      </c>
      <c r="F326" s="12">
        <v>4430.2557236164612</v>
      </c>
      <c r="G326" s="12">
        <v>9043.2324092455492</v>
      </c>
      <c r="H326" s="35">
        <v>0.44302557236164614</v>
      </c>
      <c r="I326" s="35">
        <v>0.90432324092455496</v>
      </c>
      <c r="J326" s="12">
        <v>-1.4601773298823042</v>
      </c>
      <c r="K326" s="12">
        <v>0.14209289800501321</v>
      </c>
      <c r="L326" s="25"/>
      <c r="T326" s="47"/>
      <c r="U326" s="36"/>
    </row>
    <row r="327" spans="1:21" x14ac:dyDescent="0.3">
      <c r="A327" s="10">
        <f t="shared" si="6"/>
        <v>315</v>
      </c>
      <c r="B327" s="13">
        <v>0.42339942375354195</v>
      </c>
      <c r="C327" s="13">
        <v>-0.42726806431241304</v>
      </c>
      <c r="D327" s="16">
        <v>9.3857494375531782E-3</v>
      </c>
      <c r="E327" s="16">
        <v>-8.4933397321085239E-3</v>
      </c>
      <c r="F327" s="12">
        <v>4472.0327414075737</v>
      </c>
      <c r="G327" s="12">
        <v>8966.7504176498351</v>
      </c>
      <c r="H327" s="35">
        <v>0.44720327414075739</v>
      </c>
      <c r="I327" s="35">
        <v>0.89667504176498347</v>
      </c>
      <c r="J327" s="12">
        <v>-1.4357986314081626</v>
      </c>
      <c r="K327" s="12">
        <v>0.1016251474064299</v>
      </c>
      <c r="L327" s="25"/>
      <c r="T327" s="47"/>
      <c r="U327" s="36"/>
    </row>
    <row r="328" spans="1:21" x14ac:dyDescent="0.3">
      <c r="A328" s="10">
        <f t="shared" si="6"/>
        <v>316</v>
      </c>
      <c r="B328" s="13">
        <v>-1.7117911965194906E-2</v>
      </c>
      <c r="C328" s="13">
        <v>2.4046805062563301</v>
      </c>
      <c r="D328" s="16">
        <v>-6.0424472122849238E-4</v>
      </c>
      <c r="E328" s="16">
        <v>4.680941763621102E-2</v>
      </c>
      <c r="F328" s="12">
        <v>4469.3313554617089</v>
      </c>
      <c r="G328" s="12">
        <v>9396.4574929245409</v>
      </c>
      <c r="H328" s="35">
        <v>0.44693313554617087</v>
      </c>
      <c r="I328" s="35">
        <v>0.93964574929245415</v>
      </c>
      <c r="J328" s="12">
        <v>-1.4373750070548352</v>
      </c>
      <c r="K328" s="12">
        <v>0.32898950324830784</v>
      </c>
      <c r="L328" s="25"/>
      <c r="T328" s="47"/>
      <c r="U328" s="36"/>
    </row>
    <row r="329" spans="1:21" x14ac:dyDescent="0.3">
      <c r="A329" s="10">
        <f t="shared" si="6"/>
        <v>317</v>
      </c>
      <c r="B329" s="13">
        <v>-1.2096800533822594</v>
      </c>
      <c r="C329" s="13">
        <v>0.84192257593208852</v>
      </c>
      <c r="D329" s="16">
        <v>-2.7649011999915863E-2</v>
      </c>
      <c r="E329" s="16">
        <v>1.629162379478474E-2</v>
      </c>
      <c r="F329" s="12">
        <v>4347.4514529664084</v>
      </c>
      <c r="G329" s="12">
        <v>9550.794832710475</v>
      </c>
      <c r="H329" s="35">
        <v>0.43474514529664082</v>
      </c>
      <c r="I329" s="35">
        <v>0.95507948327104752</v>
      </c>
      <c r="J329" s="12">
        <v>-1.5084972065341578</v>
      </c>
      <c r="K329" s="12">
        <v>0.41065166768985178</v>
      </c>
      <c r="L329" s="25"/>
      <c r="T329" s="47"/>
      <c r="U329" s="36"/>
    </row>
    <row r="330" spans="1:21" x14ac:dyDescent="0.3">
      <c r="A330" s="10">
        <f t="shared" si="6"/>
        <v>318</v>
      </c>
      <c r="B330" s="13">
        <v>0.28115251858061069</v>
      </c>
      <c r="C330" s="13">
        <v>1.3178451653617791</v>
      </c>
      <c r="D330" s="16">
        <v>6.1598928445003509E-3</v>
      </c>
      <c r="E330" s="16">
        <v>2.5585518381312029E-2</v>
      </c>
      <c r="F330" s="12">
        <v>4374.3139381386973</v>
      </c>
      <c r="G330" s="12">
        <v>9798.30976622034</v>
      </c>
      <c r="H330" s="35">
        <v>0.43743139381386975</v>
      </c>
      <c r="I330" s="35">
        <v>0.979830976622034</v>
      </c>
      <c r="J330" s="12">
        <v>-1.492821783516753</v>
      </c>
      <c r="K330" s="12">
        <v>0.54161547223679607</v>
      </c>
      <c r="L330" s="25"/>
      <c r="T330" s="47"/>
      <c r="U330" s="36"/>
    </row>
    <row r="331" spans="1:21" x14ac:dyDescent="0.3">
      <c r="A331" s="10">
        <f t="shared" si="6"/>
        <v>319</v>
      </c>
      <c r="B331" s="13">
        <v>1.0083312125019053</v>
      </c>
      <c r="C331" s="13">
        <v>0.12431460742557972</v>
      </c>
      <c r="D331" s="16">
        <v>2.2650755554390365E-2</v>
      </c>
      <c r="E331" s="16">
        <v>2.2780573831891961E-3</v>
      </c>
      <c r="F331" s="12">
        <v>4474.5261100671596</v>
      </c>
      <c r="G331" s="12">
        <v>9820.6563218300125</v>
      </c>
      <c r="H331" s="35">
        <v>0.44745261100671596</v>
      </c>
      <c r="I331" s="35">
        <v>0.98206563218300125</v>
      </c>
      <c r="J331" s="12">
        <v>-1.4343436428534302</v>
      </c>
      <c r="K331" s="12">
        <v>0.55343936463658916</v>
      </c>
      <c r="L331" s="25"/>
      <c r="T331" s="47"/>
      <c r="U331" s="36"/>
    </row>
    <row r="332" spans="1:21" x14ac:dyDescent="0.3">
      <c r="A332" s="10">
        <f t="shared" si="6"/>
        <v>320</v>
      </c>
      <c r="B332" s="13">
        <v>-0.72790603405763954</v>
      </c>
      <c r="C332" s="13">
        <v>-0.50295481632715822</v>
      </c>
      <c r="D332" s="16">
        <v>-1.6723404200501835E-2</v>
      </c>
      <c r="E332" s="16">
        <v>-9.9713630712919069E-3</v>
      </c>
      <c r="F332" s="12">
        <v>4400.3190282980104</v>
      </c>
      <c r="G332" s="12">
        <v>9723.2175978378436</v>
      </c>
      <c r="H332" s="35">
        <v>0.44003190282980104</v>
      </c>
      <c r="I332" s="35">
        <v>0.97232175978378432</v>
      </c>
      <c r="J332" s="12">
        <v>-1.4776466876074028</v>
      </c>
      <c r="K332" s="12">
        <v>0.50188309761359173</v>
      </c>
      <c r="L332" s="25"/>
      <c r="T332" s="47"/>
      <c r="U332" s="36"/>
    </row>
    <row r="333" spans="1:21" x14ac:dyDescent="0.3">
      <c r="A333" s="10">
        <f t="shared" si="6"/>
        <v>321</v>
      </c>
      <c r="B333" s="13">
        <v>1.3313826070264498</v>
      </c>
      <c r="C333" s="13">
        <v>0.12547368721088362</v>
      </c>
      <c r="D333" s="16">
        <v>2.9976872559572289E-2</v>
      </c>
      <c r="E333" s="16">
        <v>2.3006920838343115E-3</v>
      </c>
      <c r="F333" s="12">
        <v>4534.2238273475268</v>
      </c>
      <c r="G333" s="12">
        <v>9745.6134807310355</v>
      </c>
      <c r="H333" s="35">
        <v>0.45342238273475266</v>
      </c>
      <c r="I333" s="35">
        <v>0.97456134807310357</v>
      </c>
      <c r="J333" s="12">
        <v>-1.3995074404119472</v>
      </c>
      <c r="K333" s="12">
        <v>0.51373308980714694</v>
      </c>
      <c r="L333" s="25"/>
      <c r="T333" s="47"/>
      <c r="U333" s="36"/>
    </row>
    <row r="334" spans="1:21" x14ac:dyDescent="0.3">
      <c r="A334" s="10">
        <f t="shared" si="6"/>
        <v>322</v>
      </c>
      <c r="B334" s="13">
        <v>1.9143627548609503</v>
      </c>
      <c r="C334" s="13">
        <v>-0.44295970369686183</v>
      </c>
      <c r="D334" s="16">
        <v>4.3197619620638783E-2</v>
      </c>
      <c r="E334" s="16">
        <v>-8.799768646322547E-3</v>
      </c>
      <c r="F334" s="12">
        <v>4734.383591750955</v>
      </c>
      <c r="G334" s="12">
        <v>9660.2305627212845</v>
      </c>
      <c r="H334" s="35">
        <v>0.47343835917509552</v>
      </c>
      <c r="I334" s="35">
        <v>0.96602305627212848</v>
      </c>
      <c r="J334" s="12">
        <v>-1.2827055526504785</v>
      </c>
      <c r="K334" s="12">
        <v>0.46855572766858677</v>
      </c>
      <c r="L334" s="25"/>
      <c r="T334" s="47"/>
      <c r="U334" s="36"/>
    </row>
    <row r="335" spans="1:21" x14ac:dyDescent="0.3">
      <c r="A335" s="10">
        <f t="shared" si="6"/>
        <v>323</v>
      </c>
      <c r="B335" s="13">
        <v>1.5051288255286221</v>
      </c>
      <c r="C335" s="13">
        <v>-0.57634533839519841</v>
      </c>
      <c r="D335" s="16">
        <v>3.3917066434383462E-2</v>
      </c>
      <c r="E335" s="16">
        <v>-1.1404545254486715E-2</v>
      </c>
      <c r="F335" s="12">
        <v>4897.7141846273671</v>
      </c>
      <c r="G335" s="12">
        <v>9550.6858671317677</v>
      </c>
      <c r="H335" s="35">
        <v>0.4897714184627367</v>
      </c>
      <c r="I335" s="35">
        <v>0.95506858671317674</v>
      </c>
      <c r="J335" s="12">
        <v>-1.1873950808679785</v>
      </c>
      <c r="K335" s="12">
        <v>0.410594012393867</v>
      </c>
      <c r="L335" s="25"/>
      <c r="T335" s="47"/>
      <c r="U335" s="36"/>
    </row>
    <row r="336" spans="1:21" x14ac:dyDescent="0.3">
      <c r="A336" s="10">
        <f t="shared" si="6"/>
        <v>324</v>
      </c>
      <c r="B336" s="13">
        <v>0.20210447728995515</v>
      </c>
      <c r="C336" s="13">
        <v>-0.66926848434877695</v>
      </c>
      <c r="D336" s="16">
        <v>4.3672517683702953E-3</v>
      </c>
      <c r="E336" s="16">
        <v>-1.3219163728839746E-2</v>
      </c>
      <c r="F336" s="12">
        <v>4919.1505104059434</v>
      </c>
      <c r="G336" s="12">
        <v>9425.2645954970158</v>
      </c>
      <c r="H336" s="35">
        <v>0.49191505104059435</v>
      </c>
      <c r="I336" s="35">
        <v>0.9425264595497016</v>
      </c>
      <c r="J336" s="12">
        <v>-1.1748860567638082</v>
      </c>
      <c r="K336" s="12">
        <v>0.34423176640135111</v>
      </c>
      <c r="L336" s="25"/>
      <c r="T336" s="47"/>
      <c r="U336" s="36"/>
    </row>
    <row r="337" spans="1:21" x14ac:dyDescent="0.3">
      <c r="A337" s="10">
        <f t="shared" si="6"/>
        <v>325</v>
      </c>
      <c r="B337" s="13">
        <v>0.91243373670422279</v>
      </c>
      <c r="C337" s="13">
        <v>-0.34760726791987534</v>
      </c>
      <c r="D337" s="16">
        <v>2.0476005220223192E-2</v>
      </c>
      <c r="E337" s="16">
        <v>-6.9377106008284787E-3</v>
      </c>
      <c r="F337" s="12">
        <v>5020.9133547451247</v>
      </c>
      <c r="G337" s="12">
        <v>9360.1011413599717</v>
      </c>
      <c r="H337" s="35">
        <v>0.50209133547451246</v>
      </c>
      <c r="I337" s="35">
        <v>0.93601011413599722</v>
      </c>
      <c r="J337" s="12">
        <v>-1.1155030316177748</v>
      </c>
      <c r="K337" s="12">
        <v>0.30975282102948537</v>
      </c>
      <c r="L337" s="25"/>
      <c r="T337" s="47"/>
      <c r="U337" s="36"/>
    </row>
    <row r="338" spans="1:21" x14ac:dyDescent="0.3">
      <c r="A338" s="10">
        <f t="shared" si="6"/>
        <v>326</v>
      </c>
      <c r="B338" s="13">
        <v>-0.5845747077144281</v>
      </c>
      <c r="C338" s="13">
        <v>-0.24731094112097843</v>
      </c>
      <c r="D338" s="16">
        <v>-1.3472955246880308E-2</v>
      </c>
      <c r="E338" s="16">
        <v>-4.9791074384909866E-3</v>
      </c>
      <c r="F338" s="12">
        <v>4953.7204735628884</v>
      </c>
      <c r="G338" s="12">
        <v>9313.6120253382742</v>
      </c>
      <c r="H338" s="35">
        <v>0.49537204735628881</v>
      </c>
      <c r="I338" s="35">
        <v>0.93136120253382737</v>
      </c>
      <c r="J338" s="12">
        <v>-1.1547129866734716</v>
      </c>
      <c r="K338" s="12">
        <v>0.28515474358062243</v>
      </c>
      <c r="L338" s="25"/>
      <c r="T338" s="47"/>
      <c r="U338" s="36"/>
    </row>
    <row r="339" spans="1:21" x14ac:dyDescent="0.3">
      <c r="A339" s="10">
        <f t="shared" si="6"/>
        <v>327</v>
      </c>
      <c r="B339" s="13">
        <v>0.50110819448563082</v>
      </c>
      <c r="C339" s="13">
        <v>0.62647611948630466</v>
      </c>
      <c r="D339" s="16">
        <v>1.1148018712230107E-2</v>
      </c>
      <c r="E339" s="16">
        <v>1.208434996555254E-2</v>
      </c>
      <c r="F339" s="12">
        <v>5009.2536091856464</v>
      </c>
      <c r="G339" s="12">
        <v>9426.843760506541</v>
      </c>
      <c r="H339" s="35">
        <v>0.50092536091856465</v>
      </c>
      <c r="I339" s="35">
        <v>0.94268437605065414</v>
      </c>
      <c r="J339" s="12">
        <v>-1.1223069979205158</v>
      </c>
      <c r="K339" s="12">
        <v>0.34506732591576961</v>
      </c>
      <c r="L339" s="25"/>
      <c r="T339" s="47"/>
      <c r="U339" s="36"/>
    </row>
    <row r="340" spans="1:21" x14ac:dyDescent="0.3">
      <c r="A340" s="10">
        <f t="shared" si="6"/>
        <v>328</v>
      </c>
      <c r="B340" s="13">
        <v>-0.41098724012684035</v>
      </c>
      <c r="C340" s="13">
        <v>0.81449654802510552</v>
      </c>
      <c r="D340" s="16">
        <v>-9.5363615044153742E-3</v>
      </c>
      <c r="E340" s="16">
        <v>1.575604381191378E-2</v>
      </c>
      <c r="F340" s="12">
        <v>4961.7106098204604</v>
      </c>
      <c r="G340" s="12">
        <v>9576.5498143088971</v>
      </c>
      <c r="H340" s="35">
        <v>0.49617106098204605</v>
      </c>
      <c r="I340" s="35">
        <v>0.95765498143088967</v>
      </c>
      <c r="J340" s="12">
        <v>-1.1500503962615707</v>
      </c>
      <c r="K340" s="12">
        <v>0.42427900858737166</v>
      </c>
      <c r="L340" s="25"/>
      <c r="T340" s="47"/>
      <c r="U340" s="36"/>
    </row>
    <row r="341" spans="1:21" x14ac:dyDescent="0.3">
      <c r="A341" s="10">
        <f t="shared" si="6"/>
        <v>329</v>
      </c>
      <c r="B341" s="13">
        <v>-1.2284178851980405</v>
      </c>
      <c r="C341" s="13">
        <v>-1.8775412535843357</v>
      </c>
      <c r="D341" s="16">
        <v>-2.80739460835711E-2</v>
      </c>
      <c r="E341" s="16">
        <v>-3.6814513053408153E-2</v>
      </c>
      <c r="F341" s="12">
        <v>4824.3529212292842</v>
      </c>
      <c r="G341" s="12">
        <v>9230.4044757948195</v>
      </c>
      <c r="H341" s="35">
        <v>0.48243529212292841</v>
      </c>
      <c r="I341" s="35">
        <v>0.923040447579482</v>
      </c>
      <c r="J341" s="12">
        <v>-1.2302045539856219</v>
      </c>
      <c r="K341" s="12">
        <v>0.24112840100519611</v>
      </c>
      <c r="L341" s="25"/>
      <c r="T341" s="47"/>
      <c r="U341" s="36"/>
    </row>
    <row r="342" spans="1:21" x14ac:dyDescent="0.3">
      <c r="A342" s="10">
        <f t="shared" si="6"/>
        <v>330</v>
      </c>
      <c r="B342" s="13">
        <v>1.3392540243743609</v>
      </c>
      <c r="C342" s="13">
        <v>0.83288791342052015</v>
      </c>
      <c r="D342" s="16">
        <v>3.0155379526156625E-2</v>
      </c>
      <c r="E342" s="16">
        <v>1.611519341960968E-2</v>
      </c>
      <c r="F342" s="12">
        <v>4972.0488356482447</v>
      </c>
      <c r="G342" s="12">
        <v>9380.3592591820961</v>
      </c>
      <c r="H342" s="35">
        <v>0.49720488356482445</v>
      </c>
      <c r="I342" s="35">
        <v>0.93803592591820961</v>
      </c>
      <c r="J342" s="12">
        <v>-1.144017593932948</v>
      </c>
      <c r="K342" s="12">
        <v>0.32047169017133426</v>
      </c>
      <c r="L342" s="25"/>
      <c r="T342" s="47"/>
      <c r="U342" s="36"/>
    </row>
    <row r="343" spans="1:21" x14ac:dyDescent="0.3">
      <c r="A343" s="10">
        <f t="shared" si="6"/>
        <v>331</v>
      </c>
      <c r="B343" s="13">
        <v>3.5899827817670461E-2</v>
      </c>
      <c r="C343" s="13">
        <v>-0.58440093654720759</v>
      </c>
      <c r="D343" s="16">
        <v>5.9808460340177042E-4</v>
      </c>
      <c r="E343" s="16">
        <v>-1.1561856299852125E-2</v>
      </c>
      <c r="F343" s="12">
        <v>4975.0234309453635</v>
      </c>
      <c r="G343" s="12">
        <v>9272.5294509503801</v>
      </c>
      <c r="H343" s="35">
        <v>0.49750234309453634</v>
      </c>
      <c r="I343" s="35">
        <v>0.92725294509503797</v>
      </c>
      <c r="J343" s="12">
        <v>-1.1422817888021546</v>
      </c>
      <c r="K343" s="12">
        <v>0.26341734710871617</v>
      </c>
      <c r="L343" s="25"/>
      <c r="T343" s="47"/>
      <c r="U343" s="36"/>
    </row>
    <row r="344" spans="1:21" x14ac:dyDescent="0.3">
      <c r="A344" s="10">
        <f t="shared" si="6"/>
        <v>332</v>
      </c>
      <c r="B344" s="13">
        <v>-1.3565327010841222</v>
      </c>
      <c r="C344" s="13">
        <v>0.69190244077706786</v>
      </c>
      <c r="D344" s="16">
        <v>-3.097931701583452E-2</v>
      </c>
      <c r="E344" s="16">
        <v>1.3362005926344985E-2</v>
      </c>
      <c r="F344" s="12">
        <v>4823.2634502323253</v>
      </c>
      <c r="G344" s="12">
        <v>9397.2605172314652</v>
      </c>
      <c r="H344" s="35">
        <v>0.48232634502323252</v>
      </c>
      <c r="I344" s="35">
        <v>0.93972605172314649</v>
      </c>
      <c r="J344" s="12">
        <v>-1.2308403074772662</v>
      </c>
      <c r="K344" s="12">
        <v>0.32941439526143673</v>
      </c>
      <c r="L344" s="25"/>
      <c r="T344" s="47"/>
      <c r="U344" s="36"/>
    </row>
    <row r="345" spans="1:21" x14ac:dyDescent="0.3">
      <c r="A345" s="10">
        <f t="shared" si="6"/>
        <v>333</v>
      </c>
      <c r="B345" s="13">
        <v>1.5101658318374021</v>
      </c>
      <c r="C345" s="13">
        <v>0.56286020363221057</v>
      </c>
      <c r="D345" s="16">
        <v>3.4031295000485989E-2</v>
      </c>
      <c r="E345" s="16">
        <v>1.0842047899828285E-2</v>
      </c>
      <c r="F345" s="12">
        <v>4990.2302866203272</v>
      </c>
      <c r="G345" s="12">
        <v>9499.7003914158431</v>
      </c>
      <c r="H345" s="35">
        <v>0.49902302866203274</v>
      </c>
      <c r="I345" s="35">
        <v>0.94997003914158429</v>
      </c>
      <c r="J345" s="12">
        <v>-1.1334079301870335</v>
      </c>
      <c r="K345" s="12">
        <v>0.38361684466621876</v>
      </c>
      <c r="L345" s="25"/>
      <c r="T345" s="47"/>
      <c r="U345" s="36"/>
    </row>
    <row r="346" spans="1:21" x14ac:dyDescent="0.3">
      <c r="A346" s="10">
        <f t="shared" si="6"/>
        <v>334</v>
      </c>
      <c r="B346" s="13">
        <v>-0.65480413907427881</v>
      </c>
      <c r="C346" s="13">
        <v>0.14791808304887194</v>
      </c>
      <c r="D346" s="16">
        <v>-1.5065609047700127E-2</v>
      </c>
      <c r="E346" s="16">
        <v>2.7389899364882917E-3</v>
      </c>
      <c r="F346" s="12">
        <v>4915.6129174561465</v>
      </c>
      <c r="G346" s="12">
        <v>9525.7556414323644</v>
      </c>
      <c r="H346" s="35">
        <v>0.49156129174561464</v>
      </c>
      <c r="I346" s="35">
        <v>0.95257556414323641</v>
      </c>
      <c r="J346" s="12">
        <v>-1.1769503953979958</v>
      </c>
      <c r="K346" s="12">
        <v>0.39740306201560333</v>
      </c>
      <c r="L346" s="25"/>
      <c r="T346" s="47"/>
      <c r="U346" s="36"/>
    </row>
    <row r="347" spans="1:21" x14ac:dyDescent="0.3">
      <c r="A347" s="10">
        <f t="shared" si="6"/>
        <v>335</v>
      </c>
      <c r="B347" s="13">
        <v>1.5452020188617803</v>
      </c>
      <c r="C347" s="13">
        <v>0.97492358501881249</v>
      </c>
      <c r="D347" s="16">
        <v>3.4825841038381301E-2</v>
      </c>
      <c r="E347" s="16">
        <v>1.8888889370757958E-2</v>
      </c>
      <c r="F347" s="12">
        <v>5089.8191033427274</v>
      </c>
      <c r="G347" s="12">
        <v>9707.3966840838402</v>
      </c>
      <c r="H347" s="35">
        <v>0.50898191033427276</v>
      </c>
      <c r="I347" s="35">
        <v>0.97073966840838399</v>
      </c>
      <c r="J347" s="12">
        <v>-1.0752935442724785</v>
      </c>
      <c r="K347" s="12">
        <v>0.49351201863564076</v>
      </c>
      <c r="L347" s="25"/>
      <c r="T347" s="47"/>
      <c r="U347" s="36"/>
    </row>
    <row r="348" spans="1:21" x14ac:dyDescent="0.3">
      <c r="A348" s="10">
        <f t="shared" si="6"/>
        <v>336</v>
      </c>
      <c r="B348" s="13">
        <v>0.41037116631982834</v>
      </c>
      <c r="C348" s="13">
        <v>-0.77715832193520484</v>
      </c>
      <c r="D348" s="16">
        <v>9.0902963302434518E-3</v>
      </c>
      <c r="E348" s="16">
        <v>-1.5326054218504021E-2</v>
      </c>
      <c r="F348" s="12">
        <v>5136.2980006753678</v>
      </c>
      <c r="G348" s="12">
        <v>9559.7548693406843</v>
      </c>
      <c r="H348" s="35">
        <v>0.51362980006753678</v>
      </c>
      <c r="I348" s="35">
        <v>0.95597548693406842</v>
      </c>
      <c r="J348" s="12">
        <v>-1.04817109553407</v>
      </c>
      <c r="K348" s="12">
        <v>0.4153925553176499</v>
      </c>
      <c r="L348" s="25"/>
      <c r="T348" s="47"/>
      <c r="U348" s="36"/>
    </row>
    <row r="349" spans="1:21" x14ac:dyDescent="0.3">
      <c r="A349" s="10">
        <f t="shared" si="6"/>
        <v>337</v>
      </c>
      <c r="B349" s="13">
        <v>0.99118781230629383</v>
      </c>
      <c r="C349" s="13">
        <v>-1.4627457883838637</v>
      </c>
      <c r="D349" s="16">
        <v>2.2261979781159132E-2</v>
      </c>
      <c r="E349" s="16">
        <v>-2.8714319000500615E-2</v>
      </c>
      <c r="F349" s="12">
        <v>5251.924424176651</v>
      </c>
      <c r="G349" s="12">
        <v>9289.1566328689041</v>
      </c>
      <c r="H349" s="35">
        <v>0.52519244241766505</v>
      </c>
      <c r="I349" s="35">
        <v>0.92891566328689046</v>
      </c>
      <c r="J349" s="12">
        <v>-0.98069807177073065</v>
      </c>
      <c r="K349" s="12">
        <v>0.27221503447272838</v>
      </c>
      <c r="L349" s="25"/>
      <c r="T349" s="47"/>
      <c r="U349" s="36"/>
    </row>
    <row r="350" spans="1:21" x14ac:dyDescent="0.3">
      <c r="A350" s="10">
        <f t="shared" si="6"/>
        <v>338</v>
      </c>
      <c r="B350" s="13">
        <v>-0.74633992699701013</v>
      </c>
      <c r="C350" s="13">
        <v>0.38226892334440016</v>
      </c>
      <c r="D350" s="16">
        <v>-1.7141445598322098E-2</v>
      </c>
      <c r="E350" s="16">
        <v>7.3154316821526849E-3</v>
      </c>
      <c r="F350" s="12">
        <v>5162.6660417750963</v>
      </c>
      <c r="G350" s="12">
        <v>9357.3599879323538</v>
      </c>
      <c r="H350" s="35">
        <v>0.51626660417750958</v>
      </c>
      <c r="I350" s="35">
        <v>0.93573599879323532</v>
      </c>
      <c r="J350" s="12">
        <v>-1.0327842020382685</v>
      </c>
      <c r="K350" s="12">
        <v>0.30830243629254411</v>
      </c>
      <c r="L350" s="25"/>
      <c r="T350" s="47"/>
      <c r="U350" s="36"/>
    </row>
    <row r="351" spans="1:21" x14ac:dyDescent="0.3">
      <c r="A351" s="10">
        <f t="shared" si="6"/>
        <v>339</v>
      </c>
      <c r="B351" s="13">
        <v>-1.0639644302102835</v>
      </c>
      <c r="C351" s="13">
        <v>-0.81606278302954605</v>
      </c>
      <c r="D351" s="16">
        <v>-2.4344492276631446E-2</v>
      </c>
      <c r="E351" s="16">
        <v>-1.6085786932157606E-2</v>
      </c>
      <c r="F351" s="12">
        <v>5038.5010571312641</v>
      </c>
      <c r="G351" s="12">
        <v>9208.0436440172325</v>
      </c>
      <c r="H351" s="35">
        <v>0.50385010571312638</v>
      </c>
      <c r="I351" s="35">
        <v>0.9208043644017232</v>
      </c>
      <c r="J351" s="12">
        <v>-1.1052398458760715</v>
      </c>
      <c r="K351" s="12">
        <v>0.22929695487424867</v>
      </c>
      <c r="L351" s="25"/>
      <c r="T351" s="47"/>
      <c r="U351" s="36"/>
    </row>
    <row r="352" spans="1:21" x14ac:dyDescent="0.3">
      <c r="A352" s="10">
        <f t="shared" si="6"/>
        <v>340</v>
      </c>
      <c r="B352" s="13">
        <v>0.4120529773065772</v>
      </c>
      <c r="C352" s="13">
        <v>0.61451310802825354</v>
      </c>
      <c r="D352" s="16">
        <v>9.1284362184419106E-3</v>
      </c>
      <c r="E352" s="16">
        <v>1.1850734310616349E-2</v>
      </c>
      <c r="F352" s="12">
        <v>5084.7052578747316</v>
      </c>
      <c r="G352" s="12">
        <v>9317.8148729119366</v>
      </c>
      <c r="H352" s="35">
        <v>0.5084705257874732</v>
      </c>
      <c r="I352" s="35">
        <v>0.9317814872911937</v>
      </c>
      <c r="J352" s="12">
        <v>-1.0782776944894943</v>
      </c>
      <c r="K352" s="12">
        <v>0.28737853226428905</v>
      </c>
      <c r="L352" s="25"/>
      <c r="T352" s="47"/>
      <c r="U352" s="36"/>
    </row>
    <row r="353" spans="1:21" x14ac:dyDescent="0.3">
      <c r="A353" s="10">
        <f t="shared" si="6"/>
        <v>341</v>
      </c>
      <c r="B353" s="13">
        <v>-0.64398963948371157</v>
      </c>
      <c r="C353" s="13">
        <v>-0.25532253844353064</v>
      </c>
      <c r="D353" s="16">
        <v>-1.4820359249383692E-2</v>
      </c>
      <c r="E353" s="16">
        <v>-5.1355592284233172E-3</v>
      </c>
      <c r="F353" s="12">
        <v>5009.9037609350389</v>
      </c>
      <c r="G353" s="12">
        <v>9270.0853465587516</v>
      </c>
      <c r="H353" s="35">
        <v>0.50099037609350394</v>
      </c>
      <c r="I353" s="35">
        <v>0.92700853465587518</v>
      </c>
      <c r="J353" s="12">
        <v>-1.1219276062286498</v>
      </c>
      <c r="K353" s="12">
        <v>0.26212413540104834</v>
      </c>
      <c r="L353" s="25"/>
      <c r="T353" s="47"/>
      <c r="U353" s="36"/>
    </row>
    <row r="354" spans="1:21" x14ac:dyDescent="0.3">
      <c r="A354" s="10">
        <f t="shared" si="6"/>
        <v>342</v>
      </c>
      <c r="B354" s="13">
        <v>0.66938411865019043</v>
      </c>
      <c r="C354" s="13">
        <v>0.77610983464446015</v>
      </c>
      <c r="D354" s="16">
        <v>1.4964157972050014E-2</v>
      </c>
      <c r="E354" s="16">
        <v>1.5006421760751069E-2</v>
      </c>
      <c r="F354" s="12">
        <v>5085.4364845694217</v>
      </c>
      <c r="G354" s="12">
        <v>9410.2451755436159</v>
      </c>
      <c r="H354" s="35">
        <v>0.50854364845694222</v>
      </c>
      <c r="I354" s="35">
        <v>0.94102451755436156</v>
      </c>
      <c r="J354" s="12">
        <v>-1.077850992057185</v>
      </c>
      <c r="K354" s="12">
        <v>0.33628476962304504</v>
      </c>
      <c r="L354" s="25"/>
      <c r="T354" s="47"/>
      <c r="U354" s="36"/>
    </row>
    <row r="355" spans="1:21" x14ac:dyDescent="0.3">
      <c r="A355" s="10">
        <f t="shared" si="6"/>
        <v>343</v>
      </c>
      <c r="B355" s="13">
        <v>-0.13165176665423425</v>
      </c>
      <c r="C355" s="13">
        <v>-1.0498397552718097</v>
      </c>
      <c r="D355" s="16">
        <v>-3.2016284029839819E-3</v>
      </c>
      <c r="E355" s="16">
        <v>-2.0651022088111669E-2</v>
      </c>
      <c r="F355" s="12">
        <v>5069.1808428266095</v>
      </c>
      <c r="G355" s="12">
        <v>9217.906821776427</v>
      </c>
      <c r="H355" s="35">
        <v>0.50691808428266094</v>
      </c>
      <c r="I355" s="35">
        <v>0.92179068217764271</v>
      </c>
      <c r="J355" s="12">
        <v>-1.0873368627464997</v>
      </c>
      <c r="K355" s="12">
        <v>0.2345157078034146</v>
      </c>
      <c r="L355" s="25"/>
      <c r="T355" s="47"/>
      <c r="U355" s="36"/>
    </row>
    <row r="356" spans="1:21" x14ac:dyDescent="0.3">
      <c r="A356" s="10">
        <f t="shared" si="6"/>
        <v>344</v>
      </c>
      <c r="B356" s="13">
        <v>1.7385545510884708</v>
      </c>
      <c r="C356" s="13">
        <v>-0.576901955138722</v>
      </c>
      <c r="D356" s="16">
        <v>3.9210664315264945E-2</v>
      </c>
      <c r="E356" s="16">
        <v>-1.1415414957783639E-2</v>
      </c>
      <c r="F356" s="12">
        <v>5271.8950998535993</v>
      </c>
      <c r="G356" s="12">
        <v>9113.2789120507605</v>
      </c>
      <c r="H356" s="35">
        <v>0.52718950998535996</v>
      </c>
      <c r="I356" s="35">
        <v>0.91132789120507607</v>
      </c>
      <c r="J356" s="12">
        <v>-0.96904431795116597</v>
      </c>
      <c r="K356" s="12">
        <v>0.17915553649915911</v>
      </c>
      <c r="L356" s="25"/>
      <c r="T356" s="47"/>
      <c r="U356" s="36"/>
    </row>
    <row r="357" spans="1:21" x14ac:dyDescent="0.3">
      <c r="A357" s="10">
        <f t="shared" si="6"/>
        <v>345</v>
      </c>
      <c r="B357" s="13">
        <v>-1.9967964745579274</v>
      </c>
      <c r="C357" s="13">
        <v>0.56055184266488856</v>
      </c>
      <c r="D357" s="16">
        <v>-4.5499134599510084E-2</v>
      </c>
      <c r="E357" s="16">
        <v>1.0796969847274291E-2</v>
      </c>
      <c r="F357" s="12">
        <v>5037.4034699826898</v>
      </c>
      <c r="G357" s="12">
        <v>9212.2078148165074</v>
      </c>
      <c r="H357" s="35">
        <v>0.50374034699826897</v>
      </c>
      <c r="I357" s="35">
        <v>0.92122078148165076</v>
      </c>
      <c r="J357" s="12">
        <v>-1.1058803354935443</v>
      </c>
      <c r="K357" s="12">
        <v>0.23150027910573223</v>
      </c>
      <c r="L357" s="25"/>
      <c r="T357" s="47"/>
      <c r="U357" s="36"/>
    </row>
    <row r="358" spans="1:21" x14ac:dyDescent="0.3">
      <c r="A358" s="10">
        <f t="shared" si="6"/>
        <v>346</v>
      </c>
      <c r="B358" s="13">
        <v>-0.64899912087658518</v>
      </c>
      <c r="C358" s="13">
        <v>-2.1040281926285882</v>
      </c>
      <c r="D358" s="16">
        <v>-1.4933963609066113E-2</v>
      </c>
      <c r="E358" s="16">
        <v>-4.1237387242307071E-2</v>
      </c>
      <c r="F358" s="12">
        <v>4962.7340131007168</v>
      </c>
      <c r="G358" s="12">
        <v>8840.0466483979417</v>
      </c>
      <c r="H358" s="35">
        <v>0.49627340131007169</v>
      </c>
      <c r="I358" s="35">
        <v>0.88400466483979412</v>
      </c>
      <c r="J358" s="12">
        <v>-1.1494531961427981</v>
      </c>
      <c r="K358" s="12">
        <v>3.4584312995504352E-2</v>
      </c>
      <c r="L358" s="25"/>
      <c r="T358" s="47"/>
      <c r="U358" s="36"/>
    </row>
    <row r="359" spans="1:21" x14ac:dyDescent="0.3">
      <c r="A359" s="10">
        <f t="shared" si="6"/>
        <v>347</v>
      </c>
      <c r="B359" s="13">
        <v>0.87862005192503234</v>
      </c>
      <c r="C359" s="13">
        <v>-0.9459008174920267</v>
      </c>
      <c r="D359" s="16">
        <v>1.9709182927339183E-2</v>
      </c>
      <c r="E359" s="16">
        <v>-1.8621285419552817E-2</v>
      </c>
      <c r="F359" s="12">
        <v>5061.5157011237761</v>
      </c>
      <c r="G359" s="12">
        <v>8676.9568005594647</v>
      </c>
      <c r="H359" s="35">
        <v>0.50615157011237766</v>
      </c>
      <c r="I359" s="35">
        <v>0.86769568005594644</v>
      </c>
      <c r="J359" s="12">
        <v>-1.0918098047661835</v>
      </c>
      <c r="K359" s="12">
        <v>-5.1708932640351063E-2</v>
      </c>
      <c r="L359" s="25"/>
      <c r="T359" s="47"/>
      <c r="U359" s="36"/>
    </row>
    <row r="360" spans="1:21" x14ac:dyDescent="0.3">
      <c r="A360" s="10">
        <f t="shared" si="6"/>
        <v>348</v>
      </c>
      <c r="B360" s="13">
        <v>-0.87139876843407693</v>
      </c>
      <c r="C360" s="13">
        <v>-0.54638642118314162</v>
      </c>
      <c r="D360" s="16">
        <v>-1.9977513544256427E-2</v>
      </c>
      <c r="E360" s="16">
        <v>-1.0819502592760972E-2</v>
      </c>
      <c r="F360" s="12">
        <v>4961.4025382671052</v>
      </c>
      <c r="G360" s="12">
        <v>8583.5824866516359</v>
      </c>
      <c r="H360" s="35">
        <v>0.49614025382671051</v>
      </c>
      <c r="I360" s="35">
        <v>0.85835824866516364</v>
      </c>
      <c r="J360" s="12">
        <v>-1.1502301693498571</v>
      </c>
      <c r="K360" s="12">
        <v>-0.10111466029856742</v>
      </c>
      <c r="L360" s="25"/>
      <c r="T360" s="47"/>
      <c r="U360" s="36"/>
    </row>
    <row r="361" spans="1:21" x14ac:dyDescent="0.3">
      <c r="A361" s="10">
        <f t="shared" si="6"/>
        <v>349</v>
      </c>
      <c r="B361" s="13">
        <v>1.0189469867808016</v>
      </c>
      <c r="C361" s="13">
        <v>2.0470563016929511E-2</v>
      </c>
      <c r="D361" s="16">
        <v>2.2891498686244842E-2</v>
      </c>
      <c r="E361" s="16">
        <v>2.5017380798597925E-4</v>
      </c>
      <c r="F361" s="12">
        <v>5076.2863930092626</v>
      </c>
      <c r="G361" s="12">
        <v>8585.7301428009414</v>
      </c>
      <c r="H361" s="35">
        <v>0.50762863930092628</v>
      </c>
      <c r="I361" s="35">
        <v>0.85857301428009414</v>
      </c>
      <c r="J361" s="12">
        <v>-1.0831904666044412</v>
      </c>
      <c r="K361" s="12">
        <v>-9.9978303731376783E-2</v>
      </c>
      <c r="L361" s="25"/>
      <c r="T361" s="47"/>
      <c r="U361" s="36"/>
    </row>
    <row r="362" spans="1:21" x14ac:dyDescent="0.3">
      <c r="A362" s="10">
        <f t="shared" si="6"/>
        <v>350</v>
      </c>
      <c r="B362" s="13">
        <v>-0.797151270191504</v>
      </c>
      <c r="C362" s="13">
        <v>0.1336492959782723</v>
      </c>
      <c r="D362" s="16">
        <v>-1.8293738551525971E-2</v>
      </c>
      <c r="E362" s="16">
        <v>2.4603467162312548E-3</v>
      </c>
      <c r="F362" s="12">
        <v>4984.2663980640536</v>
      </c>
      <c r="G362" s="12">
        <v>8606.880023114627</v>
      </c>
      <c r="H362" s="35">
        <v>0.49842663980640539</v>
      </c>
      <c r="I362" s="35">
        <v>0.8606880023114627</v>
      </c>
      <c r="J362" s="12">
        <v>-1.1368881173457661</v>
      </c>
      <c r="K362" s="12">
        <v>-8.8787589893165542E-2</v>
      </c>
      <c r="L362" s="25"/>
      <c r="T362" s="47"/>
      <c r="U362" s="36"/>
    </row>
    <row r="363" spans="1:21" x14ac:dyDescent="0.3">
      <c r="A363" s="10">
        <f t="shared" si="6"/>
        <v>351</v>
      </c>
      <c r="B363" s="13">
        <v>-0.43585911215842815</v>
      </c>
      <c r="C363" s="13">
        <v>-0.19482348461757731</v>
      </c>
      <c r="D363" s="16">
        <v>-1.0100402544725695E-2</v>
      </c>
      <c r="E363" s="16">
        <v>-3.9541237569176791E-3</v>
      </c>
      <c r="F363" s="12">
        <v>4934.1766899983413</v>
      </c>
      <c r="G363" s="12">
        <v>8572.9145504379394</v>
      </c>
      <c r="H363" s="35">
        <v>0.49341766899983414</v>
      </c>
      <c r="I363" s="35">
        <v>0.85729145504379389</v>
      </c>
      <c r="J363" s="12">
        <v>-1.1661176304646168</v>
      </c>
      <c r="K363" s="12">
        <v>-0.106759222803941</v>
      </c>
      <c r="L363" s="25"/>
      <c r="T363" s="47"/>
      <c r="U363" s="36"/>
    </row>
    <row r="364" spans="1:21" x14ac:dyDescent="0.3">
      <c r="A364" s="10">
        <f t="shared" si="6"/>
        <v>352</v>
      </c>
      <c r="B364" s="13">
        <v>-0.64580440710291354</v>
      </c>
      <c r="C364" s="13">
        <v>0.79408617997669362</v>
      </c>
      <c r="D364" s="16">
        <v>-1.4861514310593247E-2</v>
      </c>
      <c r="E364" s="16">
        <v>1.5357466788407759E-2</v>
      </c>
      <c r="F364" s="12">
        <v>4861.3895556981734</v>
      </c>
      <c r="G364" s="12">
        <v>8705.5889647674667</v>
      </c>
      <c r="H364" s="35">
        <v>0.48613895556981734</v>
      </c>
      <c r="I364" s="35">
        <v>0.87055889647674667</v>
      </c>
      <c r="J364" s="12">
        <v>-1.2085920743986724</v>
      </c>
      <c r="K364" s="12">
        <v>-3.655923195797451E-2</v>
      </c>
      <c r="L364" s="25"/>
      <c r="T364" s="47"/>
      <c r="U364" s="36"/>
    </row>
    <row r="365" spans="1:21" x14ac:dyDescent="0.3">
      <c r="A365" s="10">
        <f t="shared" si="6"/>
        <v>353</v>
      </c>
      <c r="B365" s="13">
        <v>0.98053149572358012</v>
      </c>
      <c r="C365" s="13">
        <v>0.53466024306666782</v>
      </c>
      <c r="D365" s="16">
        <v>2.2020317236274838E-2</v>
      </c>
      <c r="E365" s="16">
        <v>1.0291354432736408E-2</v>
      </c>
      <c r="F365" s="12">
        <v>4969.6262252464794</v>
      </c>
      <c r="G365" s="12">
        <v>8795.6438649748616</v>
      </c>
      <c r="H365" s="35">
        <v>0.49696262252464796</v>
      </c>
      <c r="I365" s="35">
        <v>0.87956438649748614</v>
      </c>
      <c r="J365" s="12">
        <v>-1.1454312919810055</v>
      </c>
      <c r="K365" s="12">
        <v>1.1090144918050571E-2</v>
      </c>
      <c r="L365" s="25"/>
      <c r="T365" s="47"/>
      <c r="U365" s="36"/>
    </row>
    <row r="366" spans="1:21" x14ac:dyDescent="0.3">
      <c r="A366" s="10">
        <f t="shared" si="6"/>
        <v>354</v>
      </c>
      <c r="B366" s="13">
        <v>0.20983692649055863</v>
      </c>
      <c r="C366" s="13">
        <v>-1.6929577821929331</v>
      </c>
      <c r="D366" s="16">
        <v>4.5426072336008979E-3</v>
      </c>
      <c r="E366" s="16">
        <v>-3.3209936671390446E-2</v>
      </c>
      <c r="F366" s="12">
        <v>4992.2526378297944</v>
      </c>
      <c r="G366" s="12">
        <v>8508.338196067094</v>
      </c>
      <c r="H366" s="35">
        <v>0.49922526378297943</v>
      </c>
      <c r="I366" s="35">
        <v>0.85083381960670945</v>
      </c>
      <c r="J366" s="12">
        <v>-1.1322278007055342</v>
      </c>
      <c r="K366" s="12">
        <v>-0.14092752502414033</v>
      </c>
      <c r="L366" s="25"/>
      <c r="T366" s="47"/>
      <c r="U366" s="36"/>
    </row>
    <row r="367" spans="1:21" x14ac:dyDescent="0.3">
      <c r="A367" s="10">
        <f t="shared" si="6"/>
        <v>355</v>
      </c>
      <c r="B367" s="13">
        <v>0.68134038873214997</v>
      </c>
      <c r="C367" s="13">
        <v>-0.46191136573835112</v>
      </c>
      <c r="D367" s="16">
        <v>1.5235300691291044E-2</v>
      </c>
      <c r="E367" s="16">
        <v>-9.1698598190575065E-3</v>
      </c>
      <c r="F367" s="12">
        <v>5068.8934483435605</v>
      </c>
      <c r="G367" s="12">
        <v>8430.6745540745305</v>
      </c>
      <c r="H367" s="35">
        <v>0.5068893448343561</v>
      </c>
      <c r="I367" s="35">
        <v>0.84306745540745309</v>
      </c>
      <c r="J367" s="12">
        <v>-1.0875045698691195</v>
      </c>
      <c r="K367" s="12">
        <v>-0.18202050428840991</v>
      </c>
      <c r="L367" s="25"/>
      <c r="T367" s="47"/>
      <c r="U367" s="36"/>
    </row>
    <row r="368" spans="1:21" x14ac:dyDescent="0.3">
      <c r="A368" s="10">
        <f t="shared" si="6"/>
        <v>356</v>
      </c>
      <c r="B368" s="13">
        <v>0.94531788982790532</v>
      </c>
      <c r="C368" s="13">
        <v>-0.82789808838700629</v>
      </c>
      <c r="D368" s="16">
        <v>2.1221747716568037E-2</v>
      </c>
      <c r="E368" s="16">
        <v>-1.6316908721361618E-2</v>
      </c>
      <c r="F368" s="12">
        <v>5177.6137635912537</v>
      </c>
      <c r="G368" s="12">
        <v>8294.2282253546855</v>
      </c>
      <c r="H368" s="35">
        <v>0.51776137635912534</v>
      </c>
      <c r="I368" s="35">
        <v>0.82942282253546851</v>
      </c>
      <c r="J368" s="12">
        <v>-1.0240615592480746</v>
      </c>
      <c r="K368" s="12">
        <v>-0.25421627071032443</v>
      </c>
      <c r="L368" s="25"/>
      <c r="T368" s="47"/>
      <c r="U368" s="36"/>
    </row>
    <row r="369" spans="1:21" x14ac:dyDescent="0.3">
      <c r="A369" s="10">
        <f t="shared" si="6"/>
        <v>357</v>
      </c>
      <c r="B369" s="13">
        <v>2.4873608925057242</v>
      </c>
      <c r="C369" s="13">
        <v>1.4617891001119614</v>
      </c>
      <c r="D369" s="16">
        <v>5.6191995968449322E-2</v>
      </c>
      <c r="E369" s="16">
        <v>2.8396479209082937E-2</v>
      </c>
      <c r="F369" s="12">
        <v>5476.8837623197169</v>
      </c>
      <c r="G369" s="12">
        <v>8533.1310510138446</v>
      </c>
      <c r="H369" s="35">
        <v>0.54768837623197164</v>
      </c>
      <c r="I369" s="35">
        <v>0.85331310510138447</v>
      </c>
      <c r="J369" s="12">
        <v>-0.84942455911950054</v>
      </c>
      <c r="K369" s="12">
        <v>-0.12780925953864558</v>
      </c>
      <c r="L369" s="25"/>
      <c r="T369" s="47"/>
      <c r="U369" s="36"/>
    </row>
    <row r="370" spans="1:21" x14ac:dyDescent="0.3">
      <c r="A370" s="10">
        <f t="shared" ref="A370:A400" si="7">A369+1</f>
        <v>358</v>
      </c>
      <c r="B370" s="13">
        <v>-0.36850414694962969</v>
      </c>
      <c r="C370" s="13">
        <v>1.4504578464131967</v>
      </c>
      <c r="D370" s="16">
        <v>-8.5729355089437936E-3</v>
      </c>
      <c r="E370" s="16">
        <v>2.8175200623555587E-2</v>
      </c>
      <c r="F370" s="12">
        <v>5430.131479526779</v>
      </c>
      <c r="G370" s="12">
        <v>8776.9727438648952</v>
      </c>
      <c r="H370" s="35">
        <v>0.54301314795267785</v>
      </c>
      <c r="I370" s="35">
        <v>0.87769727438648948</v>
      </c>
      <c r="J370" s="12">
        <v>-0.87670654010928062</v>
      </c>
      <c r="K370" s="12">
        <v>1.2109791600761737E-3</v>
      </c>
      <c r="L370" s="25"/>
      <c r="T370" s="47"/>
      <c r="U370" s="36"/>
    </row>
    <row r="371" spans="1:21" x14ac:dyDescent="0.3">
      <c r="A371" s="10">
        <f t="shared" si="7"/>
        <v>359</v>
      </c>
      <c r="B371" s="13">
        <v>1.6813380930125232</v>
      </c>
      <c r="C371" s="13">
        <v>0.3637511195910173</v>
      </c>
      <c r="D371" s="16">
        <v>3.7913117009817136E-2</v>
      </c>
      <c r="E371" s="16">
        <v>6.95381296541101E-3</v>
      </c>
      <c r="F371" s="12">
        <v>5639.9571287936806</v>
      </c>
      <c r="G371" s="12">
        <v>8838.2188709858692</v>
      </c>
      <c r="H371" s="35">
        <v>0.56399571287936801</v>
      </c>
      <c r="I371" s="35">
        <v>0.88382188709858689</v>
      </c>
      <c r="J371" s="12">
        <v>-0.75426419007856593</v>
      </c>
      <c r="K371" s="12">
        <v>3.3617208989472985E-2</v>
      </c>
      <c r="L371" s="25"/>
      <c r="T371" s="47"/>
      <c r="U371" s="36"/>
    </row>
    <row r="372" spans="1:21" x14ac:dyDescent="0.3">
      <c r="A372" s="10">
        <f t="shared" si="7"/>
        <v>360</v>
      </c>
      <c r="B372" s="13">
        <v>0.95236154811503604</v>
      </c>
      <c r="C372" s="13">
        <v>-0.98480519874325767</v>
      </c>
      <c r="D372" s="16">
        <v>2.1381482872121185E-2</v>
      </c>
      <c r="E372" s="16">
        <v>-1.9381016574017015E-2</v>
      </c>
      <c r="F372" s="12">
        <v>5761.8462166527625</v>
      </c>
      <c r="G372" s="12">
        <v>8668.5744553515269</v>
      </c>
      <c r="H372" s="35">
        <v>0.57618462166527629</v>
      </c>
      <c r="I372" s="35">
        <v>0.86685744553515265</v>
      </c>
      <c r="J372" s="12">
        <v>-0.68313663054182805</v>
      </c>
      <c r="K372" s="12">
        <v>-5.614415521011825E-2</v>
      </c>
      <c r="L372" s="25"/>
      <c r="T372" s="47"/>
      <c r="U372" s="36"/>
    </row>
    <row r="373" spans="1:21" x14ac:dyDescent="0.3">
      <c r="A373" s="10">
        <f t="shared" si="7"/>
        <v>361</v>
      </c>
      <c r="B373" s="13">
        <v>0.54167159267227016</v>
      </c>
      <c r="C373" s="13">
        <v>-5.3440649923564378E-2</v>
      </c>
      <c r="D373" s="16">
        <v>1.2067910117374703E-2</v>
      </c>
      <c r="E373" s="16">
        <v>-1.1931765121878921E-3</v>
      </c>
      <c r="F373" s="12">
        <v>5831.800913419449</v>
      </c>
      <c r="G373" s="12">
        <v>8658.2374840592965</v>
      </c>
      <c r="H373" s="35">
        <v>0.58318009134194493</v>
      </c>
      <c r="I373" s="35">
        <v>0.86582374840592968</v>
      </c>
      <c r="J373" s="12">
        <v>-0.64231503652924959</v>
      </c>
      <c r="K373" s="12">
        <v>-6.1613599290626944E-2</v>
      </c>
      <c r="L373" s="25"/>
      <c r="T373" s="47"/>
      <c r="U373" s="36"/>
    </row>
    <row r="374" spans="1:21" x14ac:dyDescent="0.3">
      <c r="A374" s="10">
        <f t="shared" si="7"/>
        <v>362</v>
      </c>
      <c r="B374" s="13">
        <v>-1.8176155680514468</v>
      </c>
      <c r="C374" s="13">
        <v>-0.86016469035456922</v>
      </c>
      <c r="D374" s="16">
        <v>-4.1435693585447832E-2</v>
      </c>
      <c r="E374" s="16">
        <v>-1.6947016230465819E-2</v>
      </c>
      <c r="F374" s="12">
        <v>5595.0941190061249</v>
      </c>
      <c r="G374" s="12">
        <v>8512.7425277617258</v>
      </c>
      <c r="H374" s="35">
        <v>0.55950941190061254</v>
      </c>
      <c r="I374" s="35">
        <v>0.85127425277617252</v>
      </c>
      <c r="J374" s="12">
        <v>-0.78044369848009565</v>
      </c>
      <c r="K374" s="12">
        <v>-0.13859712811823938</v>
      </c>
      <c r="L374" s="25"/>
      <c r="T374" s="47"/>
      <c r="U374" s="36"/>
    </row>
    <row r="375" spans="1:21" x14ac:dyDescent="0.3">
      <c r="A375" s="10">
        <f t="shared" si="7"/>
        <v>363</v>
      </c>
      <c r="B375" s="13">
        <v>-0.10577499729564431</v>
      </c>
      <c r="C375" s="13">
        <v>-0.79199660678425909</v>
      </c>
      <c r="D375" s="16">
        <v>-2.614798433355936E-3</v>
      </c>
      <c r="E375" s="16">
        <v>-1.5615818685026256E-2</v>
      </c>
      <c r="F375" s="12">
        <v>5580.4831863160089</v>
      </c>
      <c r="G375" s="12">
        <v>8380.8416345193873</v>
      </c>
      <c r="H375" s="35">
        <v>0.55804831863160087</v>
      </c>
      <c r="I375" s="35">
        <v>0.8380841634519387</v>
      </c>
      <c r="J375" s="12">
        <v>-0.7889698102351117</v>
      </c>
      <c r="K375" s="12">
        <v>-0.20838783754009538</v>
      </c>
      <c r="L375" s="25"/>
      <c r="T375" s="47"/>
      <c r="U375" s="36"/>
    </row>
    <row r="376" spans="1:21" x14ac:dyDescent="0.3">
      <c r="A376" s="10">
        <f t="shared" si="7"/>
        <v>364</v>
      </c>
      <c r="B376" s="13">
        <v>1.7784054345865663</v>
      </c>
      <c r="C376" s="13">
        <v>-1.1064139688460664</v>
      </c>
      <c r="D376" s="16">
        <v>4.0114397406083531E-2</v>
      </c>
      <c r="E376" s="16">
        <v>-2.1755812633786113E-2</v>
      </c>
      <c r="F376" s="12">
        <v>5808.8915096297396</v>
      </c>
      <c r="G376" s="12">
        <v>8200.4786993074904</v>
      </c>
      <c r="H376" s="35">
        <v>0.580889150962974</v>
      </c>
      <c r="I376" s="35">
        <v>0.82004786993074907</v>
      </c>
      <c r="J376" s="12">
        <v>-0.65568366542478784</v>
      </c>
      <c r="K376" s="12">
        <v>-0.30382052864946885</v>
      </c>
      <c r="L376" s="25"/>
      <c r="T376" s="47"/>
      <c r="U376" s="36"/>
    </row>
    <row r="377" spans="1:21" x14ac:dyDescent="0.3">
      <c r="A377" s="10">
        <f t="shared" si="7"/>
        <v>365</v>
      </c>
      <c r="B377" s="13">
        <v>-0.66317165045715587</v>
      </c>
      <c r="C377" s="13">
        <v>-1.8661699283070095</v>
      </c>
      <c r="D377" s="16">
        <v>-1.5255366369513799E-2</v>
      </c>
      <c r="E377" s="16">
        <v>-3.6592451943505327E-2</v>
      </c>
      <c r="F377" s="12">
        <v>5720.9472579106468</v>
      </c>
      <c r="G377" s="12">
        <v>7905.8269689054005</v>
      </c>
      <c r="H377" s="35">
        <v>0.57209472579106468</v>
      </c>
      <c r="I377" s="35">
        <v>0.79058269689054006</v>
      </c>
      <c r="J377" s="12">
        <v>-0.70700294354831816</v>
      </c>
      <c r="K377" s="12">
        <v>-0.45972510815339707</v>
      </c>
      <c r="L377" s="25"/>
      <c r="T377" s="47"/>
      <c r="U377" s="36"/>
    </row>
    <row r="378" spans="1:21" x14ac:dyDescent="0.3">
      <c r="A378" s="10">
        <f t="shared" si="7"/>
        <v>366</v>
      </c>
      <c r="B378" s="13">
        <v>-1.0979770017202386</v>
      </c>
      <c r="C378" s="13">
        <v>1.3870657339409718</v>
      </c>
      <c r="D378" s="16">
        <v>-2.5115824896618375E-2</v>
      </c>
      <c r="E378" s="16">
        <v>2.6937269027074433E-2</v>
      </c>
      <c r="F378" s="12">
        <v>5579.0503364790529</v>
      </c>
      <c r="G378" s="12">
        <v>8121.6825850418709</v>
      </c>
      <c r="H378" s="35">
        <v>0.55790503364790534</v>
      </c>
      <c r="I378" s="35">
        <v>0.81216825850418706</v>
      </c>
      <c r="J378" s="12">
        <v>-0.78980594014530603</v>
      </c>
      <c r="K378" s="12">
        <v>-0.34551271570827513</v>
      </c>
      <c r="L378" s="25"/>
      <c r="T378" s="47"/>
      <c r="U378" s="36"/>
    </row>
    <row r="379" spans="1:21" x14ac:dyDescent="0.3">
      <c r="A379" s="10">
        <f t="shared" si="7"/>
        <v>367</v>
      </c>
      <c r="B379" s="13">
        <v>1.4571085897674581</v>
      </c>
      <c r="C379" s="13">
        <v>0.73718984701416368</v>
      </c>
      <c r="D379" s="16">
        <v>3.2828069848188625E-2</v>
      </c>
      <c r="E379" s="16">
        <v>1.4246385842350185E-2</v>
      </c>
      <c r="F379" s="12">
        <v>5765.2391800598025</v>
      </c>
      <c r="G379" s="12">
        <v>8238.2153230664426</v>
      </c>
      <c r="H379" s="35">
        <v>0.57652391800598024</v>
      </c>
      <c r="I379" s="35">
        <v>0.82382153230664423</v>
      </c>
      <c r="J379" s="12">
        <v>-0.68115668950707997</v>
      </c>
      <c r="K379" s="12">
        <v>-0.28385352404030245</v>
      </c>
      <c r="L379" s="25"/>
      <c r="T379" s="47"/>
      <c r="U379" s="36"/>
    </row>
    <row r="380" spans="1:21" x14ac:dyDescent="0.3">
      <c r="A380" s="10">
        <f t="shared" si="7"/>
        <v>368</v>
      </c>
      <c r="B380" s="13">
        <v>-0.879758238308192</v>
      </c>
      <c r="C380" s="13">
        <v>0.33724744235348042</v>
      </c>
      <c r="D380" s="16">
        <v>-2.0167088501792808E-2</v>
      </c>
      <c r="E380" s="16">
        <v>6.4362447980832417E-3</v>
      </c>
      <c r="F380" s="12">
        <v>5650.1356440148202</v>
      </c>
      <c r="G380" s="12">
        <v>8291.4094953105323</v>
      </c>
      <c r="H380" s="35">
        <v>0.56501356440148198</v>
      </c>
      <c r="I380" s="35">
        <v>0.82914094953105322</v>
      </c>
      <c r="J380" s="12">
        <v>-0.74832458580304462</v>
      </c>
      <c r="K380" s="12">
        <v>-0.25570770238007606</v>
      </c>
      <c r="L380" s="25"/>
      <c r="T380" s="47"/>
      <c r="U380" s="36"/>
    </row>
    <row r="381" spans="1:21" x14ac:dyDescent="0.3">
      <c r="A381" s="10">
        <f t="shared" si="7"/>
        <v>369</v>
      </c>
      <c r="B381" s="13">
        <v>-0.50473211602590562</v>
      </c>
      <c r="C381" s="13">
        <v>-1.2589890774341705</v>
      </c>
      <c r="D381" s="16">
        <v>-1.166229546140571E-2</v>
      </c>
      <c r="E381" s="16">
        <v>-2.4735324443563914E-2</v>
      </c>
      <c r="F381" s="12">
        <v>5584.6248384266273</v>
      </c>
      <c r="G381" s="12">
        <v>8088.8344989349489</v>
      </c>
      <c r="H381" s="35">
        <v>0.55846248384266273</v>
      </c>
      <c r="I381" s="35">
        <v>0.80888344989349492</v>
      </c>
      <c r="J381" s="12">
        <v>-0.78655297692991011</v>
      </c>
      <c r="K381" s="12">
        <v>-0.36289312289278414</v>
      </c>
      <c r="L381" s="25"/>
      <c r="T381" s="47"/>
      <c r="U381" s="36"/>
    </row>
    <row r="382" spans="1:21" x14ac:dyDescent="0.3">
      <c r="A382" s="10">
        <f t="shared" si="7"/>
        <v>370</v>
      </c>
      <c r="B382" s="13">
        <v>0.50886768852283382</v>
      </c>
      <c r="C382" s="13">
        <v>-0.22781472516369333</v>
      </c>
      <c r="D382" s="16">
        <v>1.1323987496705488E-2</v>
      </c>
      <c r="E382" s="16">
        <v>-4.5983821273425703E-3</v>
      </c>
      <c r="F382" s="12">
        <v>5648.2244814238047</v>
      </c>
      <c r="G382" s="12">
        <v>8051.7243356912586</v>
      </c>
      <c r="H382" s="35">
        <v>0.56482244814238047</v>
      </c>
      <c r="I382" s="35">
        <v>0.80517243356912582</v>
      </c>
      <c r="J382" s="12">
        <v>-0.74943983191214669</v>
      </c>
      <c r="K382" s="12">
        <v>-0.38252865799700503</v>
      </c>
      <c r="L382" s="25"/>
      <c r="T382" s="47"/>
      <c r="U382" s="36"/>
    </row>
    <row r="383" spans="1:21" x14ac:dyDescent="0.3">
      <c r="A383" s="10">
        <f t="shared" si="7"/>
        <v>371</v>
      </c>
      <c r="B383" s="13">
        <v>0.42780403707402831</v>
      </c>
      <c r="C383" s="13">
        <v>0.54062704752955637</v>
      </c>
      <c r="D383" s="16">
        <v>9.4856366787024003E-3</v>
      </c>
      <c r="E383" s="16">
        <v>1.0407875171461922E-2</v>
      </c>
      <c r="F383" s="12">
        <v>5702.0563980990401</v>
      </c>
      <c r="G383" s="12">
        <v>8135.9632913368869</v>
      </c>
      <c r="H383" s="35">
        <v>0.57020563980990402</v>
      </c>
      <c r="I383" s="35">
        <v>0.81359632913368873</v>
      </c>
      <c r="J383" s="12">
        <v>-0.7180265780635231</v>
      </c>
      <c r="K383" s="12">
        <v>-0.33795658322975441</v>
      </c>
      <c r="L383" s="25"/>
      <c r="T383" s="47"/>
      <c r="U383" s="36"/>
    </row>
    <row r="384" spans="1:21" x14ac:dyDescent="0.3">
      <c r="A384" s="10">
        <f t="shared" si="7"/>
        <v>372</v>
      </c>
      <c r="B384" s="13">
        <v>-0.70617886979166034</v>
      </c>
      <c r="C384" s="13">
        <v>-1.0892490562009522</v>
      </c>
      <c r="D384" s="16">
        <v>-1.6230678428995289E-2</v>
      </c>
      <c r="E384" s="16">
        <v>-2.1420613397074514E-2</v>
      </c>
      <c r="F384" s="12">
        <v>5610.2551677375086</v>
      </c>
      <c r="G384" s="12">
        <v>7963.5392740751749</v>
      </c>
      <c r="H384" s="35">
        <v>0.5610255167737509</v>
      </c>
      <c r="I384" s="35">
        <v>0.79635392740751754</v>
      </c>
      <c r="J384" s="12">
        <v>-0.77159657019960837</v>
      </c>
      <c r="K384" s="12">
        <v>-0.4291886756762564</v>
      </c>
      <c r="L384" s="25"/>
      <c r="T384" s="47"/>
      <c r="U384" s="36"/>
    </row>
    <row r="385" spans="1:21" x14ac:dyDescent="0.3">
      <c r="A385" s="10">
        <f t="shared" si="7"/>
        <v>373</v>
      </c>
      <c r="B385" s="13">
        <v>-0.18452110204101069</v>
      </c>
      <c r="C385" s="13">
        <v>-6.197345149287067E-3</v>
      </c>
      <c r="D385" s="16">
        <v>-4.4005922322526442E-3</v>
      </c>
      <c r="E385" s="16">
        <v>-2.7060148792298401E-4</v>
      </c>
      <c r="F385" s="12">
        <v>5585.6209647204978</v>
      </c>
      <c r="G385" s="12">
        <v>7961.3846200379194</v>
      </c>
      <c r="H385" s="35">
        <v>0.5585620964720498</v>
      </c>
      <c r="I385" s="35">
        <v>0.7961384620037919</v>
      </c>
      <c r="J385" s="12">
        <v>-0.78597169411355738</v>
      </c>
      <c r="K385" s="12">
        <v>-0.43032873492924761</v>
      </c>
      <c r="L385" s="25"/>
      <c r="T385" s="47"/>
      <c r="U385" s="36"/>
    </row>
    <row r="386" spans="1:21" x14ac:dyDescent="0.3">
      <c r="A386" s="10">
        <f t="shared" si="7"/>
        <v>374</v>
      </c>
      <c r="B386" s="13">
        <v>0.70401604434107623</v>
      </c>
      <c r="C386" s="13">
        <v>1.9069256718167413</v>
      </c>
      <c r="D386" s="16">
        <v>1.5749536224633039E-2</v>
      </c>
      <c r="E386" s="16">
        <v>3.7089179379062052E-2</v>
      </c>
      <c r="F386" s="12">
        <v>5674.2883063915451</v>
      </c>
      <c r="G386" s="12">
        <v>8262.2100423293032</v>
      </c>
      <c r="H386" s="35">
        <v>0.5674288306391545</v>
      </c>
      <c r="I386" s="35">
        <v>0.82622100423293032</v>
      </c>
      <c r="J386" s="12">
        <v>-0.73423046169935657</v>
      </c>
      <c r="K386" s="12">
        <v>-0.27115756392533497</v>
      </c>
      <c r="L386" s="25"/>
      <c r="T386" s="47"/>
      <c r="U386" s="36"/>
    </row>
    <row r="387" spans="1:21" x14ac:dyDescent="0.3">
      <c r="A387" s="10">
        <f t="shared" si="7"/>
        <v>375</v>
      </c>
      <c r="B387" s="13">
        <v>-1.1943680788601014</v>
      </c>
      <c r="C387" s="13">
        <v>-0.67689296618379857</v>
      </c>
      <c r="D387" s="16">
        <v>-2.7301769057055978E-2</v>
      </c>
      <c r="E387" s="16">
        <v>-1.3368055863874769E-2</v>
      </c>
      <c r="F387" s="12">
        <v>5521.4658517024354</v>
      </c>
      <c r="G387" s="12">
        <v>8152.4953270211063</v>
      </c>
      <c r="H387" s="35">
        <v>0.55214658517024351</v>
      </c>
      <c r="I387" s="35">
        <v>0.81524953270211065</v>
      </c>
      <c r="J387" s="12">
        <v>-0.82340897993568096</v>
      </c>
      <c r="K387" s="12">
        <v>-0.32920923914263517</v>
      </c>
      <c r="L387" s="25"/>
      <c r="T387" s="47"/>
      <c r="U387" s="36"/>
    </row>
    <row r="388" spans="1:21" x14ac:dyDescent="0.3">
      <c r="A388" s="10">
        <f t="shared" si="7"/>
        <v>376</v>
      </c>
      <c r="B388" s="13">
        <v>-1.2340604723192268</v>
      </c>
      <c r="C388" s="13">
        <v>-1.5410909637324635</v>
      </c>
      <c r="D388" s="16">
        <v>-2.820190793163117E-2</v>
      </c>
      <c r="E388" s="16">
        <v>-3.024425646769548E-2</v>
      </c>
      <c r="F388" s="12">
        <v>5367.9252257823327</v>
      </c>
      <c r="G388" s="12">
        <v>7909.6204654589892</v>
      </c>
      <c r="H388" s="35">
        <v>0.53679252257823329</v>
      </c>
      <c r="I388" s="35">
        <v>0.79096204654589897</v>
      </c>
      <c r="J388" s="12">
        <v>-0.91300658217605579</v>
      </c>
      <c r="K388" s="12">
        <v>-0.45771791313631782</v>
      </c>
      <c r="L388" s="25"/>
      <c r="T388" s="47"/>
      <c r="U388" s="36"/>
    </row>
    <row r="389" spans="1:21" x14ac:dyDescent="0.3">
      <c r="A389" s="10">
        <f t="shared" si="7"/>
        <v>377</v>
      </c>
      <c r="B389" s="13">
        <v>0.16380324037465693</v>
      </c>
      <c r="C389" s="13">
        <v>1.0833433857873958</v>
      </c>
      <c r="D389" s="16">
        <v>3.49866135879276E-3</v>
      </c>
      <c r="E389" s="16">
        <v>2.1006129068589879E-2</v>
      </c>
      <c r="F389" s="12">
        <v>5386.7386700912821</v>
      </c>
      <c r="G389" s="12">
        <v>8077.5283469837705</v>
      </c>
      <c r="H389" s="35">
        <v>0.53867386700912823</v>
      </c>
      <c r="I389" s="35">
        <v>0.807752834698377</v>
      </c>
      <c r="J389" s="12">
        <v>-0.90202812295809065</v>
      </c>
      <c r="K389" s="12">
        <v>-0.36887537476468252</v>
      </c>
      <c r="L389" s="25"/>
      <c r="T389" s="47"/>
      <c r="U389" s="36"/>
    </row>
    <row r="390" spans="1:21" x14ac:dyDescent="0.3">
      <c r="A390" s="10">
        <f t="shared" si="7"/>
        <v>378</v>
      </c>
      <c r="B390" s="13">
        <v>1.2545667167774437</v>
      </c>
      <c r="C390" s="13">
        <v>5.6703671336933451E-2</v>
      </c>
      <c r="D390" s="16">
        <v>2.8234851910970277E-2</v>
      </c>
      <c r="E390" s="16">
        <v>9.5773990538823345E-4</v>
      </c>
      <c r="F390" s="12">
        <v>5540.999963061764</v>
      </c>
      <c r="G390" s="12">
        <v>8085.2682240215063</v>
      </c>
      <c r="H390" s="35">
        <v>0.55409999630617635</v>
      </c>
      <c r="I390" s="35">
        <v>0.80852682240215068</v>
      </c>
      <c r="J390" s="12">
        <v>-0.81200998029500571</v>
      </c>
      <c r="K390" s="12">
        <v>-0.36478009158635655</v>
      </c>
      <c r="L390" s="25"/>
      <c r="T390" s="47"/>
      <c r="U390" s="36"/>
    </row>
    <row r="391" spans="1:21" x14ac:dyDescent="0.3">
      <c r="A391" s="10">
        <f t="shared" si="7"/>
        <v>379</v>
      </c>
      <c r="B391" s="13">
        <v>-0.34879615452689361</v>
      </c>
      <c r="C391" s="13">
        <v>0.6636191189510664</v>
      </c>
      <c r="D391" s="16">
        <v>-8.1260002507360374E-3</v>
      </c>
      <c r="E391" s="16">
        <v>1.2809684566851042E-2</v>
      </c>
      <c r="F391" s="12">
        <v>5496.1562427730751</v>
      </c>
      <c r="G391" s="12">
        <v>8189.504148950743</v>
      </c>
      <c r="H391" s="35">
        <v>0.54961562427730748</v>
      </c>
      <c r="I391" s="35">
        <v>0.81895041489507425</v>
      </c>
      <c r="J391" s="12">
        <v>-0.83817823243887379</v>
      </c>
      <c r="K391" s="12">
        <v>-0.30962732522343955</v>
      </c>
      <c r="L391" s="25"/>
      <c r="T391" s="47"/>
      <c r="U391" s="36"/>
    </row>
    <row r="392" spans="1:21" x14ac:dyDescent="0.3">
      <c r="A392" s="10">
        <f t="shared" si="7"/>
        <v>380</v>
      </c>
      <c r="B392" s="13">
        <v>0.13932731227037537</v>
      </c>
      <c r="C392" s="13">
        <v>0.41638925965198392</v>
      </c>
      <c r="D392" s="16">
        <v>2.9435994827519693E-3</v>
      </c>
      <c r="E392" s="16">
        <v>7.981739220274682E-3</v>
      </c>
      <c r="F392" s="12">
        <v>5512.35856031407</v>
      </c>
      <c r="G392" s="12">
        <v>8255.1321999856409</v>
      </c>
      <c r="H392" s="35">
        <v>0.55123585603140701</v>
      </c>
      <c r="I392" s="35">
        <v>0.82551321999856409</v>
      </c>
      <c r="J392" s="12">
        <v>-0.82872347872980845</v>
      </c>
      <c r="K392" s="12">
        <v>-0.27490255477564474</v>
      </c>
      <c r="L392" s="25"/>
      <c r="T392" s="47"/>
      <c r="U392" s="36"/>
    </row>
    <row r="393" spans="1:21" x14ac:dyDescent="0.3">
      <c r="A393" s="10">
        <f t="shared" si="7"/>
        <v>381</v>
      </c>
      <c r="B393" s="13">
        <v>0.16092200348360461</v>
      </c>
      <c r="C393" s="13">
        <v>-1.0353709237039805</v>
      </c>
      <c r="D393" s="16">
        <v>3.4333210478042801E-3</v>
      </c>
      <c r="E393" s="16">
        <v>-2.0368472366017652E-2</v>
      </c>
      <c r="F393" s="12">
        <v>5531.3167831922519</v>
      </c>
      <c r="G393" s="12">
        <v>8088.6886229872107</v>
      </c>
      <c r="H393" s="35">
        <v>0.55313167831922516</v>
      </c>
      <c r="I393" s="35">
        <v>0.80886886229872101</v>
      </c>
      <c r="J393" s="12">
        <v>-0.81766053494900337</v>
      </c>
      <c r="K393" s="12">
        <v>-0.36297030800980629</v>
      </c>
      <c r="L393" s="25"/>
      <c r="T393" s="47"/>
      <c r="U393" s="36"/>
    </row>
    <row r="394" spans="1:21" x14ac:dyDescent="0.3">
      <c r="A394" s="10">
        <f t="shared" si="7"/>
        <v>382</v>
      </c>
      <c r="B394" s="13">
        <v>0.47561022709612982</v>
      </c>
      <c r="C394" s="13">
        <v>0.4654411453036732</v>
      </c>
      <c r="D394" s="16">
        <v>1.0569779163799356E-2</v>
      </c>
      <c r="E394" s="16">
        <v>8.9396325093145778E-3</v>
      </c>
      <c r="F394" s="12">
        <v>5590.0916515710442</v>
      </c>
      <c r="G394" s="12">
        <v>8161.3227040307265</v>
      </c>
      <c r="H394" s="35">
        <v>0.55900916515710442</v>
      </c>
      <c r="I394" s="35">
        <v>0.81613227040307268</v>
      </c>
      <c r="J394" s="12">
        <v>-0.7833628547931748</v>
      </c>
      <c r="K394" s="12">
        <v>-0.32453854367809659</v>
      </c>
      <c r="L394" s="25"/>
      <c r="T394" s="47"/>
      <c r="U394" s="36"/>
    </row>
    <row r="395" spans="1:21" x14ac:dyDescent="0.3">
      <c r="A395" s="10">
        <f t="shared" si="7"/>
        <v>383</v>
      </c>
      <c r="B395" s="13">
        <v>0.33997748093984492</v>
      </c>
      <c r="C395" s="13">
        <v>1.4975443585858523</v>
      </c>
      <c r="D395" s="16">
        <v>7.4939175983740856E-3</v>
      </c>
      <c r="E395" s="16">
        <v>2.9094713776113237E-2</v>
      </c>
      <c r="F395" s="12">
        <v>5632.1406970310136</v>
      </c>
      <c r="G395" s="12">
        <v>8402.2620872617917</v>
      </c>
      <c r="H395" s="35">
        <v>0.56321406970310139</v>
      </c>
      <c r="I395" s="35">
        <v>0.84022620872617915</v>
      </c>
      <c r="J395" s="12">
        <v>-0.75882541639774803</v>
      </c>
      <c r="K395" s="12">
        <v>-0.19705395983630219</v>
      </c>
      <c r="L395" s="25"/>
      <c r="T395" s="47"/>
      <c r="U395" s="36"/>
    </row>
    <row r="396" spans="1:21" x14ac:dyDescent="0.3">
      <c r="A396" s="10">
        <f t="shared" si="7"/>
        <v>384</v>
      </c>
      <c r="B396" s="13">
        <v>0.26984315996646324</v>
      </c>
      <c r="C396" s="13">
        <v>-0.45165333083267428</v>
      </c>
      <c r="D396" s="16">
        <v>5.9034206983802342E-3</v>
      </c>
      <c r="E396" s="16">
        <v>-8.969539226600395E-3</v>
      </c>
      <c r="F396" s="12">
        <v>5665.4879275164931</v>
      </c>
      <c r="G396" s="12">
        <v>8327.2346516535254</v>
      </c>
      <c r="H396" s="35">
        <v>0.56654879275164927</v>
      </c>
      <c r="I396" s="35">
        <v>0.83272346516535256</v>
      </c>
      <c r="J396" s="12">
        <v>-0.73936586375523861</v>
      </c>
      <c r="K396" s="12">
        <v>-0.23675208339323026</v>
      </c>
      <c r="L396" s="25"/>
      <c r="T396" s="47"/>
      <c r="U396" s="36"/>
    </row>
    <row r="397" spans="1:21" x14ac:dyDescent="0.3">
      <c r="A397" s="10">
        <f t="shared" si="7"/>
        <v>385</v>
      </c>
      <c r="B397" s="13">
        <v>0.40241125704370334</v>
      </c>
      <c r="C397" s="13">
        <v>-0.91914986902333351</v>
      </c>
      <c r="D397" s="16">
        <v>8.9097825553583407E-3</v>
      </c>
      <c r="E397" s="16">
        <v>-1.8098888498962042E-2</v>
      </c>
      <c r="F397" s="12">
        <v>5716.1917375586627</v>
      </c>
      <c r="G397" s="12">
        <v>8177.8766442250153</v>
      </c>
      <c r="H397" s="35">
        <v>0.57161917375586624</v>
      </c>
      <c r="I397" s="35">
        <v>0.8177876644225015</v>
      </c>
      <c r="J397" s="12">
        <v>-0.70977799554768151</v>
      </c>
      <c r="K397" s="12">
        <v>-0.31577960959139739</v>
      </c>
      <c r="L397" s="25"/>
      <c r="T397" s="47"/>
      <c r="U397" s="36"/>
    </row>
    <row r="398" spans="1:21" x14ac:dyDescent="0.3">
      <c r="A398" s="10">
        <f t="shared" si="7"/>
        <v>386</v>
      </c>
      <c r="B398" s="13">
        <v>-0.77758782095434564</v>
      </c>
      <c r="C398" s="13">
        <v>0.59289101337026251</v>
      </c>
      <c r="D398" s="16">
        <v>-1.7850081224656051E-2</v>
      </c>
      <c r="E398" s="16">
        <v>1.1428494490623583E-2</v>
      </c>
      <c r="F398" s="12">
        <v>5615.0625183169241</v>
      </c>
      <c r="G398" s="12">
        <v>8271.8735609412633</v>
      </c>
      <c r="H398" s="35">
        <v>0.56150625183169245</v>
      </c>
      <c r="I398" s="35">
        <v>0.8271873560941263</v>
      </c>
      <c r="J398" s="12">
        <v>-0.76879127301872652</v>
      </c>
      <c r="K398" s="12">
        <v>-0.26604445359786427</v>
      </c>
      <c r="L398" s="25"/>
      <c r="T398" s="47"/>
      <c r="U398" s="36"/>
    </row>
    <row r="399" spans="1:21" x14ac:dyDescent="0.3">
      <c r="A399" s="10">
        <f t="shared" si="7"/>
        <v>387</v>
      </c>
      <c r="B399" s="13">
        <v>0.80717063559079949</v>
      </c>
      <c r="C399" s="13">
        <v>0.60969852407263114</v>
      </c>
      <c r="D399" s="16">
        <v>1.8088862467844073E-2</v>
      </c>
      <c r="E399" s="16">
        <v>1.1756714323426499E-2</v>
      </c>
      <c r="F399" s="12">
        <v>5717.5568198996016</v>
      </c>
      <c r="G399" s="12">
        <v>8369.6975327930541</v>
      </c>
      <c r="H399" s="35">
        <v>0.57175568198996018</v>
      </c>
      <c r="I399" s="35">
        <v>0.83696975327930545</v>
      </c>
      <c r="J399" s="12">
        <v>-0.70898141090517486</v>
      </c>
      <c r="K399" s="12">
        <v>-0.21428434624622808</v>
      </c>
      <c r="L399" s="25"/>
      <c r="T399" s="47"/>
      <c r="U399" s="36"/>
    </row>
    <row r="400" spans="1:21" x14ac:dyDescent="0.3">
      <c r="A400" s="10">
        <f t="shared" si="7"/>
        <v>388</v>
      </c>
      <c r="B400" s="13">
        <v>-1.6168069573332788</v>
      </c>
      <c r="C400" s="13">
        <v>-1.083511248490785</v>
      </c>
      <c r="D400" s="16">
        <v>-3.6881782341899386E-2</v>
      </c>
      <c r="E400" s="16">
        <v>-2.1308564544592096E-2</v>
      </c>
      <c r="F400" s="12">
        <v>5510.5244626319363</v>
      </c>
      <c r="G400" s="12">
        <v>8193.238018975384</v>
      </c>
      <c r="H400" s="35">
        <v>0.55105244626319361</v>
      </c>
      <c r="I400" s="35">
        <v>0.8193238018975384</v>
      </c>
      <c r="J400" s="12">
        <v>-0.82979375412831646</v>
      </c>
      <c r="K400" s="12">
        <v>-0.30765167948289157</v>
      </c>
      <c r="L400" s="25"/>
      <c r="T400" s="47"/>
      <c r="U400" s="36"/>
    </row>
    <row r="401" spans="1:21" x14ac:dyDescent="0.3">
      <c r="A401" s="10">
        <f t="shared" ref="A401:A410" si="8">A400+1</f>
        <v>389</v>
      </c>
      <c r="B401" s="13">
        <v>1.8217337601669643</v>
      </c>
      <c r="C401" s="13">
        <v>-1.4162999789993713</v>
      </c>
      <c r="D401" s="16">
        <v>4.1096991470745574E-2</v>
      </c>
      <c r="E401" s="16">
        <v>-2.7807317597346618E-2</v>
      </c>
      <c r="F401" s="12">
        <v>5741.708383787447</v>
      </c>
      <c r="G401" s="12">
        <v>7968.5445864893136</v>
      </c>
      <c r="H401" s="35">
        <v>0.57417083837874472</v>
      </c>
      <c r="I401" s="35">
        <v>0.79685445864893134</v>
      </c>
      <c r="J401" s="12">
        <v>-0.69488792781730335</v>
      </c>
      <c r="K401" s="12">
        <v>-0.42654029100141611</v>
      </c>
      <c r="L401" s="25"/>
      <c r="T401" s="47"/>
      <c r="U401" s="36"/>
    </row>
    <row r="402" spans="1:21" x14ac:dyDescent="0.3">
      <c r="A402" s="10">
        <f t="shared" si="8"/>
        <v>390</v>
      </c>
      <c r="B402" s="13">
        <v>0.28909211661843409</v>
      </c>
      <c r="C402" s="13">
        <v>1.2945163316782429</v>
      </c>
      <c r="D402" s="16">
        <v>6.3399460037966114E-3</v>
      </c>
      <c r="E402" s="16">
        <v>2.5129949080974281E-2</v>
      </c>
      <c r="F402" s="12">
        <v>5778.2261429017499</v>
      </c>
      <c r="G402" s="12">
        <v>8171.3310410690192</v>
      </c>
      <c r="H402" s="35">
        <v>0.57782261429017501</v>
      </c>
      <c r="I402" s="35">
        <v>0.81713310410690188</v>
      </c>
      <c r="J402" s="12">
        <v>-0.67357823446268783</v>
      </c>
      <c r="K402" s="12">
        <v>-0.31924298483186375</v>
      </c>
      <c r="L402" s="25"/>
      <c r="T402" s="47"/>
      <c r="U402" s="36"/>
    </row>
    <row r="403" spans="1:21" x14ac:dyDescent="0.3">
      <c r="A403" s="10">
        <f t="shared" si="8"/>
        <v>391</v>
      </c>
      <c r="B403" s="13">
        <v>1.0003391220404061</v>
      </c>
      <c r="C403" s="13">
        <v>0.24806665767413397</v>
      </c>
      <c r="D403" s="16">
        <v>2.246951197881901E-2</v>
      </c>
      <c r="E403" s="16">
        <v>4.6947077700828501E-3</v>
      </c>
      <c r="F403" s="12">
        <v>5909.5297035800622</v>
      </c>
      <c r="G403" s="12">
        <v>8209.7832426995792</v>
      </c>
      <c r="H403" s="35">
        <v>0.5909529703580062</v>
      </c>
      <c r="I403" s="35">
        <v>0.82097832426995787</v>
      </c>
      <c r="J403" s="12">
        <v>-0.59695692246854382</v>
      </c>
      <c r="K403" s="12">
        <v>-0.29889735740917067</v>
      </c>
      <c r="L403" s="25"/>
      <c r="T403" s="47"/>
      <c r="U403" s="36"/>
    </row>
    <row r="404" spans="1:21" x14ac:dyDescent="0.3">
      <c r="A404" s="10">
        <f t="shared" si="8"/>
        <v>392</v>
      </c>
      <c r="B404" s="13">
        <v>1.6679226998935777</v>
      </c>
      <c r="C404" s="13">
        <v>0.34547860125529134</v>
      </c>
      <c r="D404" s="16">
        <v>3.7608884490392305E-2</v>
      </c>
      <c r="E404" s="16">
        <v>6.5969842226397809E-3</v>
      </c>
      <c r="F404" s="12">
        <v>6136.012715613354</v>
      </c>
      <c r="G404" s="12">
        <v>8264.1220924204426</v>
      </c>
      <c r="H404" s="35">
        <v>0.61360127156133537</v>
      </c>
      <c r="I404" s="35">
        <v>0.82641220924204428</v>
      </c>
      <c r="J404" s="12">
        <v>-0.46479428014011981</v>
      </c>
      <c r="K404" s="12">
        <v>-0.27014587000097634</v>
      </c>
      <c r="L404" s="25"/>
      <c r="T404" s="47"/>
      <c r="U404" s="36"/>
    </row>
    <row r="405" spans="1:21" x14ac:dyDescent="0.3">
      <c r="A405" s="10">
        <f t="shared" si="8"/>
        <v>393</v>
      </c>
      <c r="B405" s="13">
        <v>-2.4886347696264846</v>
      </c>
      <c r="C405" s="13">
        <v>0.46246179067510895</v>
      </c>
      <c r="D405" s="16">
        <v>-5.665297871959072E-2</v>
      </c>
      <c r="E405" s="16">
        <v>8.8814511822064464E-3</v>
      </c>
      <c r="F405" s="12">
        <v>5798.0529194026085</v>
      </c>
      <c r="G405" s="12">
        <v>8337.8463941264927</v>
      </c>
      <c r="H405" s="35">
        <v>0.57980529194026087</v>
      </c>
      <c r="I405" s="35">
        <v>0.83378463941264924</v>
      </c>
      <c r="J405" s="12">
        <v>-0.66200845204199388</v>
      </c>
      <c r="K405" s="12">
        <v>-0.23113725382547487</v>
      </c>
      <c r="L405" s="25"/>
      <c r="T405" s="47"/>
      <c r="U405" s="36"/>
    </row>
    <row r="406" spans="1:21" x14ac:dyDescent="0.3">
      <c r="A406" s="10">
        <f t="shared" si="8"/>
        <v>394</v>
      </c>
      <c r="B406" s="13">
        <v>-9.3223653183602002E-3</v>
      </c>
      <c r="C406" s="13">
        <v>0.59621539132273305</v>
      </c>
      <c r="D406" s="16">
        <v>-4.2745834041710875E-4</v>
      </c>
      <c r="E406" s="16">
        <v>1.1493413489936183E-2</v>
      </c>
      <c r="F406" s="12">
        <v>5795.575022960511</v>
      </c>
      <c r="G406" s="12">
        <v>8434.229534991684</v>
      </c>
      <c r="H406" s="35">
        <v>0.57955750229605107</v>
      </c>
      <c r="I406" s="35">
        <v>0.8434229534991684</v>
      </c>
      <c r="J406" s="12">
        <v>-0.66345441188800514</v>
      </c>
      <c r="K406" s="12">
        <v>-0.18013951141496923</v>
      </c>
      <c r="L406" s="25"/>
      <c r="T406" s="47"/>
      <c r="U406" s="36"/>
    </row>
    <row r="407" spans="1:21" x14ac:dyDescent="0.3">
      <c r="A407" s="10">
        <f t="shared" si="8"/>
        <v>395</v>
      </c>
      <c r="B407" s="13">
        <v>-0.16704186564314188</v>
      </c>
      <c r="C407" s="13">
        <v>-1.5781347032364681</v>
      </c>
      <c r="D407" s="16">
        <v>-4.0042004098291934E-3</v>
      </c>
      <c r="E407" s="16">
        <v>-3.0967652704158126E-2</v>
      </c>
      <c r="F407" s="12">
        <v>5772.4147791524565</v>
      </c>
      <c r="G407" s="12">
        <v>8177.0440128746341</v>
      </c>
      <c r="H407" s="35">
        <v>0.5772414779152456</v>
      </c>
      <c r="I407" s="35">
        <v>0.81770440128746336</v>
      </c>
      <c r="J407" s="12">
        <v>-0.67696941679350797</v>
      </c>
      <c r="K407" s="12">
        <v>-0.31622016712820816</v>
      </c>
      <c r="L407" s="25"/>
      <c r="T407" s="47"/>
      <c r="U407" s="36"/>
    </row>
    <row r="408" spans="1:21" x14ac:dyDescent="0.3">
      <c r="A408" s="10">
        <f t="shared" si="8"/>
        <v>396</v>
      </c>
      <c r="B408" s="13">
        <v>-1.139550049897728</v>
      </c>
      <c r="C408" s="13">
        <v>-4.0402368302284011E-2</v>
      </c>
      <c r="D408" s="16">
        <v>-2.6058613011365896E-2</v>
      </c>
      <c r="E408" s="16">
        <v>-9.3856280468801413E-4</v>
      </c>
      <c r="F408" s="12">
        <v>5623.936625582357</v>
      </c>
      <c r="G408" s="12">
        <v>8169.3729439649487</v>
      </c>
      <c r="H408" s="35">
        <v>0.56239366255823575</v>
      </c>
      <c r="I408" s="35">
        <v>0.81693729439649487</v>
      </c>
      <c r="J408" s="12">
        <v>-0.76361284725523881</v>
      </c>
      <c r="K408" s="12">
        <v>-0.32027904291040066</v>
      </c>
      <c r="L408" s="25"/>
      <c r="T408" s="47"/>
      <c r="U408" s="36"/>
    </row>
    <row r="409" spans="1:21" x14ac:dyDescent="0.3">
      <c r="A409" s="10">
        <f t="shared" si="8"/>
        <v>397</v>
      </c>
      <c r="B409" s="13">
        <v>-0.90371698271943446</v>
      </c>
      <c r="C409" s="13">
        <v>0.1076486937614597</v>
      </c>
      <c r="D409" s="16">
        <v>-2.0710421754114292E-2</v>
      </c>
      <c r="E409" s="16">
        <v>1.9526026806332489E-3</v>
      </c>
      <c r="F409" s="12">
        <v>5508.6603565666428</v>
      </c>
      <c r="G409" s="12">
        <v>8185.3400671250729</v>
      </c>
      <c r="H409" s="35">
        <v>0.55086603565666425</v>
      </c>
      <c r="I409" s="35">
        <v>0.81853400671250731</v>
      </c>
      <c r="J409" s="12">
        <v>-0.83088154071750842</v>
      </c>
      <c r="K409" s="12">
        <v>-0.31183060237767563</v>
      </c>
      <c r="L409" s="25"/>
      <c r="T409" s="47"/>
      <c r="U409" s="36"/>
    </row>
    <row r="410" spans="1:21" x14ac:dyDescent="0.3">
      <c r="A410" s="10">
        <f t="shared" si="8"/>
        <v>398</v>
      </c>
      <c r="B410" s="13">
        <v>2.2766316497890057E-2</v>
      </c>
      <c r="C410" s="13">
        <v>0.85081818166063894</v>
      </c>
      <c r="D410" s="16">
        <v>3.0024456231727919E-4</v>
      </c>
      <c r="E410" s="16">
        <v>1.6465338646234694E-2</v>
      </c>
      <c r="F410" s="12">
        <v>5510.3145502032503</v>
      </c>
      <c r="G410" s="12">
        <v>8321.2301311737974</v>
      </c>
      <c r="H410" s="35">
        <v>0.55103145502032502</v>
      </c>
      <c r="I410" s="35">
        <v>0.8321230131173798</v>
      </c>
      <c r="J410" s="12">
        <v>-0.82991624711789502</v>
      </c>
      <c r="K410" s="12">
        <v>-0.23992916380350729</v>
      </c>
      <c r="L410" s="25"/>
      <c r="T410" s="47"/>
      <c r="U410" s="36"/>
    </row>
    <row r="411" spans="1:21" x14ac:dyDescent="0.3">
      <c r="A411" s="10">
        <f>A410+1</f>
        <v>399</v>
      </c>
      <c r="B411" s="13">
        <v>-0.37309503225223983</v>
      </c>
      <c r="C411" s="13">
        <v>-0.45536855770114343</v>
      </c>
      <c r="D411" s="16">
        <v>-8.6770470015866061E-3</v>
      </c>
      <c r="E411" s="16">
        <v>-9.0420907878153451E-3</v>
      </c>
      <c r="F411" s="12">
        <v>5462.7081321160385</v>
      </c>
      <c r="G411" s="12">
        <v>8246.3279593095795</v>
      </c>
      <c r="H411" s="35">
        <v>0.54627081321160387</v>
      </c>
      <c r="I411" s="35">
        <v>0.82463279593095795</v>
      </c>
      <c r="J411" s="12">
        <v>-0.85769665302874865</v>
      </c>
      <c r="K411" s="12">
        <v>-0.27956100846461379</v>
      </c>
      <c r="L411" s="25"/>
      <c r="T411" s="47"/>
      <c r="U411" s="36"/>
    </row>
    <row r="412" spans="1:21" x14ac:dyDescent="0.3">
      <c r="A412" s="10">
        <f>A411+1</f>
        <v>400</v>
      </c>
      <c r="B412" s="13">
        <v>0.42902147626031445</v>
      </c>
      <c r="C412" s="13">
        <v>-0.51770232078614264</v>
      </c>
      <c r="D412" s="16">
        <v>9.5132456043303271E-3</v>
      </c>
      <c r="E412" s="16">
        <v>-1.0259354763429039E-2</v>
      </c>
      <c r="F412" s="12">
        <v>5514.9241945512913</v>
      </c>
      <c r="G412" s="12">
        <v>8162.1584559430612</v>
      </c>
      <c r="H412" s="35">
        <v>0.55149241945512917</v>
      </c>
      <c r="I412" s="35">
        <v>0.81621584559430616</v>
      </c>
      <c r="J412" s="12">
        <v>-0.82722632008203489</v>
      </c>
      <c r="K412" s="12">
        <v>-0.32409633500589796</v>
      </c>
      <c r="L412" s="25"/>
      <c r="T412" s="47"/>
      <c r="U412" s="36"/>
    </row>
    <row r="413" spans="1:21" x14ac:dyDescent="0.3">
      <c r="A413" s="10">
        <f t="shared" ref="A413:A476" si="9">A412+1</f>
        <v>401</v>
      </c>
      <c r="B413" s="11">
        <v>-0.5500413578738621</v>
      </c>
      <c r="C413" s="11">
        <v>0.23974363473106902</v>
      </c>
      <c r="D413" s="11">
        <v>-1.268981248445634E-2</v>
      </c>
      <c r="E413" s="11">
        <v>4.5321744094226893E-3</v>
      </c>
      <c r="F413" s="11">
        <v>5445.3830061667804</v>
      </c>
      <c r="G413" s="11">
        <v>8199.2347362430464</v>
      </c>
      <c r="H413" s="35">
        <v>0.54453830061667807</v>
      </c>
      <c r="I413" s="35">
        <v>0.81992347362430462</v>
      </c>
      <c r="J413" s="11">
        <v>-0.8678066140521834</v>
      </c>
      <c r="K413" s="11">
        <v>-0.30447872786729085</v>
      </c>
      <c r="T413" s="47"/>
      <c r="U413" s="36"/>
    </row>
    <row r="414" spans="1:21" x14ac:dyDescent="0.3">
      <c r="A414" s="10">
        <f t="shared" si="9"/>
        <v>402</v>
      </c>
      <c r="B414" s="11">
        <v>0.8809887434885797</v>
      </c>
      <c r="C414" s="11">
        <v>-0.9253891315888374</v>
      </c>
      <c r="D414" s="11">
        <v>1.9762899802851439E-2</v>
      </c>
      <c r="E414" s="11">
        <v>-1.8220729844318113E-2</v>
      </c>
      <c r="F414" s="11">
        <v>5554.0700126277652</v>
      </c>
      <c r="G414" s="11">
        <v>8051.1915186978558</v>
      </c>
      <c r="H414" s="35">
        <v>0.55540700126277653</v>
      </c>
      <c r="I414" s="35">
        <v>0.80511915186978555</v>
      </c>
      <c r="J414" s="11">
        <v>-0.80438304055017273</v>
      </c>
      <c r="K414" s="11">
        <v>-0.38281057933239193</v>
      </c>
      <c r="T414" s="47"/>
      <c r="U414" s="36"/>
    </row>
    <row r="415" spans="1:21" x14ac:dyDescent="0.3">
      <c r="A415" s="10">
        <f t="shared" si="9"/>
        <v>403</v>
      </c>
      <c r="B415" s="11">
        <v>-1.8485645420563905</v>
      </c>
      <c r="C415" s="11">
        <v>9.6037714339246405E-2</v>
      </c>
      <c r="D415" s="11">
        <v>-4.2137550344445121E-2</v>
      </c>
      <c r="E415" s="11">
        <v>1.7258615651806278E-3</v>
      </c>
      <c r="F415" s="11">
        <v>5324.8974024446625</v>
      </c>
      <c r="G415" s="11">
        <v>8065.0987582269699</v>
      </c>
      <c r="H415" s="35">
        <v>0.53248974024446627</v>
      </c>
      <c r="I415" s="35">
        <v>0.80650987582269695</v>
      </c>
      <c r="J415" s="11">
        <v>-0.93811517983595982</v>
      </c>
      <c r="K415" s="11">
        <v>-0.37545205363193818</v>
      </c>
      <c r="T415" s="47"/>
      <c r="U415" s="36"/>
    </row>
    <row r="416" spans="1:21" x14ac:dyDescent="0.3">
      <c r="A416" s="10">
        <f t="shared" si="9"/>
        <v>404</v>
      </c>
      <c r="B416" s="11">
        <v>-0.19482169634165847</v>
      </c>
      <c r="C416" s="11">
        <v>0.75076213719785967</v>
      </c>
      <c r="D416" s="11">
        <v>-4.6341877540442156E-3</v>
      </c>
      <c r="E416" s="11">
        <v>1.4511427756868648E-2</v>
      </c>
      <c r="F416" s="11">
        <v>5300.2779178278042</v>
      </c>
      <c r="G416" s="11">
        <v>8182.9881592014326</v>
      </c>
      <c r="H416" s="35">
        <v>0.53002779178278048</v>
      </c>
      <c r="I416" s="35">
        <v>0.81829881592014331</v>
      </c>
      <c r="J416" s="11">
        <v>-0.95248171492623701</v>
      </c>
      <c r="K416" s="11">
        <v>-0.31307503157334576</v>
      </c>
      <c r="T416" s="47"/>
      <c r="U416" s="36"/>
    </row>
    <row r="417" spans="1:21" x14ac:dyDescent="0.3">
      <c r="A417" s="10">
        <f t="shared" si="9"/>
        <v>405</v>
      </c>
      <c r="B417" s="11">
        <v>-2.1280815673034703</v>
      </c>
      <c r="C417" s="11">
        <v>-0.68553121239048553</v>
      </c>
      <c r="D417" s="11">
        <v>-4.8476400653122281E-2</v>
      </c>
      <c r="E417" s="11">
        <v>-1.3536744956261879E-2</v>
      </c>
      <c r="F417" s="11">
        <v>5049.4678215158874</v>
      </c>
      <c r="G417" s="11">
        <v>8072.9635034651355</v>
      </c>
      <c r="H417" s="35">
        <v>0.50494678215158872</v>
      </c>
      <c r="I417" s="35">
        <v>0.80729635034651359</v>
      </c>
      <c r="J417" s="11">
        <v>-1.0988402640891073</v>
      </c>
      <c r="K417" s="11">
        <v>-0.37129070084575738</v>
      </c>
      <c r="T417" s="47"/>
      <c r="U417" s="36"/>
    </row>
    <row r="418" spans="1:21" x14ac:dyDescent="0.3">
      <c r="A418" s="10">
        <f t="shared" si="9"/>
        <v>406</v>
      </c>
      <c r="B418" s="11">
        <v>0.19133012692568907</v>
      </c>
      <c r="C418" s="11">
        <v>0.70942032939819288</v>
      </c>
      <c r="D418" s="11">
        <v>4.1229124689234993E-3</v>
      </c>
      <c r="E418" s="11">
        <v>1.3704098135959073E-2</v>
      </c>
      <c r="F418" s="11">
        <v>5070.3293108549024</v>
      </c>
      <c r="G418" s="11">
        <v>8184.3577228865224</v>
      </c>
      <c r="H418" s="35">
        <v>0.50703293108549019</v>
      </c>
      <c r="I418" s="35">
        <v>0.81843577228865227</v>
      </c>
      <c r="J418" s="11">
        <v>-1.0866666819329975</v>
      </c>
      <c r="K418" s="11">
        <v>-0.31235037521332237</v>
      </c>
      <c r="T418" s="47"/>
      <c r="U418" s="36"/>
    </row>
    <row r="419" spans="1:21" x14ac:dyDescent="0.3">
      <c r="A419" s="10">
        <f t="shared" si="9"/>
        <v>407</v>
      </c>
      <c r="B419" s="11">
        <v>-1.803170623295054</v>
      </c>
      <c r="C419" s="11">
        <v>0.26741314147290834</v>
      </c>
      <c r="D419" s="11">
        <v>-4.1108113029497989E-2</v>
      </c>
      <c r="E419" s="11">
        <v>5.0725090870180917E-3</v>
      </c>
      <c r="F419" s="11">
        <v>4866.1236511771522</v>
      </c>
      <c r="G419" s="11">
        <v>8225.9784232547954</v>
      </c>
      <c r="H419" s="35">
        <v>0.48661236511771522</v>
      </c>
      <c r="I419" s="35">
        <v>0.8225978423254795</v>
      </c>
      <c r="J419" s="11">
        <v>-1.2058295247402242</v>
      </c>
      <c r="K419" s="11">
        <v>-0.29032824834266147</v>
      </c>
      <c r="T419" s="47"/>
      <c r="U419" s="36"/>
    </row>
    <row r="420" spans="1:21" x14ac:dyDescent="0.3">
      <c r="A420" s="10">
        <f t="shared" si="9"/>
        <v>408</v>
      </c>
      <c r="B420" s="11">
        <v>4.2690834839422688E-2</v>
      </c>
      <c r="C420" s="11">
        <v>-1.0160325683465081</v>
      </c>
      <c r="D420" s="11">
        <v>7.5209016681248284E-4</v>
      </c>
      <c r="E420" s="11">
        <v>-1.9990829782620789E-2</v>
      </c>
      <c r="F420" s="11">
        <v>4869.7847915069433</v>
      </c>
      <c r="G420" s="11">
        <v>8063.1670777801874</v>
      </c>
      <c r="H420" s="35">
        <v>0.48697847915069431</v>
      </c>
      <c r="I420" s="35">
        <v>0.80631670777801878</v>
      </c>
      <c r="J420" s="11">
        <v>-1.2036930908612486</v>
      </c>
      <c r="K420" s="11">
        <v>-0.37647413426720422</v>
      </c>
      <c r="T420" s="47"/>
      <c r="U420" s="36"/>
    </row>
    <row r="421" spans="1:21" x14ac:dyDescent="0.3">
      <c r="A421" s="10">
        <f t="shared" si="9"/>
        <v>409</v>
      </c>
      <c r="B421" s="11">
        <v>-0.16037745643145093</v>
      </c>
      <c r="C421" s="11">
        <v>1.635638659396679</v>
      </c>
      <c r="D421" s="11">
        <v>-3.853065814892317E-3</v>
      </c>
      <c r="E421" s="11">
        <v>3.1791441990409564E-2</v>
      </c>
      <c r="F421" s="11">
        <v>4851.0572925132037</v>
      </c>
      <c r="G421" s="11">
        <v>8323.6250163053555</v>
      </c>
      <c r="H421" s="35">
        <v>0.48510572925132039</v>
      </c>
      <c r="I421" s="35">
        <v>0.8323625016305356</v>
      </c>
      <c r="J421" s="11">
        <v>-1.2146213972670805</v>
      </c>
      <c r="K421" s="11">
        <v>-0.23866199473280045</v>
      </c>
      <c r="T421" s="47"/>
      <c r="U421" s="36"/>
    </row>
    <row r="422" spans="1:21" x14ac:dyDescent="0.3">
      <c r="A422" s="10">
        <f t="shared" si="9"/>
        <v>410</v>
      </c>
      <c r="B422" s="11">
        <v>-1.476834207277963E-2</v>
      </c>
      <c r="C422" s="11">
        <v>-1.7555613975166275</v>
      </c>
      <c r="D422" s="11">
        <v>-5.5096148445738717E-4</v>
      </c>
      <c r="E422" s="11">
        <v>-3.4432470365895564E-2</v>
      </c>
      <c r="F422" s="11">
        <v>4848.3852829409061</v>
      </c>
      <c r="G422" s="11">
        <v>8041.9001204118931</v>
      </c>
      <c r="H422" s="35">
        <v>0.48483852829409063</v>
      </c>
      <c r="I422" s="35">
        <v>0.80419001204118934</v>
      </c>
      <c r="J422" s="11">
        <v>-1.2161806305280272</v>
      </c>
      <c r="K422" s="11">
        <v>-0.38772679530302195</v>
      </c>
      <c r="T422" s="47"/>
      <c r="U422" s="36"/>
    </row>
    <row r="423" spans="1:21" x14ac:dyDescent="0.3">
      <c r="A423" s="10">
        <f t="shared" si="9"/>
        <v>411</v>
      </c>
      <c r="B423" s="11">
        <v>0.1872624610944687</v>
      </c>
      <c r="C423" s="11">
        <v>-0.24303887834578478</v>
      </c>
      <c r="D423" s="11">
        <v>4.0306664785870082E-3</v>
      </c>
      <c r="E423" s="11">
        <v>-4.8956818941240854E-3</v>
      </c>
      <c r="F423" s="11">
        <v>4867.9669440378775</v>
      </c>
      <c r="G423" s="11">
        <v>8002.6257514495519</v>
      </c>
      <c r="H423" s="35">
        <v>0.48679669440378776</v>
      </c>
      <c r="I423" s="35">
        <v>0.80026257514495514</v>
      </c>
      <c r="J423" s="11">
        <v>-1.2047538835569342</v>
      </c>
      <c r="K423" s="11">
        <v>-0.40850744359583957</v>
      </c>
      <c r="T423" s="47"/>
      <c r="U423" s="36"/>
    </row>
    <row r="424" spans="1:21" x14ac:dyDescent="0.3">
      <c r="A424" s="10">
        <f t="shared" si="9"/>
        <v>412</v>
      </c>
      <c r="B424" s="11">
        <v>0.97041163869141422</v>
      </c>
      <c r="C424" s="11">
        <v>-0.5840344903641862</v>
      </c>
      <c r="D424" s="11">
        <v>2.1790820450469359E-2</v>
      </c>
      <c r="E424" s="11">
        <v>-1.1554700278532108E-2</v>
      </c>
      <c r="F424" s="11">
        <v>4975.2081308992292</v>
      </c>
      <c r="G424" s="11">
        <v>7910.6899774751037</v>
      </c>
      <c r="H424" s="35">
        <v>0.49752081308992291</v>
      </c>
      <c r="I424" s="35">
        <v>0.79106899774751038</v>
      </c>
      <c r="J424" s="11">
        <v>-1.1421740083831216</v>
      </c>
      <c r="K424" s="11">
        <v>-0.45715201854299853</v>
      </c>
      <c r="T424" s="47"/>
      <c r="U424" s="36"/>
    </row>
    <row r="425" spans="1:21" x14ac:dyDescent="0.3">
      <c r="A425" s="10">
        <f t="shared" si="9"/>
        <v>413</v>
      </c>
      <c r="B425" s="11">
        <v>4.340536176147762E-2</v>
      </c>
      <c r="C425" s="11">
        <v>-1.1789155120453603</v>
      </c>
      <c r="D425" s="11">
        <v>7.6829411430520667E-4</v>
      </c>
      <c r="E425" s="11">
        <v>-2.3171634691449415E-2</v>
      </c>
      <c r="F425" s="11">
        <v>4979.0320227723569</v>
      </c>
      <c r="G425" s="11">
        <v>7729.4937726129328</v>
      </c>
      <c r="H425" s="35">
        <v>0.49790320227723567</v>
      </c>
      <c r="I425" s="35">
        <v>0.77294937726129331</v>
      </c>
      <c r="J425" s="11">
        <v>-1.1399426019328378</v>
      </c>
      <c r="K425" s="11">
        <v>-0.55302560492307706</v>
      </c>
      <c r="T425" s="47"/>
      <c r="U425" s="36"/>
    </row>
    <row r="426" spans="1:21" x14ac:dyDescent="0.3">
      <c r="A426" s="10">
        <f t="shared" si="9"/>
        <v>414</v>
      </c>
      <c r="B426" s="11">
        <v>-0.60939784489613724</v>
      </c>
      <c r="C426" s="11">
        <v>-0.34895095665681847</v>
      </c>
      <c r="D426" s="11">
        <v>-1.4035891084679536E-2</v>
      </c>
      <c r="E426" s="11">
        <v>-6.9639503754380817E-3</v>
      </c>
      <c r="F426" s="11">
        <v>4909.6350351729179</v>
      </c>
      <c r="G426" s="11">
        <v>7675.8529543344484</v>
      </c>
      <c r="H426" s="35">
        <v>0.49096350351729179</v>
      </c>
      <c r="I426" s="35">
        <v>0.76758529543344489</v>
      </c>
      <c r="J426" s="11">
        <v>-1.1804387485022174</v>
      </c>
      <c r="K426" s="11">
        <v>-0.58140775359242836</v>
      </c>
      <c r="T426" s="47"/>
      <c r="U426" s="36"/>
    </row>
    <row r="427" spans="1:21" x14ac:dyDescent="0.3">
      <c r="A427" s="10">
        <f t="shared" si="9"/>
        <v>415</v>
      </c>
      <c r="B427" s="11">
        <v>2.8999014104375767</v>
      </c>
      <c r="C427" s="11">
        <v>-0.44953876332591208</v>
      </c>
      <c r="D427" s="11">
        <v>6.5547535535753293E-2</v>
      </c>
      <c r="E427" s="11">
        <v>-8.9282456046113779E-3</v>
      </c>
      <c r="F427" s="11">
        <v>5242.2308562436692</v>
      </c>
      <c r="G427" s="11">
        <v>7607.626080294106</v>
      </c>
      <c r="H427" s="35">
        <v>0.52422308562436692</v>
      </c>
      <c r="I427" s="35">
        <v>0.76076260802941065</v>
      </c>
      <c r="J427" s="11">
        <v>-0.98635468830947848</v>
      </c>
      <c r="K427" s="11">
        <v>-0.6175075996500492</v>
      </c>
      <c r="T427" s="47"/>
      <c r="U427" s="36"/>
    </row>
    <row r="428" spans="1:21" x14ac:dyDescent="0.3">
      <c r="A428" s="10">
        <f t="shared" si="9"/>
        <v>416</v>
      </c>
      <c r="B428" s="11">
        <v>6.2217353897265654E-2</v>
      </c>
      <c r="C428" s="11">
        <v>-1.2105398977231385</v>
      </c>
      <c r="D428" s="11">
        <v>1.1949099959366178E-3</v>
      </c>
      <c r="E428" s="11">
        <v>-2.3789200895241419E-2</v>
      </c>
      <c r="F428" s="11">
        <v>5248.4985942404328</v>
      </c>
      <c r="G428" s="11">
        <v>7428.7824430190803</v>
      </c>
      <c r="H428" s="35">
        <v>0.52484985942404327</v>
      </c>
      <c r="I428" s="35">
        <v>0.74287824430190808</v>
      </c>
      <c r="J428" s="11">
        <v>-0.98269719184809812</v>
      </c>
      <c r="K428" s="11">
        <v>-0.7121364077967608</v>
      </c>
      <c r="T428" s="47"/>
      <c r="U428" s="36"/>
    </row>
    <row r="429" spans="1:21" x14ac:dyDescent="0.3">
      <c r="A429" s="10">
        <f t="shared" si="9"/>
        <v>417</v>
      </c>
      <c r="B429" s="11">
        <v>0.2992676732866339</v>
      </c>
      <c r="C429" s="11">
        <v>-0.67114119814541606</v>
      </c>
      <c r="D429" s="11">
        <v>6.5707059386169112E-3</v>
      </c>
      <c r="E429" s="11">
        <v>-1.3255734391807342E-2</v>
      </c>
      <c r="F429" s="11">
        <v>5283.0984834862484</v>
      </c>
      <c r="G429" s="11">
        <v>7330.9582741227277</v>
      </c>
      <c r="H429" s="35">
        <v>0.52830984834862482</v>
      </c>
      <c r="I429" s="35">
        <v>0.73309582741227275</v>
      </c>
      <c r="J429" s="11">
        <v>-0.96250665858935802</v>
      </c>
      <c r="K429" s="11">
        <v>-0.76389661940758302</v>
      </c>
      <c r="T429" s="47"/>
      <c r="U429" s="36"/>
    </row>
    <row r="430" spans="1:21" x14ac:dyDescent="0.3">
      <c r="A430" s="10">
        <f t="shared" si="9"/>
        <v>418</v>
      </c>
      <c r="B430" s="11">
        <v>-1.1353059195929547</v>
      </c>
      <c r="C430" s="11">
        <v>0.22717132114917477</v>
      </c>
      <c r="D430" s="11">
        <v>-2.5962365182924326E-2</v>
      </c>
      <c r="E430" s="11">
        <v>4.2866602024191729E-3</v>
      </c>
      <c r="F430" s="11">
        <v>5147.7019634956732</v>
      </c>
      <c r="G430" s="11">
        <v>7362.4510523971539</v>
      </c>
      <c r="H430" s="35">
        <v>0.51477019634956733</v>
      </c>
      <c r="I430" s="35">
        <v>0.73624510523971542</v>
      </c>
      <c r="J430" s="11">
        <v>-1.041516389532875</v>
      </c>
      <c r="K430" s="11">
        <v>-0.74723332560107891</v>
      </c>
      <c r="T430" s="47"/>
      <c r="U430" s="36"/>
    </row>
    <row r="431" spans="1:21" x14ac:dyDescent="0.3">
      <c r="A431" s="10">
        <f t="shared" si="9"/>
        <v>419</v>
      </c>
      <c r="B431" s="11">
        <v>-0.53020054153995511</v>
      </c>
      <c r="C431" s="11">
        <v>0.4651328877933319</v>
      </c>
      <c r="D431" s="11">
        <v>-1.2239865063073258E-2</v>
      </c>
      <c r="E431" s="11">
        <v>8.9336128059631353E-3</v>
      </c>
      <c r="F431" s="11">
        <v>5085.0788173253095</v>
      </c>
      <c r="G431" s="11">
        <v>7428.5190127873157</v>
      </c>
      <c r="H431" s="35">
        <v>0.50850788173253092</v>
      </c>
      <c r="I431" s="35">
        <v>0.74285190127873157</v>
      </c>
      <c r="J431" s="11">
        <v>-1.0780597063781039</v>
      </c>
      <c r="K431" s="11">
        <v>-0.7122757926205181</v>
      </c>
      <c r="T431" s="47"/>
      <c r="U431" s="36"/>
    </row>
    <row r="432" spans="1:21" x14ac:dyDescent="0.3">
      <c r="A432" s="10">
        <f t="shared" si="9"/>
        <v>420</v>
      </c>
      <c r="B432" s="11">
        <v>1.4306626616552316E-2</v>
      </c>
      <c r="C432" s="11">
        <v>-1.1940614933373141E-2</v>
      </c>
      <c r="D432" s="11">
        <v>1.0839682864800053E-4</v>
      </c>
      <c r="E432" s="11">
        <v>-3.8275700468306612E-4</v>
      </c>
      <c r="F432" s="11">
        <v>5085.6300536181261</v>
      </c>
      <c r="G432" s="11">
        <v>7425.6762391812117</v>
      </c>
      <c r="H432" s="35">
        <v>0.50856300536181265</v>
      </c>
      <c r="I432" s="35">
        <v>0.74256762391812114</v>
      </c>
      <c r="J432" s="11">
        <v>-1.0777380361373565</v>
      </c>
      <c r="K432" s="11">
        <v>-0.71377994609377182</v>
      </c>
      <c r="T432" s="47"/>
      <c r="U432" s="36"/>
    </row>
    <row r="433" spans="1:21" x14ac:dyDescent="0.3">
      <c r="A433" s="10">
        <f t="shared" si="9"/>
        <v>421</v>
      </c>
      <c r="B433" s="11">
        <v>2.1914646751166145</v>
      </c>
      <c r="C433" s="11">
        <v>-1.2062132444905145</v>
      </c>
      <c r="D433" s="11">
        <v>4.9481700496195408E-2</v>
      </c>
      <c r="E433" s="11">
        <v>-2.3704709299445029E-2</v>
      </c>
      <c r="F433" s="11">
        <v>5343.605576249196</v>
      </c>
      <c r="G433" s="11">
        <v>7251.7226477306967</v>
      </c>
      <c r="H433" s="35">
        <v>0.53436055762491963</v>
      </c>
      <c r="I433" s="35">
        <v>0.72517226477306962</v>
      </c>
      <c r="J433" s="11">
        <v>-0.9271981505146476</v>
      </c>
      <c r="K433" s="11">
        <v>-0.80582135881950645</v>
      </c>
      <c r="T433" s="47"/>
      <c r="U433" s="36"/>
    </row>
    <row r="434" spans="1:21" x14ac:dyDescent="0.3">
      <c r="A434" s="10">
        <f t="shared" si="9"/>
        <v>422</v>
      </c>
      <c r="B434" s="11">
        <v>-0.51893079925746755</v>
      </c>
      <c r="C434" s="11">
        <v>0.12894920219383693</v>
      </c>
      <c r="D434" s="11">
        <v>-1.1984291330908245E-2</v>
      </c>
      <c r="E434" s="11">
        <v>2.3685625119309718E-3</v>
      </c>
      <c r="F434" s="11">
        <v>5279.948454894763</v>
      </c>
      <c r="G434" s="11">
        <v>7268.9191636129626</v>
      </c>
      <c r="H434" s="35">
        <v>0.52799484548947628</v>
      </c>
      <c r="I434" s="35">
        <v>0.72689191636129624</v>
      </c>
      <c r="J434" s="11">
        <v>-0.96434483664219839</v>
      </c>
      <c r="K434" s="11">
        <v>-0.79672242845212426</v>
      </c>
      <c r="T434" s="47"/>
      <c r="U434" s="36"/>
    </row>
    <row r="435" spans="1:21" x14ac:dyDescent="0.3">
      <c r="A435" s="10">
        <f t="shared" si="9"/>
        <v>423</v>
      </c>
      <c r="B435" s="11">
        <v>0.26677493608150771</v>
      </c>
      <c r="C435" s="11">
        <v>1.3756345633159528</v>
      </c>
      <c r="D435" s="11">
        <v>5.8338399209551415E-3</v>
      </c>
      <c r="E435" s="11">
        <v>2.6714039247380968E-2</v>
      </c>
      <c r="F435" s="11">
        <v>5310.8408520061403</v>
      </c>
      <c r="G435" s="11">
        <v>7465.7183018837713</v>
      </c>
      <c r="H435" s="35">
        <v>0.53108408520061401</v>
      </c>
      <c r="I435" s="35">
        <v>0.74657183018837714</v>
      </c>
      <c r="J435" s="11">
        <v>-0.94631778554708834</v>
      </c>
      <c r="K435" s="11">
        <v>-0.69259309971213523</v>
      </c>
      <c r="T435" s="47"/>
      <c r="U435" s="36"/>
    </row>
    <row r="436" spans="1:21" x14ac:dyDescent="0.3">
      <c r="A436" s="10">
        <f t="shared" si="9"/>
        <v>424</v>
      </c>
      <c r="B436" s="11">
        <v>1.7382295897073508</v>
      </c>
      <c r="C436" s="11">
        <v>-0.20339072873015518</v>
      </c>
      <c r="D436" s="11">
        <v>3.9203294883835137E-2</v>
      </c>
      <c r="E436" s="11">
        <v>-4.1214263087355268E-3</v>
      </c>
      <c r="F436" s="11">
        <v>5523.1782810410277</v>
      </c>
      <c r="G436" s="11">
        <v>7435.0122139649247</v>
      </c>
      <c r="H436" s="35">
        <v>0.55231782810410279</v>
      </c>
      <c r="I436" s="35">
        <v>0.74350122139649244</v>
      </c>
      <c r="J436" s="11">
        <v>-0.82240970328284402</v>
      </c>
      <c r="K436" s="11">
        <v>-0.70884014404024975</v>
      </c>
      <c r="T436" s="47"/>
      <c r="U436" s="36"/>
    </row>
    <row r="437" spans="1:21" x14ac:dyDescent="0.3">
      <c r="A437" s="10">
        <f t="shared" si="9"/>
        <v>425</v>
      </c>
      <c r="B437" s="11">
        <v>-0.64042734089707609</v>
      </c>
      <c r="C437" s="11">
        <v>-0.87999013724921682</v>
      </c>
      <c r="D437" s="11">
        <v>-1.4739573910903742E-2</v>
      </c>
      <c r="E437" s="11">
        <v>-1.7334170817497396E-2</v>
      </c>
      <c r="F437" s="11">
        <v>5442.3660187681662</v>
      </c>
      <c r="G437" s="11">
        <v>7307.2430279208811</v>
      </c>
      <c r="H437" s="35">
        <v>0.54423660187681666</v>
      </c>
      <c r="I437" s="35">
        <v>0.73072430279208811</v>
      </c>
      <c r="J437" s="11">
        <v>-0.86956715680942032</v>
      </c>
      <c r="K437" s="11">
        <v>-0.77644470620105122</v>
      </c>
      <c r="T437" s="47"/>
      <c r="U437" s="36"/>
    </row>
    <row r="438" spans="1:21" x14ac:dyDescent="0.3">
      <c r="A438" s="10">
        <f t="shared" si="9"/>
        <v>426</v>
      </c>
      <c r="B438" s="11">
        <v>0.11282296299206415</v>
      </c>
      <c r="C438" s="11">
        <v>-0.13091453668948394</v>
      </c>
      <c r="D438" s="11">
        <v>2.342537338306206E-3</v>
      </c>
      <c r="E438" s="11">
        <v>-2.7060993126665207E-3</v>
      </c>
      <c r="F438" s="11">
        <v>5455.129908483179</v>
      </c>
      <c r="G438" s="11">
        <v>7287.4956338411121</v>
      </c>
      <c r="H438" s="35">
        <v>0.54551299084831795</v>
      </c>
      <c r="I438" s="35">
        <v>0.72874956338411123</v>
      </c>
      <c r="J438" s="11">
        <v>-0.86211887459178227</v>
      </c>
      <c r="K438" s="11">
        <v>-0.78689334387273047</v>
      </c>
      <c r="T438" s="47"/>
      <c r="U438" s="36"/>
    </row>
    <row r="439" spans="1:21" x14ac:dyDescent="0.3">
      <c r="A439" s="10">
        <f t="shared" si="9"/>
        <v>427</v>
      </c>
      <c r="B439" s="11">
        <v>0.50062717378077748</v>
      </c>
      <c r="C439" s="11">
        <v>-1.5511592542626489</v>
      </c>
      <c r="D439" s="11">
        <v>1.1137110187997122E-2</v>
      </c>
      <c r="E439" s="11">
        <v>-3.0440871700786656E-2</v>
      </c>
      <c r="F439" s="11">
        <v>5516.2238649440178</v>
      </c>
      <c r="G439" s="11">
        <v>7069.0003793010819</v>
      </c>
      <c r="H439" s="35">
        <v>0.55162238649440176</v>
      </c>
      <c r="I439" s="35">
        <v>0.70690003793010814</v>
      </c>
      <c r="J439" s="11">
        <v>-0.82646790614309673</v>
      </c>
      <c r="K439" s="11">
        <v>-0.90250240795724113</v>
      </c>
      <c r="T439" s="47"/>
      <c r="U439" s="36"/>
    </row>
    <row r="440" spans="1:21" x14ac:dyDescent="0.3">
      <c r="A440" s="10">
        <f t="shared" si="9"/>
        <v>428</v>
      </c>
      <c r="B440" s="11">
        <v>0.96282177066696129</v>
      </c>
      <c r="C440" s="11">
        <v>-0.31299584246296852</v>
      </c>
      <c r="D440" s="11">
        <v>2.1618698422385042E-2</v>
      </c>
      <c r="E440" s="11">
        <v>-6.2618129930443857E-3</v>
      </c>
      <c r="F440" s="11">
        <v>5636.7758383466726</v>
      </c>
      <c r="G440" s="11">
        <v>7024.8739208777042</v>
      </c>
      <c r="H440" s="35">
        <v>0.56367758383466726</v>
      </c>
      <c r="I440" s="35">
        <v>0.70248739208777045</v>
      </c>
      <c r="J440" s="11">
        <v>-0.75612061077747894</v>
      </c>
      <c r="K440" s="11">
        <v>-0.92585036839889978</v>
      </c>
      <c r="T440" s="47"/>
      <c r="U440" s="36"/>
    </row>
    <row r="441" spans="1:21" x14ac:dyDescent="0.3">
      <c r="A441" s="10">
        <f t="shared" si="9"/>
        <v>429</v>
      </c>
      <c r="B441" s="11">
        <v>1.9250227059960434</v>
      </c>
      <c r="C441" s="11">
        <v>0.29610533897408864</v>
      </c>
      <c r="D441" s="11">
        <v>4.343936458942356E-2</v>
      </c>
      <c r="E441" s="11">
        <v>5.6328150379319555E-3</v>
      </c>
      <c r="F441" s="11">
        <v>5887.0298867609699</v>
      </c>
      <c r="G441" s="11">
        <v>7064.5553906087634</v>
      </c>
      <c r="H441" s="35">
        <v>0.58870298867609694</v>
      </c>
      <c r="I441" s="35">
        <v>0.70645553906087633</v>
      </c>
      <c r="J441" s="11">
        <v>-0.61008653963506065</v>
      </c>
      <c r="K441" s="11">
        <v>-0.90485431708069997</v>
      </c>
      <c r="T441" s="47"/>
      <c r="U441" s="36"/>
    </row>
    <row r="442" spans="1:21" x14ac:dyDescent="0.3">
      <c r="A442" s="10">
        <f t="shared" si="9"/>
        <v>430</v>
      </c>
      <c r="B442" s="11">
        <v>0.31921991008155964</v>
      </c>
      <c r="C442" s="11">
        <v>-0.110763857177651</v>
      </c>
      <c r="D442" s="11">
        <v>7.0231801385498768E-3</v>
      </c>
      <c r="E442" s="11">
        <v>-2.3125935296056861E-3</v>
      </c>
      <c r="F442" s="11">
        <v>5928.5210876796391</v>
      </c>
      <c r="G442" s="11">
        <v>7048.2368219038626</v>
      </c>
      <c r="H442" s="35">
        <v>0.5928521087679639</v>
      </c>
      <c r="I442" s="35">
        <v>0.70482368219038627</v>
      </c>
      <c r="J442" s="11">
        <v>-0.5858746276794532</v>
      </c>
      <c r="K442" s="11">
        <v>-0.91348871263836984</v>
      </c>
      <c r="T442" s="47"/>
      <c r="U442" s="36"/>
    </row>
    <row r="443" spans="1:21" x14ac:dyDescent="0.3">
      <c r="A443" s="10">
        <f t="shared" si="9"/>
        <v>431</v>
      </c>
      <c r="B443" s="11">
        <v>-7.5024819532449757E-2</v>
      </c>
      <c r="C443" s="11">
        <v>1.1870331873006432</v>
      </c>
      <c r="D443" s="11">
        <v>-1.9174499493635831E-3</v>
      </c>
      <c r="E443" s="11">
        <v>2.3031000563168154E-2</v>
      </c>
      <c r="F443" s="11">
        <v>5917.1643367005945</v>
      </c>
      <c r="G443" s="11">
        <v>7212.4484891581578</v>
      </c>
      <c r="H443" s="35">
        <v>0.59171643367005944</v>
      </c>
      <c r="I443" s="35">
        <v>0.72124484891581575</v>
      </c>
      <c r="J443" s="11">
        <v>-0.59250178352739746</v>
      </c>
      <c r="K443" s="11">
        <v>-0.82660189579197441</v>
      </c>
      <c r="T443" s="47"/>
      <c r="U443" s="36"/>
    </row>
    <row r="444" spans="1:21" x14ac:dyDescent="0.3">
      <c r="A444" s="10">
        <f t="shared" si="9"/>
        <v>432</v>
      </c>
      <c r="B444" s="11">
        <v>-0.41550447325867357</v>
      </c>
      <c r="C444" s="11">
        <v>-0.51015600725461641</v>
      </c>
      <c r="D444" s="11">
        <v>-9.6388027228233638E-3</v>
      </c>
      <c r="E444" s="11">
        <v>-1.0111989111878578E-2</v>
      </c>
      <c r="F444" s="11">
        <v>5860.4039475276286</v>
      </c>
      <c r="G444" s="11">
        <v>7139.8837935961947</v>
      </c>
      <c r="H444" s="35">
        <v>0.58604039475276282</v>
      </c>
      <c r="I444" s="35">
        <v>0.71398837935961945</v>
      </c>
      <c r="J444" s="11">
        <v>-0.62562392785664256</v>
      </c>
      <c r="K444" s="11">
        <v>-0.86499694724129106</v>
      </c>
      <c r="T444" s="47"/>
      <c r="U444" s="36"/>
    </row>
    <row r="445" spans="1:21" x14ac:dyDescent="0.3">
      <c r="A445" s="10">
        <f t="shared" si="9"/>
        <v>433</v>
      </c>
      <c r="B445" s="11">
        <v>-1.7277216596532698</v>
      </c>
      <c r="C445" s="11">
        <v>0.74136311735457039</v>
      </c>
      <c r="D445" s="11">
        <v>-3.9397091362580433E-2</v>
      </c>
      <c r="E445" s="11">
        <v>1.4327882151805256E-2</v>
      </c>
      <c r="F445" s="11">
        <v>5634.009991466045</v>
      </c>
      <c r="G445" s="11">
        <v>7242.9195868566449</v>
      </c>
      <c r="H445" s="35">
        <v>0.56340099914660446</v>
      </c>
      <c r="I445" s="35">
        <v>0.72429195868566454</v>
      </c>
      <c r="J445" s="11">
        <v>-0.75773460217020128</v>
      </c>
      <c r="K445" s="11">
        <v>-0.81047918825781884</v>
      </c>
      <c r="T445" s="47"/>
      <c r="U445" s="36"/>
    </row>
    <row r="446" spans="1:21" x14ac:dyDescent="0.3">
      <c r="A446" s="10">
        <f t="shared" si="9"/>
        <v>434</v>
      </c>
      <c r="B446" s="11">
        <v>0.94047351155068037</v>
      </c>
      <c r="C446" s="11">
        <v>-0.67274575844006812</v>
      </c>
      <c r="D446" s="11">
        <v>2.1111887543611516E-2</v>
      </c>
      <c r="E446" s="11">
        <v>-1.3287068509093293E-2</v>
      </c>
      <c r="F446" s="11">
        <v>5754.2190318474859</v>
      </c>
      <c r="G446" s="11">
        <v>7147.3189506912131</v>
      </c>
      <c r="H446" s="35">
        <v>0.57542190318474862</v>
      </c>
      <c r="I446" s="35">
        <v>0.71473189506912127</v>
      </c>
      <c r="J446" s="11">
        <v>-0.68758742306857346</v>
      </c>
      <c r="K446" s="11">
        <v>-0.86106289588220808</v>
      </c>
      <c r="T446" s="47"/>
      <c r="U446" s="36"/>
    </row>
    <row r="447" spans="1:21" x14ac:dyDescent="0.3">
      <c r="A447" s="10">
        <f t="shared" si="9"/>
        <v>435</v>
      </c>
      <c r="B447" s="11">
        <v>-1.5932357369427986E-2</v>
      </c>
      <c r="C447" s="11">
        <v>-0.68361810610832818</v>
      </c>
      <c r="D447" s="11">
        <v>-5.7735887014772973E-4</v>
      </c>
      <c r="E447" s="11">
        <v>-1.349938550219499E-2</v>
      </c>
      <c r="F447" s="11">
        <v>5750.8977413292077</v>
      </c>
      <c r="G447" s="11">
        <v>7051.4828564331556</v>
      </c>
      <c r="H447" s="35">
        <v>0.57508977413292073</v>
      </c>
      <c r="I447" s="35">
        <v>0.70514828564331555</v>
      </c>
      <c r="J447" s="11">
        <v>-0.68952553986989651</v>
      </c>
      <c r="K447" s="11">
        <v>-0.91177118785867806</v>
      </c>
      <c r="T447" s="47"/>
      <c r="U447" s="36"/>
    </row>
    <row r="448" spans="1:21" x14ac:dyDescent="0.3">
      <c r="A448" s="10">
        <f t="shared" si="9"/>
        <v>436</v>
      </c>
      <c r="B448" s="11">
        <v>-0.1053900778491883</v>
      </c>
      <c r="C448" s="11">
        <v>1.0230580604452111</v>
      </c>
      <c r="D448" s="11">
        <v>-2.6060692808120914E-3</v>
      </c>
      <c r="E448" s="11">
        <v>1.9828867322060531E-2</v>
      </c>
      <c r="F448" s="11">
        <v>5735.9300153251388</v>
      </c>
      <c r="G448" s="11">
        <v>7192.7012477525068</v>
      </c>
      <c r="H448" s="35">
        <v>0.57359300153251391</v>
      </c>
      <c r="I448" s="35">
        <v>0.71927012477525065</v>
      </c>
      <c r="J448" s="11">
        <v>-0.6982598559697496</v>
      </c>
      <c r="K448" s="11">
        <v>-0.83705045268152434</v>
      </c>
      <c r="T448" s="47"/>
      <c r="U448" s="36"/>
    </row>
    <row r="449" spans="1:21" x14ac:dyDescent="0.3">
      <c r="A449" s="10">
        <f t="shared" si="9"/>
        <v>437</v>
      </c>
      <c r="B449" s="11">
        <v>-0.58468566700219471</v>
      </c>
      <c r="C449" s="11">
        <v>-1.2722908615485611</v>
      </c>
      <c r="D449" s="11">
        <v>-1.3475471567003879E-2</v>
      </c>
      <c r="E449" s="11">
        <v>-2.4995083871079283E-2</v>
      </c>
      <c r="F449" s="11">
        <v>5659.1541110480548</v>
      </c>
      <c r="G449" s="11">
        <v>7015.1473084753707</v>
      </c>
      <c r="H449" s="35">
        <v>0.56591541110480548</v>
      </c>
      <c r="I449" s="35">
        <v>0.70151473084753702</v>
      </c>
      <c r="J449" s="11">
        <v>-0.74306191986548253</v>
      </c>
      <c r="K449" s="11">
        <v>-0.93099686258209757</v>
      </c>
      <c r="T449" s="47"/>
      <c r="U449" s="36"/>
    </row>
    <row r="450" spans="1:21" x14ac:dyDescent="0.3">
      <c r="A450" s="10">
        <f t="shared" si="9"/>
        <v>438</v>
      </c>
      <c r="B450" s="11">
        <v>-0.13044168484553498</v>
      </c>
      <c r="C450" s="11">
        <v>-0.32316546271749874</v>
      </c>
      <c r="D450" s="11">
        <v>-3.1741863269965976E-3</v>
      </c>
      <c r="E450" s="11">
        <v>-6.4604070096551053E-3</v>
      </c>
      <c r="F450" s="11">
        <v>5641.2193805928782</v>
      </c>
      <c r="G450" s="11">
        <v>6969.9726819872194</v>
      </c>
      <c r="H450" s="35">
        <v>0.56412193805928779</v>
      </c>
      <c r="I450" s="35">
        <v>0.69699726819872199</v>
      </c>
      <c r="J450" s="11">
        <v>-0.75352761150886183</v>
      </c>
      <c r="K450" s="11">
        <v>-0.95489942421739238</v>
      </c>
      <c r="T450" s="47"/>
      <c r="U450" s="36"/>
    </row>
    <row r="451" spans="1:21" x14ac:dyDescent="0.3">
      <c r="A451" s="10">
        <f t="shared" si="9"/>
        <v>439</v>
      </c>
      <c r="B451" s="11">
        <v>-0.1100850148694741</v>
      </c>
      <c r="C451" s="11">
        <v>0.13088466675465832</v>
      </c>
      <c r="D451" s="11">
        <v>-2.7125404446131213E-3</v>
      </c>
      <c r="E451" s="11">
        <v>2.4063585821401815E-3</v>
      </c>
      <c r="F451" s="11">
        <v>5625.9380798091206</v>
      </c>
      <c r="G451" s="11">
        <v>6986.765131792512</v>
      </c>
      <c r="H451" s="35">
        <v>0.56259380798091208</v>
      </c>
      <c r="I451" s="35">
        <v>0.69867651317925117</v>
      </c>
      <c r="J451" s="11">
        <v>-0.7624449120678104</v>
      </c>
      <c r="K451" s="11">
        <v>-0.94601429117519942</v>
      </c>
      <c r="T451" s="47"/>
      <c r="U451" s="36"/>
    </row>
    <row r="452" spans="1:21" x14ac:dyDescent="0.3">
      <c r="A452" s="10">
        <f t="shared" si="9"/>
        <v>440</v>
      </c>
      <c r="B452" s="11">
        <v>-0.16556183696397392</v>
      </c>
      <c r="C452" s="11">
        <v>0.51004096315699909</v>
      </c>
      <c r="D452" s="11">
        <v>-3.970636514243577E-3</v>
      </c>
      <c r="E452" s="11">
        <v>9.8105850862953044E-3</v>
      </c>
      <c r="F452" s="11">
        <v>5603.6438151440816</v>
      </c>
      <c r="G452" s="11">
        <v>7055.6467174514764</v>
      </c>
      <c r="H452" s="35">
        <v>0.56036438151440815</v>
      </c>
      <c r="I452" s="35">
        <v>0.7055646717451477</v>
      </c>
      <c r="J452" s="11">
        <v>-0.77545458065376005</v>
      </c>
      <c r="K452" s="11">
        <v>-0.90956802753686949</v>
      </c>
      <c r="T452" s="47"/>
      <c r="U452" s="36"/>
    </row>
    <row r="453" spans="1:21" x14ac:dyDescent="0.3">
      <c r="A453" s="10">
        <f t="shared" si="9"/>
        <v>441</v>
      </c>
      <c r="B453" s="11">
        <v>1.208790504615189</v>
      </c>
      <c r="C453" s="11">
        <v>-0.3793668672146685</v>
      </c>
      <c r="D453" s="11">
        <v>2.7196744996594364E-2</v>
      </c>
      <c r="E453" s="11">
        <v>-7.5579172783679163E-3</v>
      </c>
      <c r="F453" s="11">
        <v>5758.1360068454833</v>
      </c>
      <c r="G453" s="11">
        <v>7002.5217332177581</v>
      </c>
      <c r="H453" s="35">
        <v>0.57581360068454834</v>
      </c>
      <c r="I453" s="35">
        <v>0.70025217332177581</v>
      </c>
      <c r="J453" s="11">
        <v>-0.68530169858521295</v>
      </c>
      <c r="K453" s="11">
        <v>-0.93767724079961956</v>
      </c>
      <c r="T453" s="47"/>
      <c r="U453" s="36"/>
    </row>
    <row r="454" spans="1:21" x14ac:dyDescent="0.3">
      <c r="A454" s="10">
        <f t="shared" si="9"/>
        <v>442</v>
      </c>
      <c r="B454" s="11">
        <v>-0.51021876152860002</v>
      </c>
      <c r="C454" s="11">
        <v>1.8162118714867015</v>
      </c>
      <c r="D454" s="11">
        <v>-1.178672088596657E-2</v>
      </c>
      <c r="E454" s="11">
        <v>3.5317705369347648E-2</v>
      </c>
      <c r="F454" s="11">
        <v>5690.6648777199298</v>
      </c>
      <c r="G454" s="11">
        <v>7254.2538675508786</v>
      </c>
      <c r="H454" s="35">
        <v>0.56906648777199298</v>
      </c>
      <c r="I454" s="35">
        <v>0.72542538675508783</v>
      </c>
      <c r="J454" s="11">
        <v>-0.72467402336162789</v>
      </c>
      <c r="K454" s="11">
        <v>-0.80448205305280029</v>
      </c>
      <c r="T454" s="47"/>
      <c r="U454" s="36"/>
    </row>
    <row r="455" spans="1:21" x14ac:dyDescent="0.3">
      <c r="A455" s="10">
        <f t="shared" si="9"/>
        <v>443</v>
      </c>
      <c r="B455" s="11">
        <v>0.50195534385422202</v>
      </c>
      <c r="C455" s="11">
        <v>-0.43714191638470901</v>
      </c>
      <c r="D455" s="11">
        <v>1.1167230254109688E-2</v>
      </c>
      <c r="E455" s="11">
        <v>-8.6861579390208055E-3</v>
      </c>
      <c r="F455" s="11">
        <v>5754.5700002001831</v>
      </c>
      <c r="G455" s="11">
        <v>7191.5151464136852</v>
      </c>
      <c r="H455" s="35">
        <v>0.57545700002001832</v>
      </c>
      <c r="I455" s="35">
        <v>0.71915151464136851</v>
      </c>
      <c r="J455" s="11">
        <v>-0.68738261784080079</v>
      </c>
      <c r="K455" s="11">
        <v>-0.83767803640630234</v>
      </c>
      <c r="T455" s="47"/>
      <c r="U455" s="36"/>
    </row>
    <row r="456" spans="1:21" x14ac:dyDescent="0.3">
      <c r="A456" s="10">
        <f t="shared" si="9"/>
        <v>444</v>
      </c>
      <c r="B456" s="11">
        <v>-0.58940900966711207</v>
      </c>
      <c r="C456" s="11">
        <v>-0.46535772266408604</v>
      </c>
      <c r="D456" s="11">
        <v>-1.3582586910275129E-2</v>
      </c>
      <c r="E456" s="11">
        <v>-9.2371608438180895E-3</v>
      </c>
      <c r="F456" s="11">
        <v>5676.9364785938551</v>
      </c>
      <c r="G456" s="11">
        <v>7125.3918303131159</v>
      </c>
      <c r="H456" s="35">
        <v>0.56769364785938548</v>
      </c>
      <c r="I456" s="35">
        <v>0.71253918303131158</v>
      </c>
      <c r="J456" s="11">
        <v>-0.73268513857575501</v>
      </c>
      <c r="K456" s="11">
        <v>-0.87266485891026913</v>
      </c>
      <c r="T456" s="47"/>
      <c r="U456" s="36"/>
    </row>
    <row r="457" spans="1:21" x14ac:dyDescent="0.3">
      <c r="A457" s="10">
        <f t="shared" si="9"/>
        <v>445</v>
      </c>
      <c r="B457" s="11">
        <v>1.7065869607927051</v>
      </c>
      <c r="C457" s="11">
        <v>0.50873593488417335</v>
      </c>
      <c r="D457" s="11">
        <v>3.8485707510094107E-2</v>
      </c>
      <c r="E457" s="11">
        <v>9.785100279586267E-3</v>
      </c>
      <c r="F457" s="11">
        <v>5899.6760485577197</v>
      </c>
      <c r="G457" s="11">
        <v>7195.4567409442525</v>
      </c>
      <c r="H457" s="35">
        <v>0.58996760485577193</v>
      </c>
      <c r="I457" s="35">
        <v>0.71954567409442527</v>
      </c>
      <c r="J457" s="11">
        <v>-0.60270695675435637</v>
      </c>
      <c r="K457" s="11">
        <v>-0.83559248056373359</v>
      </c>
      <c r="T457" s="47"/>
      <c r="U457" s="36"/>
    </row>
    <row r="458" spans="1:21" x14ac:dyDescent="0.3">
      <c r="A458" s="10">
        <f t="shared" si="9"/>
        <v>446</v>
      </c>
      <c r="B458" s="11">
        <v>-0.74677109709204725</v>
      </c>
      <c r="C458" s="11">
        <v>-2.6387206706247226</v>
      </c>
      <c r="D458" s="11">
        <v>-1.7151223616986979E-2</v>
      </c>
      <c r="E458" s="11">
        <v>-5.1678949876810418E-2</v>
      </c>
      <c r="F458" s="11">
        <v>5799.3521832032111</v>
      </c>
      <c r="G458" s="11">
        <v>6833.0481931474833</v>
      </c>
      <c r="H458" s="35">
        <v>0.57993521832032113</v>
      </c>
      <c r="I458" s="35">
        <v>0.68330481931474829</v>
      </c>
      <c r="J458" s="11">
        <v>-0.66125027536716208</v>
      </c>
      <c r="K458" s="11">
        <v>-1.027348192216204</v>
      </c>
      <c r="T458" s="47"/>
      <c r="U458" s="36"/>
    </row>
    <row r="459" spans="1:21" x14ac:dyDescent="0.3">
      <c r="A459" s="10">
        <f t="shared" si="9"/>
        <v>447</v>
      </c>
      <c r="B459" s="11">
        <v>0.45843633878264012</v>
      </c>
      <c r="C459" s="11">
        <v>0.26599284775588211</v>
      </c>
      <c r="D459" s="11">
        <v>1.0180311985043707E-2</v>
      </c>
      <c r="E459" s="11">
        <v>5.0447733577605944E-3</v>
      </c>
      <c r="F459" s="11">
        <v>5858.6929389435254</v>
      </c>
      <c r="G459" s="11">
        <v>6867.6064686668251</v>
      </c>
      <c r="H459" s="35">
        <v>0.58586929389435249</v>
      </c>
      <c r="I459" s="35">
        <v>0.68676064686668248</v>
      </c>
      <c r="J459" s="11">
        <v>-0.62662237543772847</v>
      </c>
      <c r="K459" s="11">
        <v>-1.0090628985718342</v>
      </c>
      <c r="T459" s="47"/>
      <c r="U459" s="36"/>
    </row>
    <row r="460" spans="1:21" x14ac:dyDescent="0.3">
      <c r="A460" s="10">
        <f t="shared" si="9"/>
        <v>448</v>
      </c>
      <c r="B460" s="11">
        <v>-0.62941170571724248</v>
      </c>
      <c r="C460" s="11">
        <v>-0.20744821360702098</v>
      </c>
      <c r="D460" s="11">
        <v>-1.4489762786167279E-2</v>
      </c>
      <c r="E460" s="11">
        <v>-4.2006615406189468E-3</v>
      </c>
      <c r="F460" s="11">
        <v>5774.4139339651556</v>
      </c>
      <c r="G460" s="11">
        <v>6838.8184849175304</v>
      </c>
      <c r="H460" s="35">
        <v>0.57744139339651557</v>
      </c>
      <c r="I460" s="35">
        <v>0.68388184849175304</v>
      </c>
      <c r="J460" s="11">
        <v>-0.67580282341373143</v>
      </c>
      <c r="K460" s="11">
        <v>-1.0242950456733462</v>
      </c>
      <c r="T460" s="47"/>
      <c r="U460" s="36"/>
    </row>
    <row r="461" spans="1:21" x14ac:dyDescent="0.3">
      <c r="A461" s="10">
        <f t="shared" si="9"/>
        <v>449</v>
      </c>
      <c r="B461" s="11">
        <v>1.8890351117266415</v>
      </c>
      <c r="C461" s="11">
        <v>-0.89143530994262254</v>
      </c>
      <c r="D461" s="11">
        <v>4.2623242663249301E-2</v>
      </c>
      <c r="E461" s="11">
        <v>-1.7557674031884799E-2</v>
      </c>
      <c r="F461" s="11">
        <v>6025.8588119747274</v>
      </c>
      <c r="G461" s="11">
        <v>6719.792704796906</v>
      </c>
      <c r="H461" s="35">
        <v>0.60258588119747269</v>
      </c>
      <c r="I461" s="35">
        <v>0.67197927047969064</v>
      </c>
      <c r="J461" s="11">
        <v>-0.52907385164957821</v>
      </c>
      <c r="K461" s="11">
        <v>-1.0872733427106995</v>
      </c>
      <c r="T461" s="47"/>
      <c r="U461" s="36"/>
    </row>
    <row r="462" spans="1:21" x14ac:dyDescent="0.3">
      <c r="A462" s="10">
        <f t="shared" si="9"/>
        <v>450</v>
      </c>
      <c r="B462" s="11">
        <v>0.15668946205547449</v>
      </c>
      <c r="C462" s="11">
        <v>1.6046744158154389</v>
      </c>
      <c r="D462" s="11">
        <v>3.3373360303819047E-3</v>
      </c>
      <c r="E462" s="11">
        <v>3.1186767150031734E-2</v>
      </c>
      <c r="F462" s="11">
        <v>6046.0027225045405</v>
      </c>
      <c r="G462" s="11">
        <v>6932.663437007729</v>
      </c>
      <c r="H462" s="35">
        <v>0.6046002722504541</v>
      </c>
      <c r="I462" s="35">
        <v>0.69326634370077289</v>
      </c>
      <c r="J462" s="11">
        <v>-0.51731900779375672</v>
      </c>
      <c r="K462" s="11">
        <v>-0.97464029640639627</v>
      </c>
      <c r="T462" s="47"/>
      <c r="U462" s="36"/>
    </row>
    <row r="463" spans="1:21" x14ac:dyDescent="0.3">
      <c r="A463" s="10">
        <f t="shared" si="9"/>
        <v>451</v>
      </c>
      <c r="B463" s="11">
        <v>6.3921286555790796E-2</v>
      </c>
      <c r="C463" s="11">
        <v>9.5734953468108147E-2</v>
      </c>
      <c r="D463" s="11">
        <v>1.2335515564959778E-3</v>
      </c>
      <c r="E463" s="11">
        <v>1.7199492011034023E-3</v>
      </c>
      <c r="F463" s="11">
        <v>6053.4653804138088</v>
      </c>
      <c r="G463" s="11">
        <v>6944.5975260191826</v>
      </c>
      <c r="H463" s="35">
        <v>0.60534653804138083</v>
      </c>
      <c r="I463" s="35">
        <v>0.69445975260191828</v>
      </c>
      <c r="J463" s="11">
        <v>-0.51296422383346119</v>
      </c>
      <c r="K463" s="11">
        <v>-0.96832579376779271</v>
      </c>
      <c r="T463" s="47"/>
      <c r="U463" s="36"/>
    </row>
    <row r="464" spans="1:21" x14ac:dyDescent="0.3">
      <c r="A464" s="10">
        <f t="shared" si="9"/>
        <v>452</v>
      </c>
      <c r="B464" s="11">
        <v>-0.16113450781978436</v>
      </c>
      <c r="C464" s="11">
        <v>-0.32121052847129528</v>
      </c>
      <c r="D464" s="11">
        <v>-3.8702341266342575E-3</v>
      </c>
      <c r="E464" s="11">
        <v>-6.4222307322281827E-3</v>
      </c>
      <c r="F464" s="11">
        <v>6030.0823302408389</v>
      </c>
      <c r="G464" s="11">
        <v>6900.1406273970579</v>
      </c>
      <c r="H464" s="35">
        <v>0.60300823302408391</v>
      </c>
      <c r="I464" s="35">
        <v>0.69001406273970578</v>
      </c>
      <c r="J464" s="11">
        <v>-0.52660924589853131</v>
      </c>
      <c r="K464" s="11">
        <v>-0.99184859499578082</v>
      </c>
      <c r="T464" s="47"/>
      <c r="U464" s="36"/>
    </row>
    <row r="465" spans="1:21" x14ac:dyDescent="0.3">
      <c r="A465" s="10">
        <f t="shared" si="9"/>
        <v>453</v>
      </c>
      <c r="B465" s="11">
        <v>-0.51384244303612225</v>
      </c>
      <c r="C465" s="11">
        <v>-0.87340765674248999</v>
      </c>
      <c r="D465" s="11">
        <v>-1.1868898258247206E-2</v>
      </c>
      <c r="E465" s="11">
        <v>-1.7205627055746773E-2</v>
      </c>
      <c r="F465" s="11">
        <v>5958.934952282907</v>
      </c>
      <c r="G465" s="11">
        <v>6782.4348854029677</v>
      </c>
      <c r="H465" s="35">
        <v>0.59589349522829071</v>
      </c>
      <c r="I465" s="35">
        <v>0.67824348854029681</v>
      </c>
      <c r="J465" s="11">
        <v>-0.56812682101925227</v>
      </c>
      <c r="K465" s="11">
        <v>-1.0541284403771209</v>
      </c>
      <c r="T465" s="47"/>
      <c r="U465" s="36"/>
    </row>
    <row r="466" spans="1:21" x14ac:dyDescent="0.3">
      <c r="A466" s="10">
        <f t="shared" si="9"/>
        <v>454</v>
      </c>
      <c r="B466" s="11">
        <v>0.44192567502475483</v>
      </c>
      <c r="C466" s="11">
        <v>-0.77935547769892843</v>
      </c>
      <c r="D466" s="11">
        <v>9.8058853254668083E-3</v>
      </c>
      <c r="E466" s="11">
        <v>-1.5368960637555695E-2</v>
      </c>
      <c r="F466" s="11">
        <v>6017.6550156707372</v>
      </c>
      <c r="G466" s="11">
        <v>6678.9928450643656</v>
      </c>
      <c r="H466" s="35">
        <v>0.60176550156707376</v>
      </c>
      <c r="I466" s="35">
        <v>0.66789928450643654</v>
      </c>
      <c r="J466" s="11">
        <v>-0.53386112194824464</v>
      </c>
      <c r="K466" s="11">
        <v>-1.1088611506856967</v>
      </c>
      <c r="T466" s="47"/>
      <c r="U466" s="36"/>
    </row>
    <row r="467" spans="1:21" x14ac:dyDescent="0.3">
      <c r="A467" s="10">
        <f t="shared" si="9"/>
        <v>455</v>
      </c>
      <c r="B467" s="11">
        <v>-1.2765803543255542E-2</v>
      </c>
      <c r="C467" s="11">
        <v>1.2073188643963264</v>
      </c>
      <c r="D467" s="11">
        <v>-5.0554817925785257E-4</v>
      </c>
      <c r="E467" s="11">
        <v>2.3427142601245256E-2</v>
      </c>
      <c r="F467" s="11">
        <v>6014.6135699976012</v>
      </c>
      <c r="G467" s="11">
        <v>6837.3097788665764</v>
      </c>
      <c r="H467" s="35">
        <v>0.60146135699976011</v>
      </c>
      <c r="I467" s="35">
        <v>0.6837309778866576</v>
      </c>
      <c r="J467" s="11">
        <v>-0.53563593716750235</v>
      </c>
      <c r="K467" s="11">
        <v>-1.0250933243128371</v>
      </c>
      <c r="T467" s="47"/>
      <c r="U467" s="36"/>
    </row>
    <row r="468" spans="1:21" x14ac:dyDescent="0.3">
      <c r="A468" s="10">
        <f t="shared" si="9"/>
        <v>456</v>
      </c>
      <c r="B468" s="11">
        <v>-1.2856407637918115</v>
      </c>
      <c r="C468" s="11">
        <v>0.48713011107771559</v>
      </c>
      <c r="D468" s="11">
        <v>-2.9371638992677036E-2</v>
      </c>
      <c r="E468" s="11">
        <v>9.3631781994578025E-3</v>
      </c>
      <c r="F468" s="11">
        <v>5840.5236795794353</v>
      </c>
      <c r="G468" s="11">
        <v>6901.6293767565967</v>
      </c>
      <c r="H468" s="35">
        <v>0.58405236795794357</v>
      </c>
      <c r="I468" s="35">
        <v>0.69016293767565962</v>
      </c>
      <c r="J468" s="11">
        <v>-0.63722492485258531</v>
      </c>
      <c r="K468" s="11">
        <v>-0.991060875736271</v>
      </c>
      <c r="T468" s="47"/>
      <c r="U468" s="36"/>
    </row>
    <row r="469" spans="1:21" x14ac:dyDescent="0.3">
      <c r="A469" s="10">
        <f t="shared" si="9"/>
        <v>457</v>
      </c>
      <c r="B469" s="11">
        <v>0.58160806048848979</v>
      </c>
      <c r="C469" s="11">
        <v>-1.7169062368209913</v>
      </c>
      <c r="D469" s="11">
        <v>1.2973584078095146E-2</v>
      </c>
      <c r="E469" s="11">
        <v>-3.3677606031422551E-2</v>
      </c>
      <c r="F469" s="11">
        <v>5916.7898577153583</v>
      </c>
      <c r="G469" s="11">
        <v>6673.0693016817595</v>
      </c>
      <c r="H469" s="35">
        <v>0.59167898577153588</v>
      </c>
      <c r="I469" s="35">
        <v>0.66730693016817599</v>
      </c>
      <c r="J469" s="11">
        <v>-0.592720308227069</v>
      </c>
      <c r="K469" s="11">
        <v>-1.1119953849186952</v>
      </c>
      <c r="T469" s="47"/>
      <c r="U469" s="36"/>
    </row>
    <row r="470" spans="1:21" x14ac:dyDescent="0.3">
      <c r="A470" s="10">
        <f t="shared" si="9"/>
        <v>458</v>
      </c>
      <c r="B470" s="11">
        <v>-0.1751976088505392</v>
      </c>
      <c r="C470" s="11">
        <v>0.36537961779675088</v>
      </c>
      <c r="D470" s="11">
        <v>-4.189155280832144E-3</v>
      </c>
      <c r="E470" s="11">
        <v>6.9856145461608824E-3</v>
      </c>
      <c r="F470" s="11">
        <v>5892.055350754752</v>
      </c>
      <c r="G470" s="11">
        <v>6719.8479903786902</v>
      </c>
      <c r="H470" s="35">
        <v>0.58920553507547524</v>
      </c>
      <c r="I470" s="35">
        <v>0.67198479903786901</v>
      </c>
      <c r="J470" s="11">
        <v>-0.60715396383442199</v>
      </c>
      <c r="K470" s="11">
        <v>-1.0872440902933833</v>
      </c>
      <c r="T470" s="47"/>
      <c r="U470" s="36"/>
    </row>
    <row r="471" spans="1:21" x14ac:dyDescent="0.3">
      <c r="A471" s="10">
        <f t="shared" si="9"/>
        <v>459</v>
      </c>
      <c r="B471" s="11">
        <v>-4.5324137228458433E-2</v>
      </c>
      <c r="C471" s="11">
        <v>-0.1230703767985466</v>
      </c>
      <c r="D471" s="11">
        <v>-1.2439017852610293E-3</v>
      </c>
      <c r="E471" s="11">
        <v>-2.5529172684319781E-3</v>
      </c>
      <c r="F471" s="11">
        <v>5884.7307690596535</v>
      </c>
      <c r="G471" s="11">
        <v>6702.714653703727</v>
      </c>
      <c r="H471" s="35">
        <v>0.5884730769059654</v>
      </c>
      <c r="I471" s="35">
        <v>0.67027146537037274</v>
      </c>
      <c r="J471" s="11">
        <v>-0.61142817434621222</v>
      </c>
      <c r="K471" s="11">
        <v>-1.0963095916096803</v>
      </c>
      <c r="T471" s="47"/>
      <c r="U471" s="36"/>
    </row>
    <row r="472" spans="1:21" x14ac:dyDescent="0.3">
      <c r="A472" s="10">
        <f t="shared" si="9"/>
        <v>460</v>
      </c>
      <c r="B472" s="11">
        <v>-0.44775451567131525</v>
      </c>
      <c r="C472" s="11">
        <v>0.72772711759530795</v>
      </c>
      <c r="D472" s="11">
        <v>-1.0370164939924523E-2</v>
      </c>
      <c r="E472" s="11">
        <v>1.4061596106218804E-2</v>
      </c>
      <c r="F472" s="11">
        <v>5824.0204723189236</v>
      </c>
      <c r="G472" s="11">
        <v>6797.6312957496148</v>
      </c>
      <c r="H472" s="35">
        <v>0.58240204723189237</v>
      </c>
      <c r="I472" s="35">
        <v>0.67976312957496143</v>
      </c>
      <c r="J472" s="11">
        <v>-0.64685526073897959</v>
      </c>
      <c r="K472" s="11">
        <v>-1.0460877953694365</v>
      </c>
      <c r="T472" s="47"/>
      <c r="U472" s="36"/>
    </row>
    <row r="473" spans="1:21" x14ac:dyDescent="0.3">
      <c r="A473" s="10">
        <f t="shared" si="9"/>
        <v>461</v>
      </c>
      <c r="B473" s="11">
        <v>1.1409387753489837</v>
      </c>
      <c r="C473" s="11">
        <v>-0.82356067375946218</v>
      </c>
      <c r="D473" s="11">
        <v>2.5658012410902403E-2</v>
      </c>
      <c r="E473" s="11">
        <v>-1.6232206975275637E-2</v>
      </c>
      <c r="F473" s="11">
        <v>5975.3868378828874</v>
      </c>
      <c r="G473" s="11">
        <v>6688.1814470984837</v>
      </c>
      <c r="H473" s="35">
        <v>0.59753868378828878</v>
      </c>
      <c r="I473" s="35">
        <v>0.66881814470984835</v>
      </c>
      <c r="J473" s="11">
        <v>-0.55852643354357379</v>
      </c>
      <c r="K473" s="11">
        <v>-1.1039993257291516</v>
      </c>
      <c r="T473" s="47"/>
      <c r="U473" s="36"/>
    </row>
    <row r="474" spans="1:21" x14ac:dyDescent="0.3">
      <c r="A474" s="10">
        <f t="shared" si="9"/>
        <v>462</v>
      </c>
      <c r="B474" s="11">
        <v>0.62654928854228353</v>
      </c>
      <c r="C474" s="11">
        <v>-1.1936577184897812</v>
      </c>
      <c r="D474" s="11">
        <v>1.3992755332759526E-2</v>
      </c>
      <c r="E474" s="11">
        <v>-2.3459522923086954E-2</v>
      </c>
      <c r="F474" s="11">
        <v>6059.5866840102271</v>
      </c>
      <c r="G474" s="11">
        <v>6533.1060110714689</v>
      </c>
      <c r="H474" s="35">
        <v>0.60595866840102275</v>
      </c>
      <c r="I474" s="35">
        <v>0.65331060110714689</v>
      </c>
      <c r="J474" s="11">
        <v>-0.50939217818405846</v>
      </c>
      <c r="K474" s="11">
        <v>-1.1860520277858728</v>
      </c>
      <c r="T474" s="47"/>
      <c r="U474" s="36"/>
    </row>
    <row r="475" spans="1:21" x14ac:dyDescent="0.3">
      <c r="A475" s="10">
        <f t="shared" si="9"/>
        <v>463</v>
      </c>
      <c r="B475" s="11">
        <v>6.0528569916963981E-2</v>
      </c>
      <c r="C475" s="11">
        <v>0.3033806478360645</v>
      </c>
      <c r="D475" s="11">
        <v>1.1566119751081491E-3</v>
      </c>
      <c r="E475" s="11">
        <v>5.7748884657317524E-3</v>
      </c>
      <c r="F475" s="11">
        <v>6066.5993292061003</v>
      </c>
      <c r="G475" s="11">
        <v>6570.9431170000362</v>
      </c>
      <c r="H475" s="35">
        <v>0.60665993292061005</v>
      </c>
      <c r="I475" s="35">
        <v>0.65709431170000365</v>
      </c>
      <c r="J475" s="11">
        <v>-0.50529999612378951</v>
      </c>
      <c r="K475" s="11">
        <v>-1.1660318565776842</v>
      </c>
      <c r="T475" s="47"/>
      <c r="U475" s="36"/>
    </row>
    <row r="476" spans="1:21" x14ac:dyDescent="0.3">
      <c r="A476" s="10">
        <f t="shared" si="9"/>
        <v>464</v>
      </c>
      <c r="B476" s="11">
        <v>-0.1054345486178813</v>
      </c>
      <c r="C476" s="11">
        <v>-2.2492140281672706</v>
      </c>
      <c r="D476" s="11">
        <v>-2.6070777830512933E-3</v>
      </c>
      <c r="E476" s="11">
        <v>-4.407260011289249E-2</v>
      </c>
      <c r="F476" s="11">
        <v>6050.8038318679855</v>
      </c>
      <c r="G476" s="11">
        <v>6287.6335206692784</v>
      </c>
      <c r="H476" s="35">
        <v>0.60508038318679858</v>
      </c>
      <c r="I476" s="35">
        <v>0.62876335206692779</v>
      </c>
      <c r="J476" s="11">
        <v>-0.51451735263258569</v>
      </c>
      <c r="K476" s="11">
        <v>-1.3159351455388584</v>
      </c>
      <c r="T476" s="47"/>
      <c r="U476" s="36"/>
    </row>
    <row r="477" spans="1:21" x14ac:dyDescent="0.3">
      <c r="A477" s="10">
        <f t="shared" ref="A477:A540" si="10">A476+1</f>
        <v>465</v>
      </c>
      <c r="B477" s="11">
        <v>0.87603389926678477</v>
      </c>
      <c r="C477" s="11">
        <v>2.046157923531351</v>
      </c>
      <c r="D477" s="11">
        <v>1.9650534497743427E-2</v>
      </c>
      <c r="E477" s="11">
        <v>3.9808129685730741E-2</v>
      </c>
      <c r="F477" s="11">
        <v>6170.8812905243421</v>
      </c>
      <c r="G477" s="11">
        <v>6542.9811881838996</v>
      </c>
      <c r="H477" s="35">
        <v>0.61708812905243426</v>
      </c>
      <c r="I477" s="35">
        <v>0.65429811881838995</v>
      </c>
      <c r="J477" s="11">
        <v>-0.44444695716392507</v>
      </c>
      <c r="K477" s="11">
        <v>-1.1808269258218038</v>
      </c>
      <c r="T477" s="47"/>
      <c r="U477" s="36"/>
    </row>
    <row r="478" spans="1:21" x14ac:dyDescent="0.3">
      <c r="A478" s="10">
        <f t="shared" si="10"/>
        <v>466</v>
      </c>
      <c r="B478" s="11">
        <v>2.3911120983453231</v>
      </c>
      <c r="C478" s="11">
        <v>1.2223498763639584</v>
      </c>
      <c r="D478" s="11">
        <v>5.4009278482692748E-2</v>
      </c>
      <c r="E478" s="11">
        <v>2.3720670674630896E-2</v>
      </c>
      <c r="F478" s="11">
        <v>6513.3306174203517</v>
      </c>
      <c r="G478" s="11">
        <v>6700.0405019946347</v>
      </c>
      <c r="H478" s="35">
        <v>0.6513330617420352</v>
      </c>
      <c r="I478" s="35">
        <v>0.67000405019946352</v>
      </c>
      <c r="J478" s="11">
        <v>-0.24461294974833117</v>
      </c>
      <c r="K478" s="11">
        <v>-1.0977245247484297</v>
      </c>
      <c r="T478" s="47"/>
      <c r="U478" s="36"/>
    </row>
    <row r="479" spans="1:21" x14ac:dyDescent="0.3">
      <c r="A479" s="10">
        <f t="shared" si="10"/>
        <v>467</v>
      </c>
      <c r="B479" s="11">
        <v>-0.52510655435614417</v>
      </c>
      <c r="C479" s="11">
        <v>0.969074959447077</v>
      </c>
      <c r="D479" s="11">
        <v>-1.2124344292186567E-2</v>
      </c>
      <c r="E479" s="11">
        <v>1.8774676448852078E-2</v>
      </c>
      <c r="F479" s="11">
        <v>6434.8375545213376</v>
      </c>
      <c r="G479" s="11">
        <v>6827.0198629477054</v>
      </c>
      <c r="H479" s="35">
        <v>0.64348375545213377</v>
      </c>
      <c r="I479" s="35">
        <v>0.68270198629477052</v>
      </c>
      <c r="J479" s="11">
        <v>-0.2904170500384668</v>
      </c>
      <c r="K479" s="11">
        <v>-1.0305378707007817</v>
      </c>
      <c r="T479" s="47"/>
      <c r="U479" s="36"/>
    </row>
    <row r="480" spans="1:21" x14ac:dyDescent="0.3">
      <c r="A480" s="10">
        <f t="shared" si="10"/>
        <v>468</v>
      </c>
      <c r="B480" s="11">
        <v>0.24259154254273035</v>
      </c>
      <c r="C480" s="11">
        <v>0.30974693757925592</v>
      </c>
      <c r="D480" s="11">
        <v>5.2854121052876178E-3</v>
      </c>
      <c r="E480" s="11">
        <v>5.899210418701905E-3</v>
      </c>
      <c r="F480" s="11">
        <v>6468.9383618520451</v>
      </c>
      <c r="G480" s="11">
        <v>6867.4129160697139</v>
      </c>
      <c r="H480" s="35">
        <v>0.64689383618520446</v>
      </c>
      <c r="I480" s="35">
        <v>0.68674129160697139</v>
      </c>
      <c r="J480" s="11">
        <v>-0.27051775268323597</v>
      </c>
      <c r="K480" s="11">
        <v>-1.0091653101077289</v>
      </c>
      <c r="T480" s="47"/>
      <c r="U480" s="36"/>
    </row>
    <row r="481" spans="1:21" x14ac:dyDescent="0.3">
      <c r="A481" s="10">
        <f t="shared" si="10"/>
        <v>469</v>
      </c>
      <c r="B481" s="11">
        <v>-8.7981990334608434E-2</v>
      </c>
      <c r="C481" s="11">
        <v>-1.0991301138038709</v>
      </c>
      <c r="D481" s="11">
        <v>-2.2112909633992899E-3</v>
      </c>
      <c r="E481" s="11">
        <v>-2.1613572314773663E-2</v>
      </c>
      <c r="F481" s="11">
        <v>6454.6494611906473</v>
      </c>
      <c r="G481" s="11">
        <v>6720.5761401760437</v>
      </c>
      <c r="H481" s="35">
        <v>0.64546494611906469</v>
      </c>
      <c r="I481" s="35">
        <v>0.67205761401760433</v>
      </c>
      <c r="J481" s="11">
        <v>-0.27885594480822012</v>
      </c>
      <c r="K481" s="11">
        <v>-1.0868588154883876</v>
      </c>
      <c r="T481" s="47"/>
      <c r="U481" s="36"/>
    </row>
    <row r="482" spans="1:21" x14ac:dyDescent="0.3">
      <c r="A482" s="10">
        <f t="shared" si="10"/>
        <v>470</v>
      </c>
      <c r="B482" s="11">
        <v>0.32131599187158016</v>
      </c>
      <c r="C482" s="11">
        <v>-1.3512995668087844</v>
      </c>
      <c r="D482" s="11">
        <v>7.0707148054988374E-3</v>
      </c>
      <c r="E482" s="11">
        <v>-2.6537978859498403E-2</v>
      </c>
      <c r="F482" s="11">
        <v>6500.4501777855521</v>
      </c>
      <c r="G482" s="11">
        <v>6544.5713674817835</v>
      </c>
      <c r="H482" s="35">
        <v>0.65004501777855517</v>
      </c>
      <c r="I482" s="35">
        <v>0.65445713674817829</v>
      </c>
      <c r="J482" s="11">
        <v>-0.2521292438897948</v>
      </c>
      <c r="K482" s="11">
        <v>-1.1799855384848479</v>
      </c>
      <c r="T482" s="47"/>
      <c r="U482" s="36"/>
    </row>
    <row r="483" spans="1:21" x14ac:dyDescent="0.3">
      <c r="A483" s="10">
        <f t="shared" si="10"/>
        <v>471</v>
      </c>
      <c r="B483" s="11">
        <v>0.32560346152105007</v>
      </c>
      <c r="C483" s="11">
        <v>-0.85261558012576821</v>
      </c>
      <c r="D483" s="11">
        <v>7.1679454778951343E-3</v>
      </c>
      <c r="E483" s="11">
        <v>-1.6799595964551092E-2</v>
      </c>
      <c r="F483" s="11">
        <v>6547.2124447134784</v>
      </c>
      <c r="G483" s="11">
        <v>6435.5435882647635</v>
      </c>
      <c r="H483" s="35">
        <v>0.65472124447134783</v>
      </c>
      <c r="I483" s="35">
        <v>0.64355435882647638</v>
      </c>
      <c r="J483" s="11">
        <v>-0.22484143672502013</v>
      </c>
      <c r="K483" s="11">
        <v>-1.2376737456773894</v>
      </c>
      <c r="T483" s="47"/>
      <c r="U483" s="36"/>
    </row>
    <row r="484" spans="1:21" x14ac:dyDescent="0.3">
      <c r="A484" s="10">
        <f t="shared" si="10"/>
        <v>472</v>
      </c>
      <c r="B484" s="11">
        <v>-1.2251208897810875</v>
      </c>
      <c r="C484" s="11">
        <v>1.8179049184304383</v>
      </c>
      <c r="D484" s="11">
        <v>-2.7999177255454151E-2</v>
      </c>
      <c r="E484" s="11">
        <v>3.5350767468467569E-2</v>
      </c>
      <c r="F484" s="11">
        <v>6366.4384541660984</v>
      </c>
      <c r="G484" s="11">
        <v>6667.113973430859</v>
      </c>
      <c r="H484" s="35">
        <v>0.63664384541660979</v>
      </c>
      <c r="I484" s="35">
        <v>0.66671139734308593</v>
      </c>
      <c r="J484" s="11">
        <v>-0.33033088620074219</v>
      </c>
      <c r="K484" s="11">
        <v>-1.1151464369946411</v>
      </c>
      <c r="T484" s="47"/>
      <c r="U484" s="36"/>
    </row>
    <row r="485" spans="1:21" x14ac:dyDescent="0.3">
      <c r="A485" s="10">
        <f t="shared" si="10"/>
        <v>473</v>
      </c>
      <c r="B485" s="11">
        <v>-0.96982707025478565</v>
      </c>
      <c r="C485" s="11">
        <v>-1.0219520065602312</v>
      </c>
      <c r="D485" s="11">
        <v>-2.2209657617867865E-2</v>
      </c>
      <c r="E485" s="11">
        <v>-2.010642554544375E-2</v>
      </c>
      <c r="F485" s="11">
        <v>6226.6006587222046</v>
      </c>
      <c r="G485" s="11">
        <v>6534.4008073648656</v>
      </c>
      <c r="H485" s="35">
        <v>0.62266006587222045</v>
      </c>
      <c r="I485" s="35">
        <v>0.65344008073648652</v>
      </c>
      <c r="J485" s="11">
        <v>-0.41193229364109368</v>
      </c>
      <c r="K485" s="11">
        <v>-1.1853669319563327</v>
      </c>
      <c r="T485" s="47"/>
      <c r="U485" s="36"/>
    </row>
    <row r="486" spans="1:21" x14ac:dyDescent="0.3">
      <c r="A486" s="10">
        <f t="shared" si="10"/>
        <v>474</v>
      </c>
      <c r="B486" s="11">
        <v>0.19602263175239859</v>
      </c>
      <c r="C486" s="11">
        <v>5.6357039173684571E-2</v>
      </c>
      <c r="D486" s="11">
        <v>4.2293284757587302E-3</v>
      </c>
      <c r="E486" s="11">
        <v>9.5097081550452902E-4</v>
      </c>
      <c r="F486" s="11">
        <v>6252.9907650723262</v>
      </c>
      <c r="G486" s="11">
        <v>6540.6177874442628</v>
      </c>
      <c r="H486" s="35">
        <v>0.6252990765072326</v>
      </c>
      <c r="I486" s="35">
        <v>0.65406177874442628</v>
      </c>
      <c r="J486" s="11">
        <v>-0.39653252411644818</v>
      </c>
      <c r="K486" s="11">
        <v>-1.1820774360360473</v>
      </c>
      <c r="T486" s="47"/>
      <c r="U486" s="36"/>
    </row>
    <row r="487" spans="1:21" x14ac:dyDescent="0.3">
      <c r="A487" s="10">
        <f t="shared" si="10"/>
        <v>475</v>
      </c>
      <c r="B487" s="11">
        <v>1.8418992511087076</v>
      </c>
      <c r="C487" s="11">
        <v>0.87534322539624831</v>
      </c>
      <c r="D487" s="11">
        <v>4.1554301820151671E-2</v>
      </c>
      <c r="E487" s="11">
        <v>1.6944267733172681E-2</v>
      </c>
      <c r="F487" s="11">
        <v>6518.3037009617219</v>
      </c>
      <c r="G487" s="11">
        <v>6652.3880246201361</v>
      </c>
      <c r="H487" s="35">
        <v>0.65183037009617217</v>
      </c>
      <c r="I487" s="35">
        <v>0.66523880246201361</v>
      </c>
      <c r="J487" s="11">
        <v>-0.24171094020930722</v>
      </c>
      <c r="K487" s="11">
        <v>-1.1229381538598335</v>
      </c>
      <c r="T487" s="47"/>
      <c r="U487" s="36"/>
    </row>
    <row r="488" spans="1:21" x14ac:dyDescent="0.3">
      <c r="A488" s="10">
        <f t="shared" si="10"/>
        <v>476</v>
      </c>
      <c r="B488" s="11">
        <v>-1.095966710916517</v>
      </c>
      <c r="C488" s="11">
        <v>-0.9794753926439147</v>
      </c>
      <c r="D488" s="11">
        <v>-2.5070235786364938E-2</v>
      </c>
      <c r="E488" s="11">
        <v>-1.9276935244082073E-2</v>
      </c>
      <c r="F488" s="11">
        <v>6356.919710224307</v>
      </c>
      <c r="G488" s="11">
        <v>6525.3784818569156</v>
      </c>
      <c r="H488" s="35">
        <v>0.63569197102243069</v>
      </c>
      <c r="I488" s="35">
        <v>0.6525378481856916</v>
      </c>
      <c r="J488" s="11">
        <v>-0.33588548537222401</v>
      </c>
      <c r="K488" s="11">
        <v>-1.1901407775487036</v>
      </c>
      <c r="T488" s="47"/>
      <c r="U488" s="36"/>
    </row>
    <row r="489" spans="1:21" x14ac:dyDescent="0.3">
      <c r="A489" s="10">
        <f t="shared" si="10"/>
        <v>477</v>
      </c>
      <c r="B489" s="11">
        <v>-1.1257205377329247</v>
      </c>
      <c r="C489" s="11">
        <v>1.457770122269145</v>
      </c>
      <c r="D489" s="11">
        <v>-2.5744989154725222E-2</v>
      </c>
      <c r="E489" s="11">
        <v>2.8317995948892484E-2</v>
      </c>
      <c r="F489" s="11">
        <v>6195.349615412908</v>
      </c>
      <c r="G489" s="11">
        <v>6712.8053755049523</v>
      </c>
      <c r="H489" s="35">
        <v>0.61953496154129084</v>
      </c>
      <c r="I489" s="35">
        <v>0.67128053755049522</v>
      </c>
      <c r="J489" s="11">
        <v>-0.43016863031904962</v>
      </c>
      <c r="K489" s="11">
        <v>-1.0909704417694119</v>
      </c>
      <c r="T489" s="47"/>
      <c r="U489" s="36"/>
    </row>
    <row r="490" spans="1:21" x14ac:dyDescent="0.3">
      <c r="A490" s="10">
        <f t="shared" si="10"/>
        <v>478</v>
      </c>
      <c r="B490" s="11">
        <v>0.84963301440812999</v>
      </c>
      <c r="C490" s="11">
        <v>0.81801524024051664</v>
      </c>
      <c r="D490" s="11">
        <v>1.90518187057887E-2</v>
      </c>
      <c r="E490" s="11">
        <v>1.5824757412105889E-2</v>
      </c>
      <c r="F490" s="11">
        <v>6314.5138362547796</v>
      </c>
      <c r="G490" s="11">
        <v>6819.8788636523868</v>
      </c>
      <c r="H490" s="35">
        <v>0.63145138362547792</v>
      </c>
      <c r="I490" s="35">
        <v>0.68198788636523866</v>
      </c>
      <c r="J490" s="11">
        <v>-0.3606311486506471</v>
      </c>
      <c r="K490" s="11">
        <v>-1.0343162788263858</v>
      </c>
      <c r="T490" s="47"/>
      <c r="U490" s="36"/>
    </row>
    <row r="491" spans="1:21" x14ac:dyDescent="0.3">
      <c r="A491" s="10">
        <f t="shared" si="10"/>
        <v>479</v>
      </c>
      <c r="B491" s="11">
        <v>1.3964067173814141</v>
      </c>
      <c r="C491" s="11">
        <v>-0.51275219129982053</v>
      </c>
      <c r="D491" s="11">
        <v>3.1451480775764762E-2</v>
      </c>
      <c r="E491" s="11">
        <v>-1.0162687820826738E-2</v>
      </c>
      <c r="F491" s="11">
        <v>6516.2707931587311</v>
      </c>
      <c r="G491" s="11">
        <v>6750.9215530881975</v>
      </c>
      <c r="H491" s="35">
        <v>0.65162707931587316</v>
      </c>
      <c r="I491" s="35">
        <v>0.67509215530881972</v>
      </c>
      <c r="J491" s="11">
        <v>-0.24289722992013926</v>
      </c>
      <c r="K491" s="11">
        <v>-1.0708026096297409</v>
      </c>
      <c r="T491" s="47"/>
      <c r="U491" s="36"/>
    </row>
    <row r="492" spans="1:21" x14ac:dyDescent="0.3">
      <c r="A492" s="10">
        <f t="shared" si="10"/>
        <v>480</v>
      </c>
      <c r="B492" s="11">
        <v>-1.435562117468979</v>
      </c>
      <c r="C492" s="11">
        <v>6.5875522068894743E-3</v>
      </c>
      <c r="D492" s="11">
        <v>-3.2771535718802279E-2</v>
      </c>
      <c r="E492" s="11">
        <v>-2.0935910018260375E-5</v>
      </c>
      <c r="F492" s="11">
        <v>6306.1838302947417</v>
      </c>
      <c r="G492" s="11">
        <v>6750.7802178815173</v>
      </c>
      <c r="H492" s="35">
        <v>0.63061838302947415</v>
      </c>
      <c r="I492" s="35">
        <v>0.67507802178815168</v>
      </c>
      <c r="J492" s="11">
        <v>-0.36549206774743259</v>
      </c>
      <c r="K492" s="11">
        <v>-1.0708773921736499</v>
      </c>
      <c r="T492" s="47"/>
      <c r="U492" s="36"/>
    </row>
    <row r="493" spans="1:21" x14ac:dyDescent="0.3">
      <c r="A493" s="10">
        <f t="shared" si="10"/>
        <v>481</v>
      </c>
      <c r="B493" s="11">
        <v>1.8129774122911404</v>
      </c>
      <c r="C493" s="11">
        <v>-1.0273076514300274</v>
      </c>
      <c r="D493" s="11">
        <v>4.0898416166123296E-2</v>
      </c>
      <c r="E493" s="11">
        <v>-2.0211011459137E-2</v>
      </c>
      <c r="F493" s="11">
        <v>6569.4435183933037</v>
      </c>
      <c r="G493" s="11">
        <v>6615.7096755057346</v>
      </c>
      <c r="H493" s="35">
        <v>0.65694435183933042</v>
      </c>
      <c r="I493" s="35">
        <v>0.66157096755057343</v>
      </c>
      <c r="J493" s="11">
        <v>-0.21186864281458012</v>
      </c>
      <c r="K493" s="11">
        <v>-1.1423452097348343</v>
      </c>
      <c r="T493" s="47"/>
      <c r="U493" s="36"/>
    </row>
    <row r="494" spans="1:21" x14ac:dyDescent="0.3">
      <c r="A494" s="10">
        <f t="shared" si="10"/>
        <v>482</v>
      </c>
      <c r="B494" s="11">
        <v>0.74148698061723606</v>
      </c>
      <c r="C494" s="11">
        <v>1.5614242469658859</v>
      </c>
      <c r="D494" s="11">
        <v>1.6599297185599902E-2</v>
      </c>
      <c r="E494" s="11">
        <v>3.0342170740731363E-2</v>
      </c>
      <c r="F494" s="11">
        <v>6679.4017536292604</v>
      </c>
      <c r="G494" s="11">
        <v>6819.5210718496064</v>
      </c>
      <c r="H494" s="35">
        <v>0.66794017536292605</v>
      </c>
      <c r="I494" s="35">
        <v>0.68195210718496069</v>
      </c>
      <c r="J494" s="11">
        <v>-0.14770325228887363</v>
      </c>
      <c r="K494" s="11">
        <v>-1.0345055917501087</v>
      </c>
      <c r="T494" s="47"/>
      <c r="U494" s="36"/>
    </row>
    <row r="495" spans="1:21" x14ac:dyDescent="0.3">
      <c r="A495" s="10">
        <f t="shared" si="10"/>
        <v>483</v>
      </c>
      <c r="B495" s="11">
        <v>0.59090276082016191</v>
      </c>
      <c r="C495" s="11">
        <v>-3.1733887496076321E-2</v>
      </c>
      <c r="D495" s="11">
        <v>1.3184368068853496E-2</v>
      </c>
      <c r="E495" s="11">
        <v>-7.6928328606972146E-4</v>
      </c>
      <c r="F495" s="11">
        <v>6768.0485366357025</v>
      </c>
      <c r="G495" s="11">
        <v>6814.2769456379756</v>
      </c>
      <c r="H495" s="35">
        <v>0.67680485366357024</v>
      </c>
      <c r="I495" s="35">
        <v>0.68142769456379759</v>
      </c>
      <c r="J495" s="11">
        <v>-9.5974016745486973E-2</v>
      </c>
      <c r="K495" s="11">
        <v>-1.0372803363300034</v>
      </c>
      <c r="T495" s="47"/>
      <c r="U495" s="36"/>
    </row>
    <row r="496" spans="1:21" x14ac:dyDescent="0.3">
      <c r="A496" s="10">
        <f t="shared" si="10"/>
        <v>484</v>
      </c>
      <c r="B496" s="11">
        <v>-1.3175975625820293</v>
      </c>
      <c r="C496" s="11">
        <v>-1.5174095424295584</v>
      </c>
      <c r="D496" s="11">
        <v>-3.0096351069505433E-2</v>
      </c>
      <c r="E496" s="11">
        <v>-2.9781801778347609E-2</v>
      </c>
      <c r="F496" s="11">
        <v>6567.3896677140374</v>
      </c>
      <c r="G496" s="11">
        <v>6614.3277033550885</v>
      </c>
      <c r="H496" s="35">
        <v>0.65673896677140375</v>
      </c>
      <c r="I496" s="35">
        <v>0.66143277033550885</v>
      </c>
      <c r="J496" s="11">
        <v>-0.21306715360036907</v>
      </c>
      <c r="K496" s="11">
        <v>-1.1430764315971278</v>
      </c>
      <c r="T496" s="47"/>
      <c r="U496" s="36"/>
    </row>
    <row r="497" spans="1:21" x14ac:dyDescent="0.3">
      <c r="A497" s="10">
        <f t="shared" si="10"/>
        <v>485</v>
      </c>
      <c r="B497" s="11">
        <v>-0.95644866006973184</v>
      </c>
      <c r="C497" s="11">
        <v>0.39535633398940151</v>
      </c>
      <c r="D497" s="11">
        <v>-2.1906263792550156E-2</v>
      </c>
      <c r="E497" s="11">
        <v>7.5710047893065039E-3</v>
      </c>
      <c r="F497" s="11">
        <v>6425.0870472837596</v>
      </c>
      <c r="G497" s="11">
        <v>6664.5948563937527</v>
      </c>
      <c r="H497" s="35">
        <v>0.64250870472837596</v>
      </c>
      <c r="I497" s="35">
        <v>0.66645948563937529</v>
      </c>
      <c r="J497" s="11">
        <v>-0.2961068931264389</v>
      </c>
      <c r="K497" s="11">
        <v>-1.1164793390001893</v>
      </c>
      <c r="T497" s="47"/>
      <c r="U497" s="36"/>
    </row>
    <row r="498" spans="1:21" x14ac:dyDescent="0.3">
      <c r="A498" s="10">
        <f t="shared" si="10"/>
        <v>486</v>
      </c>
      <c r="B498" s="11">
        <v>1.8839861018253741</v>
      </c>
      <c r="C498" s="11">
        <v>-1.5118990151671248</v>
      </c>
      <c r="D498" s="11">
        <v>4.2508741881256244E-2</v>
      </c>
      <c r="E498" s="11">
        <v>-2.9674191295822262E-2</v>
      </c>
      <c r="F498" s="11">
        <v>6704.0975949033618</v>
      </c>
      <c r="G498" s="11">
        <v>6469.73386355606</v>
      </c>
      <c r="H498" s="35">
        <v>0.67040975949033621</v>
      </c>
      <c r="I498" s="35">
        <v>0.64697338635560597</v>
      </c>
      <c r="J498" s="11">
        <v>-0.13329215978349476</v>
      </c>
      <c r="K498" s="11">
        <v>-1.2195831663852226</v>
      </c>
      <c r="T498" s="47"/>
      <c r="U498" s="36"/>
    </row>
    <row r="499" spans="1:21" x14ac:dyDescent="0.3">
      <c r="A499" s="10">
        <f t="shared" si="10"/>
        <v>487</v>
      </c>
      <c r="B499" s="11">
        <v>0.70827396169640522</v>
      </c>
      <c r="C499" s="11">
        <v>0.69620997843967114</v>
      </c>
      <c r="D499" s="11">
        <v>1.5846096713992463E-2</v>
      </c>
      <c r="E499" s="11">
        <v>1.3446124230146669E-2</v>
      </c>
      <c r="F499" s="11">
        <v>6811.177532669788</v>
      </c>
      <c r="G499" s="11">
        <v>6557.3141973183683</v>
      </c>
      <c r="H499" s="35">
        <v>0.68111775326697876</v>
      </c>
      <c r="I499" s="35">
        <v>0.6557314197318368</v>
      </c>
      <c r="J499" s="11">
        <v>-7.0806380437298935E-2</v>
      </c>
      <c r="K499" s="11">
        <v>-1.1732431191389585</v>
      </c>
      <c r="T499" s="47"/>
      <c r="U499" s="36"/>
    </row>
    <row r="500" spans="1:21" x14ac:dyDescent="0.3">
      <c r="A500" s="10">
        <f t="shared" si="10"/>
        <v>488</v>
      </c>
      <c r="B500" s="11">
        <v>0.31453520678487507</v>
      </c>
      <c r="C500" s="11">
        <v>1.7766112238435205</v>
      </c>
      <c r="D500" s="11">
        <v>6.9169410537857183E-3</v>
      </c>
      <c r="E500" s="11">
        <v>3.4544377410288235E-2</v>
      </c>
      <c r="F500" s="11">
        <v>6858.4533597358159</v>
      </c>
      <c r="G500" s="11">
        <v>6787.7904442215449</v>
      </c>
      <c r="H500" s="35">
        <v>0.68584533597358155</v>
      </c>
      <c r="I500" s="35">
        <v>0.67877904442215453</v>
      </c>
      <c r="J500" s="11">
        <v>-4.3218888699113139E-2</v>
      </c>
      <c r="K500" s="11">
        <v>-1.0512947351601878</v>
      </c>
      <c r="T500" s="47"/>
      <c r="U500" s="36"/>
    </row>
    <row r="501" spans="1:21" x14ac:dyDescent="0.3">
      <c r="A501" s="10">
        <f t="shared" si="10"/>
        <v>489</v>
      </c>
      <c r="B501" s="11">
        <v>0.3380133701947583</v>
      </c>
      <c r="C501" s="11">
        <v>4.8830912536241534E-2</v>
      </c>
      <c r="D501" s="11">
        <v>7.4493757534121801E-3</v>
      </c>
      <c r="E501" s="11">
        <v>8.0399937694123258E-4</v>
      </c>
      <c r="F501" s="11">
        <v>6909.7353280756879</v>
      </c>
      <c r="G501" s="11">
        <v>6793.2500179623539</v>
      </c>
      <c r="H501" s="35">
        <v>0.69097353280756879</v>
      </c>
      <c r="I501" s="35">
        <v>0.67932500179623534</v>
      </c>
      <c r="J501" s="11">
        <v>-1.3293640095461542E-2</v>
      </c>
      <c r="K501" s="11">
        <v>-1.0484059941126807</v>
      </c>
      <c r="T501" s="47"/>
      <c r="U501" s="36"/>
    </row>
    <row r="502" spans="1:21" x14ac:dyDescent="0.3">
      <c r="A502" s="10">
        <f t="shared" si="10"/>
        <v>490</v>
      </c>
      <c r="B502" s="11">
        <v>-0.24578616928514185</v>
      </c>
      <c r="C502" s="11">
        <v>0.21647527590194307</v>
      </c>
      <c r="D502" s="11">
        <v>-5.7899533635408186E-3</v>
      </c>
      <c r="E502" s="11">
        <v>4.0777860719862797E-3</v>
      </c>
      <c r="F502" s="11">
        <v>6869.843879028399</v>
      </c>
      <c r="G502" s="11">
        <v>6821.0079953518361</v>
      </c>
      <c r="H502" s="35">
        <v>0.68698438790283989</v>
      </c>
      <c r="I502" s="35">
        <v>0.68210079953518366</v>
      </c>
      <c r="J502" s="11">
        <v>-3.6572027578335609E-2</v>
      </c>
      <c r="K502" s="11">
        <v>-1.03371883857865</v>
      </c>
      <c r="T502" s="47"/>
      <c r="U502" s="36"/>
    </row>
    <row r="503" spans="1:21" x14ac:dyDescent="0.3">
      <c r="A503" s="10">
        <f t="shared" si="10"/>
        <v>491</v>
      </c>
      <c r="B503" s="11">
        <v>-1.6036802276537403</v>
      </c>
      <c r="C503" s="11">
        <v>-0.14861575756928705</v>
      </c>
      <c r="D503" s="11">
        <v>-3.6584096093959705E-2</v>
      </c>
      <c r="E503" s="11">
        <v>-3.0517716647750141E-3</v>
      </c>
      <c r="F503" s="11">
        <v>6623.0585829921556</v>
      </c>
      <c r="G503" s="11">
        <v>6800.2235672218185</v>
      </c>
      <c r="H503" s="35">
        <v>0.66230585829921551</v>
      </c>
      <c r="I503" s="35">
        <v>0.68002235672218181</v>
      </c>
      <c r="J503" s="11">
        <v>-0.18058193154039492</v>
      </c>
      <c r="K503" s="11">
        <v>-1.0447161862725463</v>
      </c>
      <c r="T503" s="47"/>
      <c r="U503" s="36"/>
    </row>
    <row r="504" spans="1:21" x14ac:dyDescent="0.3">
      <c r="A504" s="10">
        <f t="shared" si="10"/>
        <v>492</v>
      </c>
      <c r="B504" s="11">
        <v>1.0902020375834904</v>
      </c>
      <c r="C504" s="11">
        <v>-1.1551021363149638</v>
      </c>
      <c r="D504" s="11">
        <v>2.4507411349797881E-2</v>
      </c>
      <c r="E504" s="11">
        <v>-2.2706603174343067E-2</v>
      </c>
      <c r="F504" s="11">
        <v>6787.3779003505533</v>
      </c>
      <c r="G504" s="11">
        <v>6647.5534585115183</v>
      </c>
      <c r="H504" s="35">
        <v>0.6787377900350553</v>
      </c>
      <c r="I504" s="35">
        <v>0.66475534585115181</v>
      </c>
      <c r="J504" s="11">
        <v>-8.4694496219213086E-2</v>
      </c>
      <c r="K504" s="11">
        <v>-1.1254961941442718</v>
      </c>
      <c r="T504" s="47"/>
      <c r="U504" s="36"/>
    </row>
    <row r="505" spans="1:21" x14ac:dyDescent="0.3">
      <c r="A505" s="10">
        <f t="shared" si="10"/>
        <v>493</v>
      </c>
      <c r="B505" s="11">
        <v>-1.1096756049675089</v>
      </c>
      <c r="C505" s="11">
        <v>0.47926804693389718</v>
      </c>
      <c r="D505" s="11">
        <v>-2.538112428129629E-2</v>
      </c>
      <c r="E505" s="11">
        <v>9.2096465180288439E-3</v>
      </c>
      <c r="F505" s="11">
        <v>6617.2744582623645</v>
      </c>
      <c r="G505" s="11">
        <v>6709.057858243902</v>
      </c>
      <c r="H505" s="35">
        <v>0.66172744582623644</v>
      </c>
      <c r="I505" s="35">
        <v>0.6709057858243902</v>
      </c>
      <c r="J505" s="11">
        <v>-0.18395721872411536</v>
      </c>
      <c r="K505" s="11">
        <v>-1.092953308464172</v>
      </c>
      <c r="T505" s="47"/>
      <c r="U505" s="36"/>
    </row>
    <row r="506" spans="1:21" x14ac:dyDescent="0.3">
      <c r="A506" s="10">
        <f t="shared" si="10"/>
        <v>494</v>
      </c>
      <c r="B506" s="11">
        <v>-1.3595308047395949</v>
      </c>
      <c r="C506" s="11">
        <v>-1.9486498352946067</v>
      </c>
      <c r="D506" s="11">
        <v>-3.1047307615924589E-2</v>
      </c>
      <c r="E506" s="11">
        <v>-3.8203133130056889E-2</v>
      </c>
      <c r="F506" s="11">
        <v>6414.982462920224</v>
      </c>
      <c r="G506" s="11">
        <v>6457.5849386390983</v>
      </c>
      <c r="H506" s="35">
        <v>0.64149824629202234</v>
      </c>
      <c r="I506" s="35">
        <v>0.64575849386390982</v>
      </c>
      <c r="J506" s="11">
        <v>-0.30200335554596486</v>
      </c>
      <c r="K506" s="11">
        <v>-1.2260113418723275</v>
      </c>
      <c r="T506" s="47"/>
      <c r="U506" s="36"/>
    </row>
    <row r="507" spans="1:21" x14ac:dyDescent="0.3">
      <c r="A507" s="10">
        <f t="shared" si="10"/>
        <v>495</v>
      </c>
      <c r="B507" s="11">
        <v>0.72784060753616941</v>
      </c>
      <c r="C507" s="11">
        <v>0.85618053549254869</v>
      </c>
      <c r="D507" s="11">
        <v>1.6289826532995544E-2</v>
      </c>
      <c r="E507" s="11">
        <v>1.657005557364331E-2</v>
      </c>
      <c r="F507" s="11">
        <v>6520.337189846161</v>
      </c>
      <c r="G507" s="11">
        <v>6565.4789158798221</v>
      </c>
      <c r="H507" s="35">
        <v>0.65203371898461615</v>
      </c>
      <c r="I507" s="35">
        <v>0.65654789158798221</v>
      </c>
      <c r="J507" s="11">
        <v>-0.24052431141229422</v>
      </c>
      <c r="K507" s="11">
        <v>-1.1689230460399329</v>
      </c>
      <c r="T507" s="47"/>
      <c r="U507" s="36"/>
    </row>
    <row r="508" spans="1:21" x14ac:dyDescent="0.3">
      <c r="A508" s="10">
        <f t="shared" si="10"/>
        <v>496</v>
      </c>
      <c r="B508" s="11">
        <v>-0.60246073876418305</v>
      </c>
      <c r="C508" s="11">
        <v>0.23522838861677511</v>
      </c>
      <c r="D508" s="11">
        <v>-1.3878572304877147E-2</v>
      </c>
      <c r="E508" s="11">
        <v>4.4439999408210596E-3</v>
      </c>
      <c r="F508" s="11">
        <v>6430.4692803306743</v>
      </c>
      <c r="G508" s="11">
        <v>6594.7208312032408</v>
      </c>
      <c r="H508" s="35">
        <v>0.6430469280330674</v>
      </c>
      <c r="I508" s="35">
        <v>0.65947208312032413</v>
      </c>
      <c r="J508" s="11">
        <v>-0.29296612713820197</v>
      </c>
      <c r="K508" s="11">
        <v>-1.1534507170426933</v>
      </c>
      <c r="T508" s="47"/>
      <c r="U508" s="36"/>
    </row>
    <row r="509" spans="1:21" x14ac:dyDescent="0.3">
      <c r="A509" s="10">
        <f t="shared" si="10"/>
        <v>497</v>
      </c>
      <c r="B509" s="11">
        <v>1.0092427604375052</v>
      </c>
      <c r="C509" s="11">
        <v>-0.3359833566161769</v>
      </c>
      <c r="D509" s="11">
        <v>2.2671427518496465E-2</v>
      </c>
      <c r="E509" s="11">
        <v>-6.710716949467713E-3</v>
      </c>
      <c r="F509" s="11">
        <v>6577.9223687580825</v>
      </c>
      <c r="G509" s="11">
        <v>6550.6136871494891</v>
      </c>
      <c r="H509" s="35">
        <v>0.65779223687580823</v>
      </c>
      <c r="I509" s="35">
        <v>0.65506136871494891</v>
      </c>
      <c r="J509" s="11">
        <v>-0.20692086656391917</v>
      </c>
      <c r="K509" s="11">
        <v>-1.1767884579663102</v>
      </c>
      <c r="T509" s="47"/>
      <c r="U509" s="36"/>
    </row>
    <row r="510" spans="1:21" x14ac:dyDescent="0.3">
      <c r="A510" s="10">
        <f t="shared" si="10"/>
        <v>498</v>
      </c>
      <c r="B510" s="11">
        <v>0.14109867391576653</v>
      </c>
      <c r="C510" s="11">
        <v>-0.63140728979543503</v>
      </c>
      <c r="D510" s="11">
        <v>2.9837701890005107E-3</v>
      </c>
      <c r="E510" s="11">
        <v>-1.2479804095752304E-2</v>
      </c>
      <c r="F510" s="11">
        <v>6597.5786878137942</v>
      </c>
      <c r="G510" s="11">
        <v>6469.3713105244005</v>
      </c>
      <c r="H510" s="35">
        <v>0.65975786878137943</v>
      </c>
      <c r="I510" s="35">
        <v>0.64693713105244011</v>
      </c>
      <c r="J510" s="11">
        <v>-0.19545055344184029</v>
      </c>
      <c r="K510" s="11">
        <v>-1.2197749985454194</v>
      </c>
      <c r="T510" s="47"/>
      <c r="U510" s="36"/>
    </row>
    <row r="511" spans="1:21" x14ac:dyDescent="0.3">
      <c r="A511" s="10">
        <f t="shared" si="10"/>
        <v>499</v>
      </c>
      <c r="B511" s="11">
        <v>0.5261025013050995</v>
      </c>
      <c r="C511" s="11">
        <v>0.47593161603179024</v>
      </c>
      <c r="D511" s="11">
        <v>1.1714836312545192E-2</v>
      </c>
      <c r="E511" s="11">
        <v>9.1444921467337716E-3</v>
      </c>
      <c r="F511" s="11">
        <v>6675.3227324655745</v>
      </c>
      <c r="G511" s="11">
        <v>6528.8017420860615</v>
      </c>
      <c r="H511" s="35">
        <v>0.66753227324655751</v>
      </c>
      <c r="I511" s="35">
        <v>0.65288017420860611</v>
      </c>
      <c r="J511" s="11">
        <v>-0.15008353772514751</v>
      </c>
      <c r="K511" s="11">
        <v>-1.1883294800354354</v>
      </c>
      <c r="T511" s="47"/>
      <c r="U511" s="36"/>
    </row>
    <row r="512" spans="1:21" x14ac:dyDescent="0.3">
      <c r="A512" s="10">
        <f t="shared" si="10"/>
        <v>500</v>
      </c>
      <c r="B512" s="11">
        <v>-1.3646338223173851</v>
      </c>
      <c r="C512" s="11">
        <v>-0.60833354740717716</v>
      </c>
      <c r="D512" s="11">
        <v>-3.1163033176897365E-2</v>
      </c>
      <c r="E512" s="11">
        <v>-1.2029216260175663E-2</v>
      </c>
      <c r="F512" s="11">
        <v>6470.507338159885</v>
      </c>
      <c r="G512" s="11">
        <v>6450.7358511088123</v>
      </c>
      <c r="H512" s="35">
        <v>0.64705073381598854</v>
      </c>
      <c r="I512" s="35">
        <v>0.6450735851108812</v>
      </c>
      <c r="J512" s="11">
        <v>-0.26960218708415107</v>
      </c>
      <c r="K512" s="11">
        <v>-1.2296352951745453</v>
      </c>
      <c r="T512" s="47"/>
      <c r="U512" s="36"/>
    </row>
    <row r="513" spans="1:21" x14ac:dyDescent="0.3">
      <c r="A513" s="10">
        <f t="shared" si="10"/>
        <v>501</v>
      </c>
      <c r="B513" s="11">
        <v>0.92825755087060235</v>
      </c>
      <c r="C513" s="11">
        <v>0.45842890759947252</v>
      </c>
      <c r="D513" s="11">
        <v>2.083485559516669E-2</v>
      </c>
      <c r="E513" s="11">
        <v>8.8026963783429234E-3</v>
      </c>
      <c r="F513" s="11">
        <v>6606.7336238225171</v>
      </c>
      <c r="G513" s="11">
        <v>6507.7703807588659</v>
      </c>
      <c r="H513" s="35">
        <v>0.66067336238225172</v>
      </c>
      <c r="I513" s="35">
        <v>0.6507770380758866</v>
      </c>
      <c r="J513" s="11">
        <v>-0.19010825194912348</v>
      </c>
      <c r="K513" s="11">
        <v>-1.1994574837285994</v>
      </c>
      <c r="T513" s="47"/>
      <c r="U513" s="36"/>
    </row>
    <row r="514" spans="1:21" x14ac:dyDescent="0.3">
      <c r="A514" s="10">
        <f t="shared" si="10"/>
        <v>502</v>
      </c>
      <c r="B514" s="11">
        <v>-0.35956928134810107</v>
      </c>
      <c r="C514" s="11">
        <v>-1.2061759915581711</v>
      </c>
      <c r="D514" s="11">
        <v>-8.3703118028343928E-3</v>
      </c>
      <c r="E514" s="11">
        <v>-2.3703981818056399E-2</v>
      </c>
      <c r="F514" s="11">
        <v>6551.6639998786632</v>
      </c>
      <c r="G514" s="11">
        <v>6355.3242382265553</v>
      </c>
      <c r="H514" s="35">
        <v>0.6551663999878663</v>
      </c>
      <c r="I514" s="35">
        <v>0.63553242382265551</v>
      </c>
      <c r="J514" s="11">
        <v>-0.22224376157128681</v>
      </c>
      <c r="K514" s="11">
        <v>-1.2801189877898944</v>
      </c>
      <c r="T514" s="47"/>
      <c r="U514" s="36"/>
    </row>
    <row r="515" spans="1:21" x14ac:dyDescent="0.3">
      <c r="A515" s="10">
        <f t="shared" si="10"/>
        <v>503</v>
      </c>
      <c r="B515" s="11">
        <v>0.84191128501542034</v>
      </c>
      <c r="C515" s="11">
        <v>0.97256830583954446</v>
      </c>
      <c r="D515" s="11">
        <v>1.8876706342950581E-2</v>
      </c>
      <c r="E515" s="11">
        <v>1.8842895091645905E-2</v>
      </c>
      <c r="F515" s="11">
        <v>6676.5124941939057</v>
      </c>
      <c r="G515" s="11">
        <v>6476.2123099455112</v>
      </c>
      <c r="H515" s="35">
        <v>0.66765124941939058</v>
      </c>
      <c r="I515" s="35">
        <v>0.64762123099455116</v>
      </c>
      <c r="J515" s="11">
        <v>-0.14938926025000351</v>
      </c>
      <c r="K515" s="11">
        <v>-1.2161553247811439</v>
      </c>
      <c r="T515" s="47"/>
      <c r="U515" s="36"/>
    </row>
    <row r="516" spans="1:21" x14ac:dyDescent="0.3">
      <c r="A516" s="10">
        <f t="shared" si="10"/>
        <v>504</v>
      </c>
      <c r="B516" s="11">
        <v>0.82413244532381058</v>
      </c>
      <c r="C516" s="11">
        <v>-0.68323844423168056</v>
      </c>
      <c r="D516" s="11">
        <v>1.8473520156465292E-2</v>
      </c>
      <c r="E516" s="11">
        <v>-1.3491971402636667E-2</v>
      </c>
      <c r="F516" s="11">
        <v>6800.9974800389346</v>
      </c>
      <c r="G516" s="11">
        <v>6389.4222397874819</v>
      </c>
      <c r="H516" s="35">
        <v>0.6800997480038935</v>
      </c>
      <c r="I516" s="35">
        <v>0.63894222397874822</v>
      </c>
      <c r="J516" s="11">
        <v>-7.6746881857945204E-2</v>
      </c>
      <c r="K516" s="11">
        <v>-1.2620772318903919</v>
      </c>
      <c r="T516" s="47"/>
      <c r="U516" s="36"/>
    </row>
    <row r="517" spans="1:21" x14ac:dyDescent="0.3">
      <c r="A517" s="10">
        <f t="shared" si="10"/>
        <v>505</v>
      </c>
      <c r="B517" s="11">
        <v>6.1717077147327708E-2</v>
      </c>
      <c r="C517" s="11">
        <v>0.87124388096468741</v>
      </c>
      <c r="D517" s="11">
        <v>1.1835647856476739E-3</v>
      </c>
      <c r="E517" s="11">
        <v>1.6864215061021839E-2</v>
      </c>
      <c r="F517" s="11">
        <v>6809.0516665491432</v>
      </c>
      <c r="G517" s="11">
        <v>6498.0885410975452</v>
      </c>
      <c r="H517" s="35">
        <v>0.6809051666549143</v>
      </c>
      <c r="I517" s="35">
        <v>0.64980885410975453</v>
      </c>
      <c r="J517" s="11">
        <v>-7.2046915350794313E-2</v>
      </c>
      <c r="K517" s="11">
        <v>-1.2045802879936984</v>
      </c>
      <c r="T517" s="47"/>
      <c r="U517" s="36"/>
    </row>
    <row r="518" spans="1:21" x14ac:dyDescent="0.3">
      <c r="A518" s="10">
        <f t="shared" si="10"/>
        <v>506</v>
      </c>
      <c r="B518" s="11">
        <v>0.1569871330896957</v>
      </c>
      <c r="C518" s="11">
        <v>1.4410808234479007</v>
      </c>
      <c r="D518" s="11">
        <v>3.3440865749166764E-3</v>
      </c>
      <c r="E518" s="11">
        <v>2.7992084577142785E-2</v>
      </c>
      <c r="F518" s="11">
        <v>6831.8598398130189</v>
      </c>
      <c r="G518" s="11">
        <v>6682.5533172084133</v>
      </c>
      <c r="H518" s="35">
        <v>0.68318598398130193</v>
      </c>
      <c r="I518" s="35">
        <v>0.66825533172084128</v>
      </c>
      <c r="J518" s="11">
        <v>-5.873735884950923E-2</v>
      </c>
      <c r="K518" s="11">
        <v>-1.1069772523230579</v>
      </c>
      <c r="T518" s="47"/>
      <c r="U518" s="36"/>
    </row>
    <row r="519" spans="1:21" x14ac:dyDescent="0.3">
      <c r="A519" s="10">
        <f t="shared" si="10"/>
        <v>507</v>
      </c>
      <c r="B519" s="11">
        <v>0.38420337400812304</v>
      </c>
      <c r="C519" s="11">
        <v>2.0597014133859952</v>
      </c>
      <c r="D519" s="11">
        <v>8.4968665803889353E-3</v>
      </c>
      <c r="E519" s="11">
        <v>4.0072609182687589E-2</v>
      </c>
      <c r="F519" s="11">
        <v>6890.1565603604267</v>
      </c>
      <c r="G519" s="11">
        <v>6955.7785267240688</v>
      </c>
      <c r="H519" s="35">
        <v>0.68901565603604265</v>
      </c>
      <c r="I519" s="35">
        <v>0.6955778526724069</v>
      </c>
      <c r="J519" s="11">
        <v>-2.4718698653067604E-2</v>
      </c>
      <c r="K519" s="11">
        <v>-0.96240976126749267</v>
      </c>
      <c r="T519" s="47"/>
      <c r="U519" s="36"/>
    </row>
    <row r="520" spans="1:21" x14ac:dyDescent="0.3">
      <c r="A520" s="10">
        <f t="shared" si="10"/>
        <v>508</v>
      </c>
      <c r="B520" s="11">
        <v>0.41338832977291051</v>
      </c>
      <c r="C520" s="11">
        <v>-1.6414547187678101</v>
      </c>
      <c r="D520" s="11">
        <v>9.1587191659150656E-3</v>
      </c>
      <c r="E520" s="11">
        <v>-3.2204176379722185E-2</v>
      </c>
      <c r="F520" s="11">
        <v>6953.5514340876325</v>
      </c>
      <c r="G520" s="11">
        <v>6735.3419484811702</v>
      </c>
      <c r="H520" s="35">
        <v>0.69535514340876325</v>
      </c>
      <c r="I520" s="35">
        <v>0.67353419484811705</v>
      </c>
      <c r="J520" s="11">
        <v>1.2274954630882531E-2</v>
      </c>
      <c r="K520" s="11">
        <v>-1.0790460083763951</v>
      </c>
      <c r="T520" s="47"/>
      <c r="U520" s="36"/>
    </row>
    <row r="521" spans="1:21" x14ac:dyDescent="0.3">
      <c r="A521" s="10">
        <f t="shared" si="10"/>
        <v>509</v>
      </c>
      <c r="B521" s="11">
        <v>-0.55459803847747957</v>
      </c>
      <c r="C521" s="11">
        <v>-0.58742156286613523</v>
      </c>
      <c r="D521" s="11">
        <v>-1.2793148287437399E-2</v>
      </c>
      <c r="E521" s="11">
        <v>-1.1620843587316342E-2</v>
      </c>
      <c r="F521" s="11">
        <v>6865.160225923375</v>
      </c>
      <c r="G521" s="11">
        <v>6657.5246204180194</v>
      </c>
      <c r="H521" s="35">
        <v>0.68651602259233746</v>
      </c>
      <c r="I521" s="35">
        <v>0.66575246204180194</v>
      </c>
      <c r="J521" s="11">
        <v>-3.9305141927851166E-2</v>
      </c>
      <c r="K521" s="11">
        <v>-1.1202203052089608</v>
      </c>
      <c r="T521" s="47"/>
      <c r="U521" s="36"/>
    </row>
    <row r="522" spans="1:21" x14ac:dyDescent="0.3">
      <c r="A522" s="10">
        <f t="shared" si="10"/>
        <v>510</v>
      </c>
      <c r="B522" s="11">
        <v>-0.69020054919917695</v>
      </c>
      <c r="C522" s="11">
        <v>1.393813866323697</v>
      </c>
      <c r="D522" s="11">
        <v>-1.5868324177656663E-2</v>
      </c>
      <c r="E522" s="11">
        <v>2.7069047665899151E-2</v>
      </c>
      <c r="F522" s="11">
        <v>6757.0814205644683</v>
      </c>
      <c r="G522" s="11">
        <v>6840.1987245736909</v>
      </c>
      <c r="H522" s="35">
        <v>0.6757081420564468</v>
      </c>
      <c r="I522" s="35">
        <v>0.68401987245736906</v>
      </c>
      <c r="J522" s="11">
        <v>-0.10237380375681376</v>
      </c>
      <c r="K522" s="11">
        <v>-1.0235647404994561</v>
      </c>
      <c r="T522" s="47"/>
      <c r="U522" s="36"/>
    </row>
    <row r="523" spans="1:21" x14ac:dyDescent="0.3">
      <c r="A523" s="10">
        <f t="shared" si="10"/>
        <v>511</v>
      </c>
      <c r="B523" s="11">
        <v>1.9465226292704187</v>
      </c>
      <c r="C523" s="11">
        <v>0.15485220842593206</v>
      </c>
      <c r="D523" s="11">
        <v>4.3926937019631844E-2</v>
      </c>
      <c r="E523" s="11">
        <v>2.8744006770908478E-3</v>
      </c>
      <c r="F523" s="11">
        <v>7060.5149739218032</v>
      </c>
      <c r="G523" s="11">
        <v>6859.8884809869342</v>
      </c>
      <c r="H523" s="35">
        <v>0.70605149739218032</v>
      </c>
      <c r="I523" s="35">
        <v>0.68598884809869343</v>
      </c>
      <c r="J523" s="11">
        <v>7.4692810744557109E-2</v>
      </c>
      <c r="K523" s="11">
        <v>-1.0131465997678457</v>
      </c>
      <c r="T523" s="47"/>
      <c r="U523" s="36"/>
    </row>
    <row r="524" spans="1:21" x14ac:dyDescent="0.3">
      <c r="A524" s="10">
        <f t="shared" si="10"/>
        <v>512</v>
      </c>
      <c r="B524" s="11">
        <v>-0.81381222590225522</v>
      </c>
      <c r="C524" s="11">
        <v>0.48035540307636504</v>
      </c>
      <c r="D524" s="11">
        <v>-1.8671573512228617E-2</v>
      </c>
      <c r="E524" s="11">
        <v>9.2308805875825056E-3</v>
      </c>
      <c r="F524" s="11">
        <v>6929.9071705882998</v>
      </c>
      <c r="G524" s="11">
        <v>6923.5044564140471</v>
      </c>
      <c r="H524" s="35">
        <v>0.69299071705882997</v>
      </c>
      <c r="I524" s="35">
        <v>0.69235044564140469</v>
      </c>
      <c r="J524" s="11">
        <v>-1.5224967184574467E-3</v>
      </c>
      <c r="K524" s="11">
        <v>-0.97948644822160547</v>
      </c>
      <c r="T524" s="47"/>
      <c r="U524" s="36"/>
    </row>
    <row r="525" spans="1:21" x14ac:dyDescent="0.3">
      <c r="A525" s="10">
        <f t="shared" si="10"/>
        <v>513</v>
      </c>
      <c r="B525" s="11">
        <v>1.0416362373416879</v>
      </c>
      <c r="C525" s="11">
        <v>-0.11996286191106592</v>
      </c>
      <c r="D525" s="11">
        <v>2.3406042524118022E-2</v>
      </c>
      <c r="E525" s="11">
        <v>-2.4922332067132051E-3</v>
      </c>
      <c r="F525" s="11">
        <v>7094.0220197199269</v>
      </c>
      <c r="G525" s="11">
        <v>6906.2709525763094</v>
      </c>
      <c r="H525" s="35">
        <v>0.70940220197199266</v>
      </c>
      <c r="I525" s="35">
        <v>0.69062709525763089</v>
      </c>
      <c r="J525" s="11">
        <v>9.4245622540651552E-2</v>
      </c>
      <c r="K525" s="11">
        <v>-0.98860494946215605</v>
      </c>
      <c r="T525" s="47"/>
      <c r="U525" s="36"/>
    </row>
    <row r="526" spans="1:21" x14ac:dyDescent="0.3">
      <c r="A526" s="10">
        <f t="shared" si="10"/>
        <v>514</v>
      </c>
      <c r="B526" s="11">
        <v>-2.6728373094762392</v>
      </c>
      <c r="C526" s="11">
        <v>0.75087656373751432</v>
      </c>
      <c r="D526" s="11">
        <v>-6.0830299673667147E-2</v>
      </c>
      <c r="E526" s="11">
        <v>1.4513662297151187E-2</v>
      </c>
      <c r="F526" s="11">
        <v>6675.3534931877866</v>
      </c>
      <c r="G526" s="11">
        <v>7007.2371592873887</v>
      </c>
      <c r="H526" s="35">
        <v>0.66753534931877867</v>
      </c>
      <c r="I526" s="35">
        <v>0.70072371592873883</v>
      </c>
      <c r="J526" s="11">
        <v>-0.15006558751205654</v>
      </c>
      <c r="K526" s="11">
        <v>-0.93518223926827126</v>
      </c>
      <c r="T526" s="47"/>
      <c r="U526" s="36"/>
    </row>
    <row r="527" spans="1:21" x14ac:dyDescent="0.3">
      <c r="A527" s="10">
        <f t="shared" si="10"/>
        <v>515</v>
      </c>
      <c r="B527" s="11">
        <v>-1.081859697117</v>
      </c>
      <c r="C527" s="11">
        <v>0.50853649489570063</v>
      </c>
      <c r="D527" s="11">
        <v>-2.4750318784176838E-2</v>
      </c>
      <c r="E527" s="11">
        <v>9.7812055826956967E-3</v>
      </c>
      <c r="F527" s="11">
        <v>6512.1641903021027</v>
      </c>
      <c r="G527" s="11">
        <v>7076.1126802033359</v>
      </c>
      <c r="H527" s="35">
        <v>0.65121641903021033</v>
      </c>
      <c r="I527" s="35">
        <v>0.70761126802033358</v>
      </c>
      <c r="J527" s="11">
        <v>-0.24529361046830009</v>
      </c>
      <c r="K527" s="11">
        <v>-0.89873918457498514</v>
      </c>
      <c r="T527" s="47"/>
      <c r="U527" s="36"/>
    </row>
    <row r="528" spans="1:21" x14ac:dyDescent="0.3">
      <c r="A528" s="10">
        <f t="shared" si="10"/>
        <v>516</v>
      </c>
      <c r="B528" s="11">
        <v>0.61034614815922728</v>
      </c>
      <c r="C528" s="11">
        <v>1.0989250487682236</v>
      </c>
      <c r="D528" s="11">
        <v>1.3625302647800944E-2</v>
      </c>
      <c r="E528" s="11">
        <v>2.1310410345509605E-2</v>
      </c>
      <c r="F528" s="11">
        <v>6601.5016410772987</v>
      </c>
      <c r="G528" s="11">
        <v>7228.5257698625692</v>
      </c>
      <c r="H528" s="35">
        <v>0.66015016410772986</v>
      </c>
      <c r="I528" s="35">
        <v>0.72285257698625693</v>
      </c>
      <c r="J528" s="11">
        <v>-0.19316134038174793</v>
      </c>
      <c r="K528" s="11">
        <v>-0.81809516927668324</v>
      </c>
      <c r="T528" s="47"/>
      <c r="U528" s="36"/>
    </row>
    <row r="529" spans="1:21" x14ac:dyDescent="0.3">
      <c r="A529" s="10">
        <f t="shared" si="10"/>
        <v>517</v>
      </c>
      <c r="B529" s="11">
        <v>0.96615264473833995</v>
      </c>
      <c r="C529" s="11">
        <v>0.8663257017996091</v>
      </c>
      <c r="D529" s="11">
        <v>2.1694235546167968E-2</v>
      </c>
      <c r="E529" s="11">
        <v>1.676817204954666E-2</v>
      </c>
      <c r="F529" s="11">
        <v>6746.280932464495</v>
      </c>
      <c r="G529" s="11">
        <v>7350.7568656791864</v>
      </c>
      <c r="H529" s="35">
        <v>0.67462809324644946</v>
      </c>
      <c r="I529" s="35">
        <v>0.73507568656791866</v>
      </c>
      <c r="J529" s="11">
        <v>-0.10867635613332205</v>
      </c>
      <c r="K529" s="11">
        <v>-0.75342089239533183</v>
      </c>
      <c r="T529" s="47"/>
      <c r="U529" s="36"/>
    </row>
    <row r="530" spans="1:21" x14ac:dyDescent="0.3">
      <c r="A530" s="10">
        <f t="shared" si="10"/>
        <v>518</v>
      </c>
      <c r="B530" s="11">
        <v>-0.12472987554906302</v>
      </c>
      <c r="C530" s="11">
        <v>-0.4186280459075804</v>
      </c>
      <c r="D530" s="11">
        <v>-3.0446546675563838E-3</v>
      </c>
      <c r="E530" s="11">
        <v>-8.3246160319446066E-3</v>
      </c>
      <c r="F530" s="11">
        <v>6725.7720737739473</v>
      </c>
      <c r="G530" s="11">
        <v>7289.8186328372522</v>
      </c>
      <c r="H530" s="35">
        <v>0.67257720737739468</v>
      </c>
      <c r="I530" s="35">
        <v>0.72898186328372516</v>
      </c>
      <c r="J530" s="11">
        <v>-0.12064416304011384</v>
      </c>
      <c r="K530" s="11">
        <v>-0.78566421081728555</v>
      </c>
      <c r="T530" s="47"/>
      <c r="U530" s="36"/>
    </row>
    <row r="531" spans="1:21" x14ac:dyDescent="0.3">
      <c r="A531" s="10">
        <f t="shared" si="10"/>
        <v>519</v>
      </c>
      <c r="B531" s="11">
        <v>0.39152149785953633</v>
      </c>
      <c r="C531" s="11">
        <v>0.57430375291638891</v>
      </c>
      <c r="D531" s="11">
        <v>8.6628260298838768E-3</v>
      </c>
      <c r="E531" s="11">
        <v>1.1065519412013348E-2</v>
      </c>
      <c r="F531" s="11">
        <v>6784.2893637673051</v>
      </c>
      <c r="G531" s="11">
        <v>7370.9322167316423</v>
      </c>
      <c r="H531" s="35">
        <v>0.67842893637673052</v>
      </c>
      <c r="I531" s="35">
        <v>0.73709322167316427</v>
      </c>
      <c r="J531" s="11">
        <v>-8.6496791023161074E-2</v>
      </c>
      <c r="K531" s="11">
        <v>-0.74274581637292081</v>
      </c>
      <c r="T531" s="47"/>
      <c r="U531" s="36"/>
    </row>
    <row r="532" spans="1:21" x14ac:dyDescent="0.3">
      <c r="A532" s="10">
        <f t="shared" si="10"/>
        <v>520</v>
      </c>
      <c r="B532" s="11">
        <v>0.77689706917588552</v>
      </c>
      <c r="C532" s="11">
        <v>-0.48102294585573502</v>
      </c>
      <c r="D532" s="11">
        <v>1.7402322513276704E-2</v>
      </c>
      <c r="E532" s="11">
        <v>-9.543073898275271E-3</v>
      </c>
      <c r="F532" s="11">
        <v>6903.3850202404747</v>
      </c>
      <c r="G532" s="11">
        <v>7300.9254371176385</v>
      </c>
      <c r="H532" s="35">
        <v>0.69033850202404745</v>
      </c>
      <c r="I532" s="35">
        <v>0.7300925437117638</v>
      </c>
      <c r="J532" s="11">
        <v>-1.6999319632155924E-2</v>
      </c>
      <c r="K532" s="11">
        <v>-0.7797874367402996</v>
      </c>
      <c r="T532" s="47"/>
      <c r="U532" s="36"/>
    </row>
    <row r="533" spans="1:21" x14ac:dyDescent="0.3">
      <c r="A533" s="10">
        <f t="shared" si="10"/>
        <v>521</v>
      </c>
      <c r="B533" s="11">
        <v>-0.67712347948088158</v>
      </c>
      <c r="C533" s="11">
        <v>1.0185994659630948</v>
      </c>
      <c r="D533" s="11">
        <v>-1.5571764111781839E-2</v>
      </c>
      <c r="E533" s="11">
        <v>1.9741799155847794E-2</v>
      </c>
      <c r="F533" s="11">
        <v>6796.7197754864901</v>
      </c>
      <c r="G533" s="11">
        <v>7446.4909758854092</v>
      </c>
      <c r="H533" s="35">
        <v>0.67967197754864905</v>
      </c>
      <c r="I533" s="35">
        <v>0.74464909758854092</v>
      </c>
      <c r="J533" s="11">
        <v>-7.9243107652877148E-2</v>
      </c>
      <c r="K533" s="11">
        <v>-0.70276656168593377</v>
      </c>
      <c r="T533" s="47"/>
      <c r="U533" s="36"/>
    </row>
    <row r="534" spans="1:21" x14ac:dyDescent="0.3">
      <c r="A534" s="10">
        <f t="shared" si="10"/>
        <v>522</v>
      </c>
      <c r="B534" s="11">
        <v>0.56011542458428287</v>
      </c>
      <c r="C534" s="11">
        <v>0.13307481537748256</v>
      </c>
      <c r="D534" s="11">
        <v>1.2486176909908381E-2</v>
      </c>
      <c r="E534" s="11">
        <v>2.4491281645921265E-3</v>
      </c>
      <c r="F534" s="11">
        <v>6882.116853038925</v>
      </c>
      <c r="G534" s="11">
        <v>7464.750737783218</v>
      </c>
      <c r="H534" s="35">
        <v>0.68821168530389254</v>
      </c>
      <c r="I534" s="35">
        <v>0.74647507377832178</v>
      </c>
      <c r="J534" s="11">
        <v>-2.9410215926781082E-2</v>
      </c>
      <c r="K534" s="11">
        <v>-0.6931050521586184</v>
      </c>
      <c r="T534" s="47"/>
      <c r="U534" s="36"/>
    </row>
    <row r="535" spans="1:21" x14ac:dyDescent="0.3">
      <c r="A535" s="10">
        <f t="shared" si="10"/>
        <v>523</v>
      </c>
      <c r="B535" s="11">
        <v>0.40997169564621555</v>
      </c>
      <c r="C535" s="11">
        <v>-5.8531719398283721E-2</v>
      </c>
      <c r="D535" s="11">
        <v>9.081237186885369E-3</v>
      </c>
      <c r="E535" s="11">
        <v>-1.292595754059618E-3</v>
      </c>
      <c r="F535" s="11">
        <v>6944.8996297041849</v>
      </c>
      <c r="G535" s="11">
        <v>7455.1080660552971</v>
      </c>
      <c r="H535" s="35">
        <v>0.69448996297041854</v>
      </c>
      <c r="I535" s="35">
        <v>0.74551080660552971</v>
      </c>
      <c r="J535" s="11">
        <v>7.2262522228758955E-3</v>
      </c>
      <c r="K535" s="11">
        <v>-0.69820713209205176</v>
      </c>
      <c r="T535" s="47"/>
      <c r="U535" s="36"/>
    </row>
    <row r="536" spans="1:21" x14ac:dyDescent="0.3">
      <c r="A536" s="10">
        <f t="shared" si="10"/>
        <v>524</v>
      </c>
      <c r="B536" s="11">
        <v>0.48806957632213704</v>
      </c>
      <c r="C536" s="11">
        <v>0.18025332868441454</v>
      </c>
      <c r="D536" s="11">
        <v>1.08523306456541E-2</v>
      </c>
      <c r="E536" s="11">
        <v>3.3704379304284834E-3</v>
      </c>
      <c r="F536" s="11">
        <v>7020.6784213141718</v>
      </c>
      <c r="G536" s="11">
        <v>7480.2774371313635</v>
      </c>
      <c r="H536" s="35">
        <v>0.70206784213141715</v>
      </c>
      <c r="I536" s="35">
        <v>0.74802774371313641</v>
      </c>
      <c r="J536" s="11">
        <v>5.144645771077673E-2</v>
      </c>
      <c r="K536" s="11">
        <v>-0.68488964636530025</v>
      </c>
      <c r="T536" s="47"/>
      <c r="U536" s="36"/>
    </row>
    <row r="537" spans="1:21" x14ac:dyDescent="0.3">
      <c r="A537" s="10">
        <f t="shared" si="10"/>
        <v>525</v>
      </c>
      <c r="B537" s="11">
        <v>-2.6167857132315513</v>
      </c>
      <c r="C537" s="11">
        <v>-0.40456778547729444</v>
      </c>
      <c r="D537" s="11">
        <v>-5.9559168951510179E-2</v>
      </c>
      <c r="E537" s="11">
        <v>-8.0500449542094867E-3</v>
      </c>
      <c r="F537" s="11">
        <v>6614.7412795941518</v>
      </c>
      <c r="G537" s="11">
        <v>7420.3025914742566</v>
      </c>
      <c r="H537" s="35">
        <v>0.66147412795941518</v>
      </c>
      <c r="I537" s="35">
        <v>0.74203025914742571</v>
      </c>
      <c r="J537" s="11">
        <v>-0.18543543814231958</v>
      </c>
      <c r="K537" s="11">
        <v>-0.71662322240853105</v>
      </c>
      <c r="T537" s="47"/>
      <c r="U537" s="36"/>
    </row>
    <row r="538" spans="1:21" x14ac:dyDescent="0.3">
      <c r="A538" s="10">
        <f t="shared" si="10"/>
        <v>526</v>
      </c>
      <c r="B538" s="11">
        <v>1.4955910357750739</v>
      </c>
      <c r="C538" s="11">
        <v>0.11371114875596103</v>
      </c>
      <c r="D538" s="11">
        <v>3.3700769693711101E-2</v>
      </c>
      <c r="E538" s="11">
        <v>2.0709912986687563E-3</v>
      </c>
      <c r="F538" s="11">
        <v>6841.4620262609596</v>
      </c>
      <c r="G538" s="11">
        <v>7435.6858974228144</v>
      </c>
      <c r="H538" s="35">
        <v>0.68414620262609593</v>
      </c>
      <c r="I538" s="35">
        <v>0.74356858974228146</v>
      </c>
      <c r="J538" s="11">
        <v>-5.3134067363331483E-2</v>
      </c>
      <c r="K538" s="11">
        <v>-0.70848368817936713</v>
      </c>
      <c r="T538" s="47"/>
      <c r="U538" s="36"/>
    </row>
    <row r="539" spans="1:21" x14ac:dyDescent="0.3">
      <c r="A539" s="10">
        <f t="shared" si="10"/>
        <v>527</v>
      </c>
      <c r="B539" s="11">
        <v>-0.13164453271751148</v>
      </c>
      <c r="C539" s="11">
        <v>0.33294776904740181</v>
      </c>
      <c r="D539" s="11">
        <v>-3.2014643527191098E-3</v>
      </c>
      <c r="E539" s="11">
        <v>6.3522800707289766E-3</v>
      </c>
      <c r="F539" s="11">
        <v>6819.594352430021</v>
      </c>
      <c r="G539" s="11">
        <v>7483.0697953223416</v>
      </c>
      <c r="H539" s="35">
        <v>0.68195943524300207</v>
      </c>
      <c r="I539" s="35">
        <v>0.74830697953223413</v>
      </c>
      <c r="J539" s="11">
        <v>-6.5894801729793173E-2</v>
      </c>
      <c r="K539" s="11">
        <v>-0.68341216843230213</v>
      </c>
      <c r="T539" s="47"/>
      <c r="U539" s="36"/>
    </row>
    <row r="540" spans="1:21" x14ac:dyDescent="0.3">
      <c r="A540" s="10">
        <f t="shared" si="10"/>
        <v>528</v>
      </c>
      <c r="B540" s="11">
        <v>-1.8100882576874111</v>
      </c>
      <c r="C540" s="11">
        <v>-0.4786615135880814</v>
      </c>
      <c r="D540" s="11">
        <v>-4.1264990231752653E-2</v>
      </c>
      <c r="E540" s="11">
        <v>-9.4969594606414201E-3</v>
      </c>
      <c r="F540" s="11">
        <v>6543.9110116178608</v>
      </c>
      <c r="G540" s="11">
        <v>7412.3397765031341</v>
      </c>
      <c r="H540" s="35">
        <v>0.65439110116178612</v>
      </c>
      <c r="I540" s="35">
        <v>0.7412339776503134</v>
      </c>
      <c r="J540" s="11">
        <v>-0.22676796586056161</v>
      </c>
      <c r="K540" s="11">
        <v>-0.72083646533789147</v>
      </c>
      <c r="T540" s="47"/>
      <c r="U540" s="36"/>
    </row>
    <row r="541" spans="1:21" x14ac:dyDescent="0.3">
      <c r="A541" s="10">
        <f t="shared" ref="A541:A604" si="11">A540+1</f>
        <v>529</v>
      </c>
      <c r="B541" s="11">
        <v>-0.268261183664532</v>
      </c>
      <c r="C541" s="11">
        <v>-1.1230411977236749</v>
      </c>
      <c r="D541" s="11">
        <v>-6.2996387814876782E-3</v>
      </c>
      <c r="E541" s="11">
        <v>-2.2080511893469785E-2</v>
      </c>
      <c r="F541" s="11">
        <v>6502.8163128106689</v>
      </c>
      <c r="G541" s="11">
        <v>7250.4652330614226</v>
      </c>
      <c r="H541" s="35">
        <v>0.65028163128106686</v>
      </c>
      <c r="I541" s="35">
        <v>0.72504652330614228</v>
      </c>
      <c r="J541" s="11">
        <v>-0.25074850166891999</v>
      </c>
      <c r="K541" s="11">
        <v>-0.80648667547998465</v>
      </c>
      <c r="T541" s="47"/>
      <c r="U541" s="36"/>
    </row>
    <row r="542" spans="1:21" x14ac:dyDescent="0.3">
      <c r="A542" s="10">
        <f t="shared" si="11"/>
        <v>530</v>
      </c>
      <c r="B542" s="11">
        <v>0.73891529510719445</v>
      </c>
      <c r="C542" s="11">
        <v>0.68295496013290879</v>
      </c>
      <c r="D542" s="11">
        <v>1.6540976840087002E-2</v>
      </c>
      <c r="E542" s="11">
        <v>1.3187278053012777E-2</v>
      </c>
      <c r="F542" s="11">
        <v>6611.2737701268779</v>
      </c>
      <c r="G542" s="11">
        <v>7346.7123580915741</v>
      </c>
      <c r="H542" s="35">
        <v>0.66112737701268776</v>
      </c>
      <c r="I542" s="35">
        <v>0.73467123580915739</v>
      </c>
      <c r="J542" s="11">
        <v>-0.18745888003043071</v>
      </c>
      <c r="K542" s="11">
        <v>-0.75556090105534102</v>
      </c>
      <c r="T542" s="47"/>
      <c r="U542" s="36"/>
    </row>
    <row r="543" spans="1:21" x14ac:dyDescent="0.3">
      <c r="A543" s="10">
        <f t="shared" si="11"/>
        <v>531</v>
      </c>
      <c r="B543" s="11">
        <v>1.6086633370165084</v>
      </c>
      <c r="C543" s="11">
        <v>1.7746385811408611</v>
      </c>
      <c r="D543" s="11">
        <v>3.6265008458750664E-2</v>
      </c>
      <c r="E543" s="11">
        <v>3.4505855319211687E-2</v>
      </c>
      <c r="F543" s="11">
        <v>6855.432113347083</v>
      </c>
      <c r="G543" s="11">
        <v>7604.641391228929</v>
      </c>
      <c r="H543" s="35">
        <v>0.6855432113347083</v>
      </c>
      <c r="I543" s="35">
        <v>0.7604641391228929</v>
      </c>
      <c r="J543" s="11">
        <v>-4.4981916761462674E-2</v>
      </c>
      <c r="K543" s="11">
        <v>-0.61908684268731695</v>
      </c>
      <c r="T543" s="47"/>
      <c r="U543" s="36"/>
    </row>
    <row r="544" spans="1:21" x14ac:dyDescent="0.3">
      <c r="A544" s="10">
        <f t="shared" si="11"/>
        <v>532</v>
      </c>
      <c r="B544" s="11">
        <v>-0.91892214443160503</v>
      </c>
      <c r="C544" s="11">
        <v>-0.87784050699911587</v>
      </c>
      <c r="D544" s="11">
        <v>-2.105524241012793E-2</v>
      </c>
      <c r="E544" s="11">
        <v>-1.7292192484490782E-2</v>
      </c>
      <c r="F544" s="11">
        <v>6712.598305356657</v>
      </c>
      <c r="G544" s="11">
        <v>7474.2709128177521</v>
      </c>
      <c r="H544" s="35">
        <v>0.67125983053566574</v>
      </c>
      <c r="I544" s="35">
        <v>0.7474270912817752</v>
      </c>
      <c r="J544" s="11">
        <v>-0.12833162722482677</v>
      </c>
      <c r="K544" s="11">
        <v>-0.68806778703366089</v>
      </c>
      <c r="T544" s="47"/>
      <c r="U544" s="36"/>
    </row>
    <row r="545" spans="1:21" x14ac:dyDescent="0.3">
      <c r="A545" s="10">
        <f t="shared" si="11"/>
        <v>533</v>
      </c>
      <c r="B545" s="11">
        <v>0.26535520494721349</v>
      </c>
      <c r="C545" s="11">
        <v>1.2035305742458107</v>
      </c>
      <c r="D545" s="11">
        <v>5.8016434451558432E-3</v>
      </c>
      <c r="E545" s="11">
        <v>2.335316424824406E-2</v>
      </c>
      <c r="F545" s="11">
        <v>6751.6555959994148</v>
      </c>
      <c r="G545" s="11">
        <v>7650.8728702917479</v>
      </c>
      <c r="H545" s="35">
        <v>0.67516555959994151</v>
      </c>
      <c r="I545" s="35">
        <v>0.76508728702917483</v>
      </c>
      <c r="J545" s="11">
        <v>-0.10554000728303027</v>
      </c>
      <c r="K545" s="11">
        <v>-0.59462508475602094</v>
      </c>
      <c r="T545" s="47"/>
      <c r="U545" s="36"/>
    </row>
    <row r="546" spans="1:21" x14ac:dyDescent="0.3">
      <c r="A546" s="10">
        <f t="shared" si="11"/>
        <v>534</v>
      </c>
      <c r="B546" s="11">
        <v>1.274849777322973</v>
      </c>
      <c r="C546" s="11">
        <v>0.76868983935884172</v>
      </c>
      <c r="D546" s="11">
        <v>2.8694828488376588E-2</v>
      </c>
      <c r="E546" s="11">
        <v>1.4861522872678315E-2</v>
      </c>
      <c r="F546" s="11">
        <v>6948.1996077954554</v>
      </c>
      <c r="G546" s="11">
        <v>7765.4255980598628</v>
      </c>
      <c r="H546" s="35">
        <v>0.69481996077954555</v>
      </c>
      <c r="I546" s="35">
        <v>0.7765425598059863</v>
      </c>
      <c r="J546" s="11">
        <v>9.1519323003914372E-3</v>
      </c>
      <c r="K546" s="11">
        <v>-0.53401354573894266</v>
      </c>
      <c r="T546" s="47"/>
      <c r="U546" s="36"/>
    </row>
    <row r="547" spans="1:21" x14ac:dyDescent="0.3">
      <c r="A547" s="10">
        <f t="shared" si="11"/>
        <v>535</v>
      </c>
      <c r="B547" s="11">
        <v>-0.76042214281416831</v>
      </c>
      <c r="C547" s="11">
        <v>0.41254325328533892</v>
      </c>
      <c r="D547" s="11">
        <v>-1.746080023513016E-2</v>
      </c>
      <c r="E547" s="11">
        <v>7.9066337755141283E-3</v>
      </c>
      <c r="F547" s="11">
        <v>6827.9315265118703</v>
      </c>
      <c r="G547" s="11">
        <v>7827.0673425976584</v>
      </c>
      <c r="H547" s="35">
        <v>0.68279315265118701</v>
      </c>
      <c r="I547" s="35">
        <v>0.78270673425976589</v>
      </c>
      <c r="J547" s="11">
        <v>-6.1029699723611414E-2</v>
      </c>
      <c r="K547" s="11">
        <v>-0.50139798889514198</v>
      </c>
      <c r="T547" s="47"/>
      <c r="U547" s="36"/>
    </row>
    <row r="548" spans="1:21" x14ac:dyDescent="0.3">
      <c r="A548" s="10">
        <f t="shared" si="11"/>
        <v>536</v>
      </c>
      <c r="B548" s="11">
        <v>0.63921947678497826</v>
      </c>
      <c r="C548" s="11">
        <v>0.55954621682439043</v>
      </c>
      <c r="D548" s="11">
        <v>1.4280088194084195E-2</v>
      </c>
      <c r="E548" s="11">
        <v>1.0777331820497128E-2</v>
      </c>
      <c r="F548" s="11">
        <v>6926.1344956259263</v>
      </c>
      <c r="G548" s="11">
        <v>7911.8784423066154</v>
      </c>
      <c r="H548" s="35">
        <v>0.69261344956259263</v>
      </c>
      <c r="I548" s="35">
        <v>0.79118784423066157</v>
      </c>
      <c r="J548" s="11">
        <v>-3.7240158840550473E-3</v>
      </c>
      <c r="K548" s="11">
        <v>-0.4565231842593539</v>
      </c>
      <c r="T548" s="47"/>
      <c r="U548" s="36"/>
    </row>
    <row r="549" spans="1:21" x14ac:dyDescent="0.3">
      <c r="A549" s="10">
        <f t="shared" si="11"/>
        <v>537</v>
      </c>
      <c r="B549" s="11">
        <v>-0.7986486885428834</v>
      </c>
      <c r="C549" s="11">
        <v>-0.20036794363207744</v>
      </c>
      <c r="D549" s="11">
        <v>-1.8327696807809178E-2</v>
      </c>
      <c r="E549" s="11">
        <v>-4.0623968642770798E-3</v>
      </c>
      <c r="F549" s="11">
        <v>6800.3505881283008</v>
      </c>
      <c r="G549" s="11">
        <v>7879.8024489521385</v>
      </c>
      <c r="H549" s="35">
        <v>0.68003505881283011</v>
      </c>
      <c r="I549" s="35">
        <v>0.7879802448952139</v>
      </c>
      <c r="J549" s="11">
        <v>-7.7124371292771624E-2</v>
      </c>
      <c r="K549" s="11">
        <v>-0.47349506577274697</v>
      </c>
      <c r="T549" s="47"/>
      <c r="U549" s="36"/>
    </row>
    <row r="550" spans="1:21" x14ac:dyDescent="0.3">
      <c r="A550" s="10">
        <f t="shared" si="11"/>
        <v>538</v>
      </c>
      <c r="B550" s="11">
        <v>2.2449493361673831E-2</v>
      </c>
      <c r="C550" s="11">
        <v>-0.12896928614014905</v>
      </c>
      <c r="D550" s="11">
        <v>2.9305968893425342E-4</v>
      </c>
      <c r="E550" s="11">
        <v>-2.6681121400644234E-3</v>
      </c>
      <c r="F550" s="11">
        <v>6802.3437888054214</v>
      </c>
      <c r="G550" s="11">
        <v>7858.8062749058818</v>
      </c>
      <c r="H550" s="35">
        <v>0.68023437888054217</v>
      </c>
      <c r="I550" s="35">
        <v>0.78588062749058818</v>
      </c>
      <c r="J550" s="11">
        <v>-7.596125240886907E-2</v>
      </c>
      <c r="K550" s="11">
        <v>-0.48460445135621522</v>
      </c>
      <c r="T550" s="47"/>
      <c r="U550" s="36"/>
    </row>
    <row r="551" spans="1:21" x14ac:dyDescent="0.3">
      <c r="A551" s="10">
        <f t="shared" si="11"/>
        <v>539</v>
      </c>
      <c r="B551" s="11">
        <v>2.2953613855027393</v>
      </c>
      <c r="C551" s="11">
        <v>-0.50641244540788954</v>
      </c>
      <c r="D551" s="11">
        <v>5.1837856419504447E-2</v>
      </c>
      <c r="E551" s="11">
        <v>-1.0038884220548839E-2</v>
      </c>
      <c r="F551" s="11">
        <v>7164.2622060571339</v>
      </c>
      <c r="G551" s="11">
        <v>7780.3073088702304</v>
      </c>
      <c r="H551" s="35">
        <v>0.71642622060571337</v>
      </c>
      <c r="I551" s="35">
        <v>0.77803073088702301</v>
      </c>
      <c r="J551" s="11">
        <v>0.1352338120769227</v>
      </c>
      <c r="K551" s="11">
        <v>-0.52613941290074984</v>
      </c>
      <c r="T551" s="47"/>
      <c r="U551" s="36"/>
    </row>
    <row r="552" spans="1:21" x14ac:dyDescent="0.3">
      <c r="A552" s="10">
        <f t="shared" si="11"/>
        <v>540</v>
      </c>
      <c r="B552" s="11">
        <v>-1.2862938295224968</v>
      </c>
      <c r="C552" s="11">
        <v>-1.1401005866519029</v>
      </c>
      <c r="D552" s="11">
        <v>-2.9386449131361368E-2</v>
      </c>
      <c r="E552" s="11">
        <v>-2.2413650445685836E-2</v>
      </c>
      <c r="F552" s="11">
        <v>6956.7932964523907</v>
      </c>
      <c r="G552" s="11">
        <v>7607.8620041233371</v>
      </c>
      <c r="H552" s="35">
        <v>0.69567932964523904</v>
      </c>
      <c r="I552" s="35">
        <v>0.76078620041233369</v>
      </c>
      <c r="J552" s="11">
        <v>1.4166721666056594E-2</v>
      </c>
      <c r="K552" s="11">
        <v>-0.61738276886985655</v>
      </c>
      <c r="T552" s="47"/>
      <c r="U552" s="36"/>
    </row>
    <row r="553" spans="1:21" x14ac:dyDescent="0.3">
      <c r="A553" s="10">
        <f t="shared" si="11"/>
        <v>541</v>
      </c>
      <c r="B553" s="11">
        <v>0.47998024417903595</v>
      </c>
      <c r="C553" s="11">
        <v>1.6301524259328262</v>
      </c>
      <c r="D553" s="11">
        <v>1.0668881836026272E-2</v>
      </c>
      <c r="E553" s="11">
        <v>3.1684305921177741E-2</v>
      </c>
      <c r="F553" s="11">
        <v>7031.4118425284278</v>
      </c>
      <c r="G553" s="11">
        <v>7852.7712324670165</v>
      </c>
      <c r="H553" s="35">
        <v>0.70314118425284278</v>
      </c>
      <c r="I553" s="35">
        <v>0.78527712324670162</v>
      </c>
      <c r="J553" s="11">
        <v>5.7709873656037587E-2</v>
      </c>
      <c r="K553" s="11">
        <v>-0.4877976813855644</v>
      </c>
      <c r="T553" s="47"/>
      <c r="U553" s="36"/>
    </row>
    <row r="554" spans="1:21" x14ac:dyDescent="0.3">
      <c r="A554" s="10">
        <f t="shared" si="11"/>
        <v>542</v>
      </c>
      <c r="B554" s="11">
        <v>0.86323810329299233</v>
      </c>
      <c r="C554" s="11">
        <v>0.71008834581264957</v>
      </c>
      <c r="D554" s="11">
        <v>1.9360353120825343E-2</v>
      </c>
      <c r="E554" s="11">
        <v>1.3717143270348408E-2</v>
      </c>
      <c r="F554" s="11">
        <v>7168.8687726125163</v>
      </c>
      <c r="G554" s="11">
        <v>7961.2309989661235</v>
      </c>
      <c r="H554" s="35">
        <v>0.71688687726125166</v>
      </c>
      <c r="I554" s="35">
        <v>0.79612309989661234</v>
      </c>
      <c r="J554" s="11">
        <v>0.13792194308752403</v>
      </c>
      <c r="K554" s="11">
        <v>-0.43041001810572377</v>
      </c>
      <c r="T554" s="47"/>
      <c r="U554" s="36"/>
    </row>
    <row r="555" spans="1:21" x14ac:dyDescent="0.3">
      <c r="A555" s="10">
        <f t="shared" si="11"/>
        <v>543</v>
      </c>
      <c r="B555" s="11">
        <v>-1.3214205021501506</v>
      </c>
      <c r="C555" s="11">
        <v>-7.8124508808496723E-2</v>
      </c>
      <c r="D555" s="11">
        <v>-3.0183047189858099E-2</v>
      </c>
      <c r="E555" s="11">
        <v>-1.675206967477234E-3</v>
      </c>
      <c r="F555" s="11">
        <v>6955.7233388292934</v>
      </c>
      <c r="G555" s="11">
        <v>7947.9054539661847</v>
      </c>
      <c r="H555" s="35">
        <v>0.69557233388292938</v>
      </c>
      <c r="I555" s="35">
        <v>0.79479054539661842</v>
      </c>
      <c r="J555" s="11">
        <v>1.354235507282537E-2</v>
      </c>
      <c r="K555" s="11">
        <v>-0.43746076064519945</v>
      </c>
      <c r="T555" s="47"/>
      <c r="U555" s="36"/>
    </row>
    <row r="556" spans="1:21" x14ac:dyDescent="0.3">
      <c r="A556" s="10">
        <f t="shared" si="11"/>
        <v>544</v>
      </c>
      <c r="B556" s="11">
        <v>1.3499132980851232</v>
      </c>
      <c r="C556" s="11">
        <v>-0.88020137867016124</v>
      </c>
      <c r="D556" s="11">
        <v>3.0397109132401585E-2</v>
      </c>
      <c r="E556" s="11">
        <v>-1.7338295974701885E-2</v>
      </c>
      <c r="F556" s="11">
        <v>7170.4035188473408</v>
      </c>
      <c r="G556" s="11">
        <v>7811.2900781228527</v>
      </c>
      <c r="H556" s="35">
        <v>0.71704035188473403</v>
      </c>
      <c r="I556" s="35">
        <v>0.78112900781228523</v>
      </c>
      <c r="J556" s="11">
        <v>0.13881753395713059</v>
      </c>
      <c r="K556" s="11">
        <v>-0.50974597239522257</v>
      </c>
      <c r="T556" s="47"/>
      <c r="U556" s="36"/>
    </row>
    <row r="557" spans="1:21" x14ac:dyDescent="0.3">
      <c r="A557" s="10">
        <f t="shared" si="11"/>
        <v>545</v>
      </c>
      <c r="B557" s="11">
        <v>1.1696985732559118</v>
      </c>
      <c r="C557" s="11">
        <v>-0.44901291740315763</v>
      </c>
      <c r="D557" s="11">
        <v>2.6310223322487038E-2</v>
      </c>
      <c r="E557" s="11">
        <v>-8.9179767989623505E-3</v>
      </c>
      <c r="F557" s="11">
        <v>7361.562122535177</v>
      </c>
      <c r="G557" s="11">
        <v>7741.9388702937013</v>
      </c>
      <c r="H557" s="35">
        <v>0.73615621225351768</v>
      </c>
      <c r="I557" s="35">
        <v>0.77419388702937009</v>
      </c>
      <c r="J557" s="11">
        <v>0.25036685476659942</v>
      </c>
      <c r="K557" s="11">
        <v>-0.54644072005524413</v>
      </c>
      <c r="T557" s="47"/>
      <c r="U557" s="36"/>
    </row>
    <row r="558" spans="1:21" x14ac:dyDescent="0.3">
      <c r="A558" s="10">
        <f t="shared" si="11"/>
        <v>546</v>
      </c>
      <c r="B558" s="11">
        <v>2.7913540787496131E-2</v>
      </c>
      <c r="C558" s="11">
        <v>1.533885480897742</v>
      </c>
      <c r="D558" s="11">
        <v>4.1697263728215439E-4</v>
      </c>
      <c r="E558" s="11">
        <v>2.9804389188510728E-2</v>
      </c>
      <c r="F558" s="11">
        <v>7364.6323325602289</v>
      </c>
      <c r="G558" s="11">
        <v>7976.1556356005449</v>
      </c>
      <c r="H558" s="35">
        <v>0.73646323325602292</v>
      </c>
      <c r="I558" s="35">
        <v>0.79761556356005447</v>
      </c>
      <c r="J558" s="11">
        <v>0.25215845523045421</v>
      </c>
      <c r="K558" s="11">
        <v>-0.42251317258045518</v>
      </c>
      <c r="T558" s="47"/>
      <c r="U558" s="36"/>
    </row>
    <row r="559" spans="1:21" x14ac:dyDescent="0.3">
      <c r="A559" s="10">
        <f t="shared" si="11"/>
        <v>547</v>
      </c>
      <c r="B559" s="11">
        <v>-1.9376294054336232</v>
      </c>
      <c r="C559" s="11">
        <v>3.7291508740614238E-2</v>
      </c>
      <c r="D559" s="11">
        <v>-4.4157351593445991E-2</v>
      </c>
      <c r="E559" s="11">
        <v>5.7865600209439365E-4</v>
      </c>
      <c r="F559" s="11">
        <v>7046.5051899189739</v>
      </c>
      <c r="G559" s="11">
        <v>7980.7724215693552</v>
      </c>
      <c r="H559" s="35">
        <v>0.70465051899189735</v>
      </c>
      <c r="I559" s="35">
        <v>0.79807724215693554</v>
      </c>
      <c r="J559" s="11">
        <v>6.6517495273248226E-2</v>
      </c>
      <c r="K559" s="11">
        <v>-0.42007036298234163</v>
      </c>
      <c r="T559" s="47"/>
      <c r="U559" s="36"/>
    </row>
    <row r="560" spans="1:21" x14ac:dyDescent="0.3">
      <c r="A560" s="10">
        <f t="shared" si="11"/>
        <v>548</v>
      </c>
      <c r="B560" s="11">
        <v>0.23291766221014878</v>
      </c>
      <c r="C560" s="11">
        <v>1.5588797316404328</v>
      </c>
      <c r="D560" s="11">
        <v>5.0660291203761063E-3</v>
      </c>
      <c r="E560" s="11">
        <v>3.0292481027038843E-2</v>
      </c>
      <c r="F560" s="11">
        <v>7082.2935663452417</v>
      </c>
      <c r="G560" s="11">
        <v>8226.2287902798762</v>
      </c>
      <c r="H560" s="35">
        <v>0.70822935663452413</v>
      </c>
      <c r="I560" s="35">
        <v>0.82262287902798759</v>
      </c>
      <c r="J560" s="11">
        <v>8.7401562253267784E-2</v>
      </c>
      <c r="K560" s="11">
        <v>-0.29019577545436859</v>
      </c>
      <c r="T560" s="47"/>
      <c r="U560" s="36"/>
    </row>
    <row r="561" spans="1:21" x14ac:dyDescent="0.3">
      <c r="A561" s="10">
        <f t="shared" si="11"/>
        <v>549</v>
      </c>
      <c r="B561" s="11">
        <v>0.1116787922713376</v>
      </c>
      <c r="C561" s="11">
        <v>0.61523001225046536</v>
      </c>
      <c r="D561" s="11">
        <v>2.3165899852966862E-3</v>
      </c>
      <c r="E561" s="11">
        <v>1.1864734134154578E-2</v>
      </c>
      <c r="F561" s="11">
        <v>7098.7193552571434</v>
      </c>
      <c r="G561" s="11">
        <v>8324.4121155434041</v>
      </c>
      <c r="H561" s="35">
        <v>0.70987193552571437</v>
      </c>
      <c r="I561" s="35">
        <v>0.83244121155434037</v>
      </c>
      <c r="J561" s="11">
        <v>9.6986721181685567E-2</v>
      </c>
      <c r="K561" s="11">
        <v>-0.23824552890866169</v>
      </c>
      <c r="T561" s="47"/>
      <c r="U561" s="36"/>
    </row>
    <row r="562" spans="1:21" x14ac:dyDescent="0.3">
      <c r="A562" s="10">
        <f t="shared" si="11"/>
        <v>550</v>
      </c>
      <c r="B562" s="11">
        <v>-0.35529341243460416</v>
      </c>
      <c r="C562" s="11">
        <v>-0.4259238507922985</v>
      </c>
      <c r="D562" s="11">
        <v>-8.2733442104016078E-3</v>
      </c>
      <c r="E562" s="11">
        <v>-8.4670897094468543E-3</v>
      </c>
      <c r="F562" s="11">
        <v>7040.2314853335893</v>
      </c>
      <c r="G562" s="11">
        <v>8254.2261262283337</v>
      </c>
      <c r="H562" s="35">
        <v>0.7040231485333589</v>
      </c>
      <c r="I562" s="35">
        <v>0.82542261262283334</v>
      </c>
      <c r="J562" s="11">
        <v>6.2856517049104416E-2</v>
      </c>
      <c r="K562" s="11">
        <v>-0.27538197177394219</v>
      </c>
      <c r="T562" s="47"/>
      <c r="U562" s="36"/>
    </row>
    <row r="563" spans="1:21" x14ac:dyDescent="0.3">
      <c r="A563" s="10">
        <f t="shared" si="11"/>
        <v>551</v>
      </c>
      <c r="B563" s="11">
        <v>-0.20201542427618549</v>
      </c>
      <c r="C563" s="11">
        <v>-1.6944789843176897</v>
      </c>
      <c r="D563" s="11">
        <v>-4.7973261693089308E-3</v>
      </c>
      <c r="E563" s="11">
        <v>-3.323964295662736E-2</v>
      </c>
      <c r="F563" s="11">
        <v>7006.5380823322384</v>
      </c>
      <c r="G563" s="11">
        <v>7984.3684297513591</v>
      </c>
      <c r="H563" s="35">
        <v>0.70065380823322387</v>
      </c>
      <c r="I563" s="35">
        <v>0.79843684297513595</v>
      </c>
      <c r="J563" s="11">
        <v>4.3194957757229549E-2</v>
      </c>
      <c r="K563" s="11">
        <v>-0.41816766197752159</v>
      </c>
      <c r="T563" s="47"/>
      <c r="U563" s="36"/>
    </row>
    <row r="564" spans="1:21" x14ac:dyDescent="0.3">
      <c r="A564" s="10">
        <f t="shared" si="11"/>
        <v>552</v>
      </c>
      <c r="B564" s="11">
        <v>0.92734720044002494</v>
      </c>
      <c r="C564" s="11">
        <v>1.8678207422363151</v>
      </c>
      <c r="D564" s="11">
        <v>2.0814210787921873E-2</v>
      </c>
      <c r="E564" s="11">
        <v>3.6325531883847399E-2</v>
      </c>
      <c r="F564" s="11">
        <v>7153.9019540329582</v>
      </c>
      <c r="G564" s="11">
        <v>8279.7370929945064</v>
      </c>
      <c r="H564" s="35">
        <v>0.71539019540329585</v>
      </c>
      <c r="I564" s="35">
        <v>0.82797370929945069</v>
      </c>
      <c r="J564" s="11">
        <v>0.1291881565091568</v>
      </c>
      <c r="K564" s="11">
        <v>-0.26188374272573217</v>
      </c>
      <c r="T564" s="47"/>
      <c r="U564" s="36"/>
    </row>
    <row r="565" spans="1:21" x14ac:dyDescent="0.3">
      <c r="A565" s="10">
        <f t="shared" si="11"/>
        <v>553</v>
      </c>
      <c r="B565" s="11">
        <v>0.91576810227398142</v>
      </c>
      <c r="C565" s="11">
        <v>-0.27376489339576748</v>
      </c>
      <c r="D565" s="11">
        <v>2.055162152374683E-2</v>
      </c>
      <c r="E565" s="11">
        <v>-5.4957045685695011E-3</v>
      </c>
      <c r="F565" s="11">
        <v>7302.4474362932233</v>
      </c>
      <c r="G565" s="11">
        <v>8234.3589107798089</v>
      </c>
      <c r="H565" s="35">
        <v>0.73024474362932235</v>
      </c>
      <c r="I565" s="35">
        <v>0.82343589107798087</v>
      </c>
      <c r="J565" s="11">
        <v>0.21587087617636455</v>
      </c>
      <c r="K565" s="11">
        <v>-0.28589400870034826</v>
      </c>
      <c r="T565" s="47"/>
      <c r="U565" s="36"/>
    </row>
    <row r="566" spans="1:21" x14ac:dyDescent="0.3">
      <c r="A566" s="10">
        <f t="shared" si="11"/>
        <v>554</v>
      </c>
      <c r="B566" s="11">
        <v>0.2756445884343528</v>
      </c>
      <c r="C566" s="11">
        <v>0.56450597483770593</v>
      </c>
      <c r="D566" s="11">
        <v>6.0349847295942307E-3</v>
      </c>
      <c r="E566" s="11">
        <v>1.0874186790557858E-2</v>
      </c>
      <c r="F566" s="11">
        <v>7346.6508443451166</v>
      </c>
      <c r="G566" s="11">
        <v>8324.3894851583809</v>
      </c>
      <c r="H566" s="35">
        <v>0.73466508443451162</v>
      </c>
      <c r="I566" s="35">
        <v>0.83243894851583811</v>
      </c>
      <c r="J566" s="11">
        <v>0.24166547840993521</v>
      </c>
      <c r="K566" s="11">
        <v>-0.23825750297939335</v>
      </c>
      <c r="T566" s="47"/>
      <c r="U566" s="36"/>
    </row>
    <row r="567" spans="1:21" x14ac:dyDescent="0.3">
      <c r="A567" s="10">
        <f t="shared" si="11"/>
        <v>555</v>
      </c>
      <c r="B567" s="11">
        <v>0.11558070852419489</v>
      </c>
      <c r="C567" s="11">
        <v>0.18433476974065915</v>
      </c>
      <c r="D567" s="11">
        <v>2.4050771285109265E-3</v>
      </c>
      <c r="E567" s="11">
        <v>3.4501409825221387E-3</v>
      </c>
      <c r="F567" s="11">
        <v>7364.3413712754455</v>
      </c>
      <c r="G567" s="11">
        <v>8353.1594040752716</v>
      </c>
      <c r="H567" s="35">
        <v>0.73643413712754457</v>
      </c>
      <c r="I567" s="35">
        <v>0.83531594040752721</v>
      </c>
      <c r="J567" s="11">
        <v>0.2519886667246099</v>
      </c>
      <c r="K567" s="11">
        <v>-0.22303491424733637</v>
      </c>
      <c r="T567" s="47"/>
      <c r="U567" s="36"/>
    </row>
    <row r="568" spans="1:21" x14ac:dyDescent="0.3">
      <c r="A568" s="10">
        <f t="shared" si="11"/>
        <v>556</v>
      </c>
      <c r="B568" s="11">
        <v>-1.6224774324003597</v>
      </c>
      <c r="C568" s="11">
        <v>-0.45829024744840208</v>
      </c>
      <c r="D568" s="11">
        <v>-3.701037662912586E-2</v>
      </c>
      <c r="E568" s="11">
        <v>-9.0991460256389985E-3</v>
      </c>
      <c r="F568" s="11">
        <v>7096.7663911669642</v>
      </c>
      <c r="G568" s="11">
        <v>8277.4975380969208</v>
      </c>
      <c r="H568" s="35">
        <v>0.70967663911669643</v>
      </c>
      <c r="I568" s="35">
        <v>0.82774975380969207</v>
      </c>
      <c r="J568" s="11">
        <v>9.5847082088168611E-2</v>
      </c>
      <c r="K568" s="11">
        <v>-0.26306872427702854</v>
      </c>
      <c r="T568" s="47"/>
      <c r="U568" s="36"/>
    </row>
    <row r="569" spans="1:21" x14ac:dyDescent="0.3">
      <c r="A569" s="10">
        <f t="shared" si="11"/>
        <v>557</v>
      </c>
      <c r="B569" s="11">
        <v>0.63001723994020808</v>
      </c>
      <c r="C569" s="11">
        <v>0.26712994747627355</v>
      </c>
      <c r="D569" s="11">
        <v>1.4071401078111816E-2</v>
      </c>
      <c r="E569" s="11">
        <v>5.0669788280837237E-3</v>
      </c>
      <c r="F569" s="11">
        <v>7197.3337397714768</v>
      </c>
      <c r="G569" s="11">
        <v>8319.5458819426294</v>
      </c>
      <c r="H569" s="35">
        <v>0.71973337397714765</v>
      </c>
      <c r="I569" s="35">
        <v>0.83195458819426293</v>
      </c>
      <c r="J569" s="11">
        <v>0.15453248371812564</v>
      </c>
      <c r="K569" s="11">
        <v>-0.2408203249306004</v>
      </c>
      <c r="T569" s="47"/>
      <c r="U569" s="36"/>
    </row>
    <row r="570" spans="1:21" x14ac:dyDescent="0.3">
      <c r="A570" s="10">
        <f t="shared" si="11"/>
        <v>558</v>
      </c>
      <c r="B570" s="11">
        <v>5.3704190509982347E-2</v>
      </c>
      <c r="C570" s="11">
        <v>0.54880694953142484</v>
      </c>
      <c r="D570" s="11">
        <v>1.0018495971376587E-3</v>
      </c>
      <c r="E570" s="11">
        <v>1.0567613642847761E-2</v>
      </c>
      <c r="F570" s="11">
        <v>7204.5479988770066</v>
      </c>
      <c r="G570" s="11">
        <v>8407.9298095893446</v>
      </c>
      <c r="H570" s="35">
        <v>0.72045479988770067</v>
      </c>
      <c r="I570" s="35">
        <v>0.84079298095893451</v>
      </c>
      <c r="J570" s="11">
        <v>0.15874231622286367</v>
      </c>
      <c r="K570" s="11">
        <v>-0.19405508429935445</v>
      </c>
      <c r="T570" s="47"/>
      <c r="U570" s="36"/>
    </row>
    <row r="571" spans="1:21" x14ac:dyDescent="0.3">
      <c r="A571" s="10">
        <f t="shared" si="11"/>
        <v>559</v>
      </c>
      <c r="B571" s="11">
        <v>0.90435952762276062</v>
      </c>
      <c r="C571" s="11">
        <v>-0.10494432522444247</v>
      </c>
      <c r="D571" s="11">
        <v>2.0292899369396725E-2</v>
      </c>
      <c r="E571" s="11">
        <v>-2.1989487526665203E-3</v>
      </c>
      <c r="F571" s="11">
        <v>7352.2426746406481</v>
      </c>
      <c r="G571" s="11">
        <v>8389.4615156797299</v>
      </c>
      <c r="H571" s="35">
        <v>0.73522426746406477</v>
      </c>
      <c r="I571" s="35">
        <v>0.83894615156797303</v>
      </c>
      <c r="J571" s="11">
        <v>0.24492855346653569</v>
      </c>
      <c r="K571" s="11">
        <v>-0.2038269311919699</v>
      </c>
      <c r="T571" s="47"/>
      <c r="U571" s="36"/>
    </row>
    <row r="572" spans="1:21" x14ac:dyDescent="0.3">
      <c r="A572" s="10">
        <f t="shared" si="11"/>
        <v>560</v>
      </c>
      <c r="B572" s="11">
        <v>2.4643771225023565</v>
      </c>
      <c r="C572" s="11">
        <v>0.39464271770820525</v>
      </c>
      <c r="D572" s="11">
        <v>5.5670773057424031E-2</v>
      </c>
      <c r="E572" s="11">
        <v>7.5570691732210916E-3</v>
      </c>
      <c r="F572" s="11">
        <v>7773.1552695120072</v>
      </c>
      <c r="G572" s="11">
        <v>8453.1014193881711</v>
      </c>
      <c r="H572" s="35">
        <v>0.77731552695120076</v>
      </c>
      <c r="I572" s="35">
        <v>0.84531014193881715</v>
      </c>
      <c r="J572" s="11">
        <v>0.49054927454443764</v>
      </c>
      <c r="K572" s="11">
        <v>-0.17015411883890652</v>
      </c>
      <c r="T572" s="47"/>
      <c r="U572" s="36"/>
    </row>
    <row r="573" spans="1:21" x14ac:dyDescent="0.3">
      <c r="A573" s="10">
        <f t="shared" si="11"/>
        <v>561</v>
      </c>
      <c r="B573" s="11">
        <v>0.55785692685893062</v>
      </c>
      <c r="C573" s="11">
        <v>0.41372372910451927</v>
      </c>
      <c r="D573" s="11">
        <v>1.2434958995755063E-2</v>
      </c>
      <c r="E573" s="11">
        <v>7.9296863014271211E-3</v>
      </c>
      <c r="F573" s="11">
        <v>7870.4176098746166</v>
      </c>
      <c r="G573" s="11">
        <v>8520.3983309820396</v>
      </c>
      <c r="H573" s="35">
        <v>0.7870417609874617</v>
      </c>
      <c r="I573" s="35">
        <v>0.85203983309820397</v>
      </c>
      <c r="J573" s="11">
        <v>0.5473060607862219</v>
      </c>
      <c r="K573" s="11">
        <v>-0.13454632963760918</v>
      </c>
      <c r="T573" s="47"/>
      <c r="U573" s="36"/>
    </row>
    <row r="574" spans="1:21" x14ac:dyDescent="0.3">
      <c r="A574" s="10">
        <f t="shared" si="11"/>
        <v>562</v>
      </c>
      <c r="B574" s="11">
        <v>1.1919094510152133</v>
      </c>
      <c r="C574" s="11">
        <v>0.12683143532104577</v>
      </c>
      <c r="D574" s="11">
        <v>2.6813918684929047E-2</v>
      </c>
      <c r="E574" s="11">
        <v>2.3272064121960417E-3</v>
      </c>
      <c r="F574" s="11">
        <v>8084.3091678332066</v>
      </c>
      <c r="G574" s="11">
        <v>8540.2501472898657</v>
      </c>
      <c r="H574" s="35">
        <v>0.80843091678332069</v>
      </c>
      <c r="I574" s="35">
        <v>0.85402501472898662</v>
      </c>
      <c r="J574" s="11">
        <v>0.67212104455814026</v>
      </c>
      <c r="K574" s="11">
        <v>-0.12404244062383234</v>
      </c>
      <c r="T574" s="47"/>
      <c r="U574" s="36"/>
    </row>
    <row r="575" spans="1:21" x14ac:dyDescent="0.3">
      <c r="A575" s="10">
        <f t="shared" si="11"/>
        <v>563</v>
      </c>
      <c r="B575" s="11">
        <v>-0.56380013126236816</v>
      </c>
      <c r="C575" s="11">
        <v>1.545074276628728</v>
      </c>
      <c r="D575" s="11">
        <v>-1.3001832136438744E-2</v>
      </c>
      <c r="E575" s="11">
        <v>3.0022885831417677E-2</v>
      </c>
      <c r="F575" s="11">
        <v>7979.8787019272822</v>
      </c>
      <c r="G575" s="11">
        <v>8800.5408907625697</v>
      </c>
      <c r="H575" s="35">
        <v>0.79798787019272821</v>
      </c>
      <c r="I575" s="35">
        <v>0.88005408907625693</v>
      </c>
      <c r="J575" s="11">
        <v>0.61118134674236513</v>
      </c>
      <c r="K575" s="11">
        <v>1.3681233540576819E-2</v>
      </c>
      <c r="T575" s="47"/>
      <c r="U575" s="36"/>
    </row>
    <row r="576" spans="1:21" x14ac:dyDescent="0.3">
      <c r="A576" s="10">
        <f t="shared" si="11"/>
        <v>564</v>
      </c>
      <c r="B576" s="11">
        <v>-1.1528242014479566</v>
      </c>
      <c r="C576" s="11">
        <v>2.0572900223784218E-2</v>
      </c>
      <c r="D576" s="11">
        <v>-2.63596424730855E-2</v>
      </c>
      <c r="E576" s="11">
        <v>2.5217226578964653E-4</v>
      </c>
      <c r="F576" s="11">
        <v>7772.2800853737099</v>
      </c>
      <c r="G576" s="11">
        <v>8802.7604229396366</v>
      </c>
      <c r="H576" s="35">
        <v>0.77722800853737095</v>
      </c>
      <c r="I576" s="35">
        <v>0.88027604229396361</v>
      </c>
      <c r="J576" s="11">
        <v>0.4900385667116387</v>
      </c>
      <c r="K576" s="11">
        <v>1.4855620774919E-2</v>
      </c>
      <c r="T576" s="47"/>
      <c r="U576" s="36"/>
    </row>
    <row r="577" spans="1:21" x14ac:dyDescent="0.3">
      <c r="A577" s="10">
        <f t="shared" si="11"/>
        <v>565</v>
      </c>
      <c r="B577" s="11">
        <v>-1.5653305170531393</v>
      </c>
      <c r="C577" s="11">
        <v>-1.4246070216220867</v>
      </c>
      <c r="D577" s="11">
        <v>-3.5714406404526951E-2</v>
      </c>
      <c r="E577" s="11">
        <v>-2.7969538891683209E-2</v>
      </c>
      <c r="F577" s="11">
        <v>7499.5960733768252</v>
      </c>
      <c r="G577" s="11">
        <v>8559.9625729807849</v>
      </c>
      <c r="H577" s="35">
        <v>0.74995960733768252</v>
      </c>
      <c r="I577" s="35">
        <v>0.85599625729807849</v>
      </c>
      <c r="J577" s="11">
        <v>0.33091564079026109</v>
      </c>
      <c r="K577" s="11">
        <v>-0.11361230524281375</v>
      </c>
      <c r="T577" s="47"/>
      <c r="U577" s="36"/>
    </row>
    <row r="578" spans="1:21" x14ac:dyDescent="0.3">
      <c r="A578" s="10">
        <f t="shared" si="11"/>
        <v>566</v>
      </c>
      <c r="B578" s="11">
        <v>-1.5749759487528978E-2</v>
      </c>
      <c r="C578" s="11">
        <v>-0.86071543576548792</v>
      </c>
      <c r="D578" s="11">
        <v>-5.7321793941545612E-4</v>
      </c>
      <c r="E578" s="11">
        <v>-1.6957771277414161E-2</v>
      </c>
      <c r="F578" s="11">
        <v>7495.2984022379696</v>
      </c>
      <c r="G578" s="11">
        <v>8416.0285349676287</v>
      </c>
      <c r="H578" s="35">
        <v>0.74952984022379698</v>
      </c>
      <c r="I578" s="35">
        <v>0.84160285349676289</v>
      </c>
      <c r="J578" s="11">
        <v>0.32840776362777324</v>
      </c>
      <c r="K578" s="11">
        <v>-0.18976992916757848</v>
      </c>
      <c r="T578" s="47"/>
      <c r="U578" s="36"/>
    </row>
    <row r="579" spans="1:21" x14ac:dyDescent="0.3">
      <c r="A579" s="10">
        <f t="shared" si="11"/>
        <v>567</v>
      </c>
      <c r="B579" s="11">
        <v>-1.045492681115338</v>
      </c>
      <c r="C579" s="11">
        <v>-1.654501057274598</v>
      </c>
      <c r="D579" s="11">
        <v>-2.3925592381897662E-2</v>
      </c>
      <c r="E579" s="11">
        <v>-3.2458947423407117E-2</v>
      </c>
      <c r="F579" s="11">
        <v>7318.0972224017833</v>
      </c>
      <c r="G579" s="11">
        <v>8147.2390185581371</v>
      </c>
      <c r="H579" s="35">
        <v>0.73180972224017837</v>
      </c>
      <c r="I579" s="35">
        <v>0.81472390185581367</v>
      </c>
      <c r="J579" s="11">
        <v>0.22500320387464648</v>
      </c>
      <c r="K579" s="11">
        <v>-0.33199042953151858</v>
      </c>
      <c r="T579" s="47"/>
      <c r="U579" s="36"/>
    </row>
    <row r="580" spans="1:21" x14ac:dyDescent="0.3">
      <c r="A580" s="10">
        <f t="shared" si="11"/>
        <v>568</v>
      </c>
      <c r="B580" s="11">
        <v>-0.87406638086990096</v>
      </c>
      <c r="C580" s="11">
        <v>0.25450299802933551</v>
      </c>
      <c r="D580" s="11">
        <v>-2.003800930796637E-2</v>
      </c>
      <c r="E580" s="11">
        <v>4.8203976829233755E-3</v>
      </c>
      <c r="F580" s="11">
        <v>7172.916545752626</v>
      </c>
      <c r="G580" s="11">
        <v>8186.6067584968041</v>
      </c>
      <c r="H580" s="35">
        <v>0.71729165457526256</v>
      </c>
      <c r="I580" s="35">
        <v>0.81866067584968039</v>
      </c>
      <c r="J580" s="11">
        <v>0.14028399394926497</v>
      </c>
      <c r="K580" s="11">
        <v>-0.31116037727700668</v>
      </c>
      <c r="T580" s="47"/>
      <c r="U580" s="36"/>
    </row>
    <row r="581" spans="1:21" x14ac:dyDescent="0.3">
      <c r="A581" s="10">
        <f t="shared" si="11"/>
        <v>569</v>
      </c>
      <c r="B581" s="11">
        <v>-5.2689180329276913E-2</v>
      </c>
      <c r="C581" s="11">
        <v>-0.3656434144779781</v>
      </c>
      <c r="D581" s="11">
        <v>-1.4109252633184954E-3</v>
      </c>
      <c r="E581" s="11">
        <v>-7.2899234366575879E-3</v>
      </c>
      <c r="F581" s="11">
        <v>7162.8032328286217</v>
      </c>
      <c r="G581" s="11">
        <v>8127.14402474489</v>
      </c>
      <c r="H581" s="35">
        <v>0.71628032328286217</v>
      </c>
      <c r="I581" s="35">
        <v>0.81271440247448901</v>
      </c>
      <c r="J581" s="11">
        <v>0.13438243803683242</v>
      </c>
      <c r="K581" s="11">
        <v>-0.34262298735262176</v>
      </c>
      <c r="T581" s="47"/>
      <c r="U581" s="36"/>
    </row>
    <row r="582" spans="1:21" x14ac:dyDescent="0.3">
      <c r="A582" s="10">
        <f t="shared" si="11"/>
        <v>570</v>
      </c>
      <c r="B582" s="11">
        <v>0.43288862122778443</v>
      </c>
      <c r="C582" s="11">
        <v>-0.37981606989990968</v>
      </c>
      <c r="D582" s="11">
        <v>9.6009442089111316E-3</v>
      </c>
      <c r="E582" s="11">
        <v>-7.5666893822716611E-3</v>
      </c>
      <c r="F582" s="11">
        <v>7231.9040929998746</v>
      </c>
      <c r="G582" s="11">
        <v>8065.8805235886402</v>
      </c>
      <c r="H582" s="35">
        <v>0.72319040929998746</v>
      </c>
      <c r="I582" s="35">
        <v>0.80658805235886399</v>
      </c>
      <c r="J582" s="11">
        <v>0.17470578143204168</v>
      </c>
      <c r="K582" s="11">
        <v>-0.37503841004051713</v>
      </c>
      <c r="T582" s="47"/>
      <c r="U582" s="36"/>
    </row>
    <row r="583" spans="1:21" x14ac:dyDescent="0.3">
      <c r="A583" s="10">
        <f t="shared" si="11"/>
        <v>571</v>
      </c>
      <c r="B583" s="11">
        <v>-0.71946250268450185</v>
      </c>
      <c r="C583" s="11">
        <v>0.62740482378153528</v>
      </c>
      <c r="D583" s="11">
        <v>-1.6531922907354744E-2</v>
      </c>
      <c r="E583" s="11">
        <v>1.2102485855744832E-2</v>
      </c>
      <c r="F583" s="11">
        <v>7113.3296444471289</v>
      </c>
      <c r="G583" s="11">
        <v>8164.0908241894786</v>
      </c>
      <c r="H583" s="35">
        <v>0.71133296444471283</v>
      </c>
      <c r="I583" s="35">
        <v>0.81640908241894783</v>
      </c>
      <c r="J583" s="11">
        <v>0.10551245742651726</v>
      </c>
      <c r="K583" s="11">
        <v>-0.32307389044569351</v>
      </c>
      <c r="T583" s="47"/>
      <c r="U583" s="36"/>
    </row>
    <row r="584" spans="1:21" x14ac:dyDescent="0.3">
      <c r="A584" s="10">
        <f t="shared" si="11"/>
        <v>572</v>
      </c>
      <c r="B584" s="11">
        <v>0.53316599123529484</v>
      </c>
      <c r="C584" s="11">
        <v>0.78469639937463309</v>
      </c>
      <c r="D584" s="11">
        <v>1.1875021207489529E-2</v>
      </c>
      <c r="E584" s="11">
        <v>1.5174101608766371E-2</v>
      </c>
      <c r="F584" s="11">
        <v>7198.3041231370844</v>
      </c>
      <c r="G584" s="11">
        <v>8288.9182447284475</v>
      </c>
      <c r="H584" s="35">
        <v>0.71983041231370848</v>
      </c>
      <c r="I584" s="35">
        <v>0.82889182447284471</v>
      </c>
      <c r="J584" s="11">
        <v>0.15509874442138494</v>
      </c>
      <c r="K584" s="11">
        <v>-0.25702585983297421</v>
      </c>
      <c r="T584" s="47"/>
      <c r="U584" s="36"/>
    </row>
    <row r="585" spans="1:21" x14ac:dyDescent="0.3">
      <c r="A585" s="10">
        <f t="shared" si="11"/>
        <v>573</v>
      </c>
      <c r="B585" s="11">
        <v>0.16245268196439414</v>
      </c>
      <c r="C585" s="11">
        <v>-1.0781322472563006</v>
      </c>
      <c r="D585" s="11">
        <v>3.4680335729245708E-3</v>
      </c>
      <c r="E585" s="11">
        <v>-2.1203522523968524E-2</v>
      </c>
      <c r="F585" s="11">
        <v>7223.3114215153228</v>
      </c>
      <c r="G585" s="11">
        <v>8115.0141847558716</v>
      </c>
      <c r="H585" s="35">
        <v>0.72233114215153227</v>
      </c>
      <c r="I585" s="35">
        <v>0.81150141847558721</v>
      </c>
      <c r="J585" s="11">
        <v>0.16969158563049724</v>
      </c>
      <c r="K585" s="11">
        <v>-0.34904106472266538</v>
      </c>
      <c r="T585" s="47"/>
      <c r="U585" s="36"/>
    </row>
    <row r="586" spans="1:21" x14ac:dyDescent="0.3">
      <c r="A586" s="10">
        <f t="shared" si="11"/>
        <v>574</v>
      </c>
      <c r="B586" s="11">
        <v>0.62838297239512952</v>
      </c>
      <c r="C586" s="11">
        <v>-9.8632730149540104E-2</v>
      </c>
      <c r="D586" s="11">
        <v>1.4034339373825915E-2</v>
      </c>
      <c r="E586" s="11">
        <v>-2.0756948861726434E-3</v>
      </c>
      <c r="F586" s="11">
        <v>7325.4005263396184</v>
      </c>
      <c r="G586" s="11">
        <v>8098.1873610288785</v>
      </c>
      <c r="H586" s="35">
        <v>0.73254005263396182</v>
      </c>
      <c r="I586" s="35">
        <v>0.8098187361028879</v>
      </c>
      <c r="J586" s="11">
        <v>0.22926499789392593</v>
      </c>
      <c r="K586" s="11">
        <v>-0.35794438551417623</v>
      </c>
      <c r="T586" s="47"/>
      <c r="U586" s="36"/>
    </row>
    <row r="587" spans="1:21" x14ac:dyDescent="0.3">
      <c r="A587" s="10">
        <f t="shared" si="11"/>
        <v>575</v>
      </c>
      <c r="B587" s="11">
        <v>6.4298565940113711E-2</v>
      </c>
      <c r="C587" s="11">
        <v>0.30729623080684071</v>
      </c>
      <c r="D587" s="11">
        <v>1.2421074487163491E-3</v>
      </c>
      <c r="E587" s="11">
        <v>5.851352613858875E-3</v>
      </c>
      <c r="F587" s="11">
        <v>7334.5051141658241</v>
      </c>
      <c r="G587" s="11">
        <v>8145.711615801707</v>
      </c>
      <c r="H587" s="35">
        <v>0.73345051141658246</v>
      </c>
      <c r="I587" s="35">
        <v>0.81457116158017073</v>
      </c>
      <c r="J587" s="11">
        <v>0.2345779190424917</v>
      </c>
      <c r="K587" s="11">
        <v>-0.33279860087383317</v>
      </c>
      <c r="T587" s="47"/>
      <c r="U587" s="36"/>
    </row>
    <row r="588" spans="1:21" x14ac:dyDescent="0.3">
      <c r="A588" s="10">
        <f t="shared" si="11"/>
        <v>576</v>
      </c>
      <c r="B588" s="11">
        <v>-0.16018162485227272</v>
      </c>
      <c r="C588" s="11">
        <v>-1.1372337538748667</v>
      </c>
      <c r="D588" s="11">
        <v>-3.8486247721149572E-3</v>
      </c>
      <c r="E588" s="11">
        <v>-2.2357666463797301E-2</v>
      </c>
      <c r="F588" s="11">
        <v>7306.3316054992147</v>
      </c>
      <c r="G588" s="11">
        <v>7965.6133033965489</v>
      </c>
      <c r="H588" s="35">
        <v>0.73063316054992145</v>
      </c>
      <c r="I588" s="35">
        <v>0.79656133033965493</v>
      </c>
      <c r="J588" s="11">
        <v>0.21813745705987497</v>
      </c>
      <c r="K588" s="11">
        <v>-0.42809127615042852</v>
      </c>
      <c r="T588" s="47"/>
      <c r="U588" s="36"/>
    </row>
    <row r="589" spans="1:21" x14ac:dyDescent="0.3">
      <c r="A589" s="10">
        <f t="shared" si="11"/>
        <v>577</v>
      </c>
      <c r="B589" s="11">
        <v>-0.52938427941696986</v>
      </c>
      <c r="C589" s="11">
        <v>2.0751348642953036</v>
      </c>
      <c r="D589" s="11">
        <v>-1.2221353978084168E-2</v>
      </c>
      <c r="E589" s="11">
        <v>4.037399614990287E-2</v>
      </c>
      <c r="F589" s="11">
        <v>7217.581766911534</v>
      </c>
      <c r="G589" s="11">
        <v>8293.797417560234</v>
      </c>
      <c r="H589" s="35">
        <v>0.72175817669115339</v>
      </c>
      <c r="I589" s="35">
        <v>0.82937974175602336</v>
      </c>
      <c r="J589" s="11">
        <v>0.16634808412339688</v>
      </c>
      <c r="K589" s="11">
        <v>-0.25444421747292895</v>
      </c>
      <c r="T589" s="47"/>
      <c r="U589" s="36"/>
    </row>
    <row r="590" spans="1:21" x14ac:dyDescent="0.3">
      <c r="A590" s="10">
        <f t="shared" si="11"/>
        <v>578</v>
      </c>
      <c r="B590" s="11">
        <v>0.1077987127260755</v>
      </c>
      <c r="C590" s="11">
        <v>-9.9202479241762676E-2</v>
      </c>
      <c r="D590" s="11">
        <v>2.2285980520631537E-3</v>
      </c>
      <c r="E590" s="11">
        <v>-2.0868210401344283E-3</v>
      </c>
      <c r="F590" s="11">
        <v>7233.6847924987678</v>
      </c>
      <c r="G590" s="11">
        <v>8276.5077930571879</v>
      </c>
      <c r="H590" s="35">
        <v>0.72336847924987679</v>
      </c>
      <c r="I590" s="35">
        <v>0.82765077930571884</v>
      </c>
      <c r="J590" s="11">
        <v>0.17574489667893728</v>
      </c>
      <c r="K590" s="11">
        <v>-0.26359241298581398</v>
      </c>
      <c r="T590" s="47"/>
      <c r="U590" s="36"/>
    </row>
    <row r="591" spans="1:21" x14ac:dyDescent="0.3">
      <c r="A591" s="10">
        <f t="shared" si="11"/>
        <v>579</v>
      </c>
      <c r="B591" s="11">
        <v>0.3391126806361543</v>
      </c>
      <c r="C591" s="11">
        <v>-0.51049846929759557</v>
      </c>
      <c r="D591" s="11">
        <v>7.474305770911527E-3</v>
      </c>
      <c r="E591" s="11">
        <v>-1.0118676766967925E-2</v>
      </c>
      <c r="F591" s="11">
        <v>7287.954124632236</v>
      </c>
      <c r="G591" s="11">
        <v>8193.1827663986769</v>
      </c>
      <c r="H591" s="35">
        <v>0.72879541246322355</v>
      </c>
      <c r="I591" s="35">
        <v>0.81931827663986767</v>
      </c>
      <c r="J591" s="11">
        <v>0.20741340138384515</v>
      </c>
      <c r="K591" s="11">
        <v>-0.30768091443673445</v>
      </c>
      <c r="T591" s="47"/>
      <c r="U591" s="36"/>
    </row>
    <row r="592" spans="1:21" x14ac:dyDescent="0.3">
      <c r="A592" s="10">
        <f t="shared" si="11"/>
        <v>580</v>
      </c>
      <c r="B592" s="11">
        <v>1.4949019695846777</v>
      </c>
      <c r="C592" s="11">
        <v>0.38377774303053647</v>
      </c>
      <c r="D592" s="11">
        <v>3.3685143141339809E-2</v>
      </c>
      <c r="E592" s="11">
        <v>7.3448961610920677E-3</v>
      </c>
      <c r="F592" s="11">
        <v>7537.631503248188</v>
      </c>
      <c r="G592" s="11">
        <v>8253.5823859799275</v>
      </c>
      <c r="H592" s="35">
        <v>0.75376315032481878</v>
      </c>
      <c r="I592" s="35">
        <v>0.82535823859799273</v>
      </c>
      <c r="J592" s="11">
        <v>0.35311096073398324</v>
      </c>
      <c r="K592" s="11">
        <v>-0.2757225842407367</v>
      </c>
      <c r="T592" s="47"/>
      <c r="U592" s="36"/>
    </row>
    <row r="593" spans="1:21" x14ac:dyDescent="0.3">
      <c r="A593" s="10">
        <f t="shared" si="11"/>
        <v>581</v>
      </c>
      <c r="B593" s="11">
        <v>0.13516014069319929</v>
      </c>
      <c r="C593" s="11">
        <v>0.78942675710434296</v>
      </c>
      <c r="D593" s="11">
        <v>2.849096914205586E-3</v>
      </c>
      <c r="E593" s="11">
        <v>1.5266476812366543E-2</v>
      </c>
      <c r="F593" s="11">
        <v>7559.1375677878787</v>
      </c>
      <c r="G593" s="11">
        <v>8380.5522352112894</v>
      </c>
      <c r="H593" s="35">
        <v>0.75591375677878792</v>
      </c>
      <c r="I593" s="35">
        <v>0.83805522352112893</v>
      </c>
      <c r="J593" s="11">
        <v>0.36566068042436484</v>
      </c>
      <c r="K593" s="11">
        <v>-0.20854096298543442</v>
      </c>
      <c r="T593" s="47"/>
      <c r="U593" s="36"/>
    </row>
    <row r="594" spans="1:21" x14ac:dyDescent="0.3">
      <c r="A594" s="10">
        <f t="shared" si="11"/>
        <v>582</v>
      </c>
      <c r="B594" s="11">
        <v>1.6712632107532268</v>
      </c>
      <c r="C594" s="11">
        <v>-0.32275525518471837</v>
      </c>
      <c r="D594" s="11">
        <v>3.7684640155991239E-2</v>
      </c>
      <c r="E594" s="11">
        <v>-6.4523964095009314E-3</v>
      </c>
      <c r="F594" s="11">
        <v>7849.4364978555004</v>
      </c>
      <c r="G594" s="11">
        <v>8326.6516709680436</v>
      </c>
      <c r="H594" s="35">
        <v>0.78494364978555009</v>
      </c>
      <c r="I594" s="35">
        <v>0.83266516709680438</v>
      </c>
      <c r="J594" s="11">
        <v>0.5350626736176185</v>
      </c>
      <c r="K594" s="11">
        <v>-0.23706054707849322</v>
      </c>
      <c r="T594" s="47"/>
      <c r="U594" s="36"/>
    </row>
    <row r="595" spans="1:21" x14ac:dyDescent="0.3">
      <c r="A595" s="10">
        <f t="shared" si="11"/>
        <v>583</v>
      </c>
      <c r="B595" s="11">
        <v>-0.48570793308572929</v>
      </c>
      <c r="C595" s="11">
        <v>-2.369186832862499</v>
      </c>
      <c r="D595" s="11">
        <v>-1.1230867544640817E-2</v>
      </c>
      <c r="E595" s="11">
        <v>-4.6415448771166157E-2</v>
      </c>
      <c r="F595" s="11">
        <v>7761.7737022953061</v>
      </c>
      <c r="G595" s="11">
        <v>7948.9986625091951</v>
      </c>
      <c r="H595" s="35">
        <v>0.77617737022953059</v>
      </c>
      <c r="I595" s="35">
        <v>0.79489986625091946</v>
      </c>
      <c r="J595" s="11">
        <v>0.48390763734748676</v>
      </c>
      <c r="K595" s="11">
        <v>-0.43688232786974768</v>
      </c>
      <c r="T595" s="47"/>
      <c r="U595" s="36"/>
    </row>
    <row r="596" spans="1:21" x14ac:dyDescent="0.3">
      <c r="A596" s="10">
        <f t="shared" si="11"/>
        <v>584</v>
      </c>
      <c r="B596" s="11">
        <v>3.0005455522317375</v>
      </c>
      <c r="C596" s="11">
        <v>-0.41235945050185202</v>
      </c>
      <c r="D596" s="11">
        <v>6.7829930136635047E-2</v>
      </c>
      <c r="E596" s="11">
        <v>-8.2022018700611734E-3</v>
      </c>
      <c r="F596" s="11">
        <v>8306.5204942595501</v>
      </c>
      <c r="G596" s="11">
        <v>7884.0660301280195</v>
      </c>
      <c r="H596" s="35">
        <v>0.83065204942595505</v>
      </c>
      <c r="I596" s="35">
        <v>0.78840660301280197</v>
      </c>
      <c r="J596" s="11">
        <v>0.80179097340689898</v>
      </c>
      <c r="K596" s="11">
        <v>-0.47123914204374157</v>
      </c>
      <c r="T596" s="47"/>
      <c r="U596" s="36"/>
    </row>
    <row r="597" spans="1:21" x14ac:dyDescent="0.3">
      <c r="A597" s="10">
        <f t="shared" si="11"/>
        <v>585</v>
      </c>
      <c r="B597" s="11">
        <v>0.24081105390175009</v>
      </c>
      <c r="C597" s="11">
        <v>-0.68303317305478062</v>
      </c>
      <c r="D597" s="11">
        <v>5.2450344182343967E-3</v>
      </c>
      <c r="E597" s="11">
        <v>-1.3487962833339617E-2</v>
      </c>
      <c r="F597" s="11">
        <v>8350.2029379647029</v>
      </c>
      <c r="G597" s="11">
        <v>7778.4399819752061</v>
      </c>
      <c r="H597" s="35">
        <v>0.83502029379647025</v>
      </c>
      <c r="I597" s="35">
        <v>0.77784399819752059</v>
      </c>
      <c r="J597" s="11">
        <v>0.82728157039077788</v>
      </c>
      <c r="K597" s="11">
        <v>-0.52712744312194637</v>
      </c>
      <c r="T597" s="47"/>
      <c r="U597" s="36"/>
    </row>
    <row r="598" spans="1:21" x14ac:dyDescent="0.3">
      <c r="A598" s="10">
        <f t="shared" si="11"/>
        <v>586</v>
      </c>
      <c r="B598" s="11">
        <v>-0.40757364472699603</v>
      </c>
      <c r="C598" s="11">
        <v>-0.37371774141494585</v>
      </c>
      <c r="D598" s="11">
        <v>-9.4589484372332409E-3</v>
      </c>
      <c r="E598" s="11">
        <v>-7.447600220815408E-3</v>
      </c>
      <c r="F598" s="11">
        <v>8271.5911773556254</v>
      </c>
      <c r="G598" s="11">
        <v>7720.724458494682</v>
      </c>
      <c r="H598" s="35">
        <v>0.8271591177355625</v>
      </c>
      <c r="I598" s="35">
        <v>0.77207244584946821</v>
      </c>
      <c r="J598" s="11">
        <v>0.78140820484820905</v>
      </c>
      <c r="K598" s="11">
        <v>-0.55766557845480569</v>
      </c>
      <c r="T598" s="47"/>
      <c r="U598" s="36"/>
    </row>
    <row r="599" spans="1:21" x14ac:dyDescent="0.3">
      <c r="A599" s="10">
        <f t="shared" si="11"/>
        <v>587</v>
      </c>
      <c r="B599" s="11">
        <v>1.8139211251412215</v>
      </c>
      <c r="C599" s="11">
        <v>-1.2098598663687194</v>
      </c>
      <c r="D599" s="11">
        <v>4.0919817561926475E-2</v>
      </c>
      <c r="E599" s="11">
        <v>-2.3775921131128776E-2</v>
      </c>
      <c r="F599" s="11">
        <v>8617.0837178564707</v>
      </c>
      <c r="G599" s="11">
        <v>7539.3221713253415</v>
      </c>
      <c r="H599" s="35">
        <v>0.86170837178564708</v>
      </c>
      <c r="I599" s="35">
        <v>0.75393221713253411</v>
      </c>
      <c r="J599" s="11">
        <v>0.98301805914774398</v>
      </c>
      <c r="K599" s="11">
        <v>-0.65364820602530471</v>
      </c>
      <c r="T599" s="47"/>
      <c r="U599" s="36"/>
    </row>
    <row r="600" spans="1:21" x14ac:dyDescent="0.3">
      <c r="A600" s="10">
        <f t="shared" si="11"/>
        <v>588</v>
      </c>
      <c r="B600" s="11">
        <v>-0.81515951645817541</v>
      </c>
      <c r="C600" s="11">
        <v>0.92192135340762471</v>
      </c>
      <c r="D600" s="11">
        <v>-1.8702127190126139E-2</v>
      </c>
      <c r="E600" s="11">
        <v>1.7853853076230785E-2</v>
      </c>
      <c r="F600" s="11">
        <v>8457.4235680330039</v>
      </c>
      <c r="G600" s="11">
        <v>7675.1369222971471</v>
      </c>
      <c r="H600" s="35">
        <v>0.84574235680330034</v>
      </c>
      <c r="I600" s="35">
        <v>0.76751369222971466</v>
      </c>
      <c r="J600" s="11">
        <v>0.88984944978590941</v>
      </c>
      <c r="K600" s="11">
        <v>-0.58178661671172671</v>
      </c>
      <c r="T600" s="47"/>
      <c r="U600" s="36"/>
    </row>
    <row r="601" spans="1:21" x14ac:dyDescent="0.3">
      <c r="A601" s="10">
        <f t="shared" si="11"/>
        <v>589</v>
      </c>
      <c r="B601" s="11">
        <v>0.19481256019983212</v>
      </c>
      <c r="C601" s="11">
        <v>-0.26209366401539713</v>
      </c>
      <c r="D601" s="11">
        <v>4.2018866323585754E-3</v>
      </c>
      <c r="E601" s="11">
        <v>-5.2677868820265577E-3</v>
      </c>
      <c r="F601" s="11">
        <v>8493.0354692570472</v>
      </c>
      <c r="G601" s="11">
        <v>7634.8122408634181</v>
      </c>
      <c r="H601" s="35">
        <v>0.84930354692570476</v>
      </c>
      <c r="I601" s="35">
        <v>0.76348122408634178</v>
      </c>
      <c r="J601" s="11">
        <v>0.91063053584554099</v>
      </c>
      <c r="K601" s="11">
        <v>-0.60312300083537074</v>
      </c>
      <c r="T601" s="47"/>
      <c r="U601" s="36"/>
    </row>
    <row r="602" spans="1:21" x14ac:dyDescent="0.3">
      <c r="A602" s="10">
        <f t="shared" si="11"/>
        <v>590</v>
      </c>
      <c r="B602" s="11">
        <v>-1.2625618168150656</v>
      </c>
      <c r="C602" s="11">
        <v>1.5096954979824162</v>
      </c>
      <c r="D602" s="11">
        <v>-2.884825767077662E-2</v>
      </c>
      <c r="E602" s="11">
        <v>2.9332003224368238E-2</v>
      </c>
      <c r="F602" s="11">
        <v>8251.5264989918342</v>
      </c>
      <c r="G602" s="11">
        <v>7862.0732953738216</v>
      </c>
      <c r="H602" s="35">
        <v>0.82515264989918347</v>
      </c>
      <c r="I602" s="35">
        <v>0.78620732953738215</v>
      </c>
      <c r="J602" s="11">
        <v>0.76969959639134689</v>
      </c>
      <c r="K602" s="11">
        <v>-0.48287582260664091</v>
      </c>
      <c r="T602" s="47"/>
      <c r="U602" s="36"/>
    </row>
    <row r="603" spans="1:21" x14ac:dyDescent="0.3">
      <c r="A603" s="10">
        <f t="shared" si="11"/>
        <v>591</v>
      </c>
      <c r="B603" s="11">
        <v>-1.1501597465894131</v>
      </c>
      <c r="C603" s="11">
        <v>-0.38550156435607358</v>
      </c>
      <c r="D603" s="11">
        <v>-2.6299218316497525E-2</v>
      </c>
      <c r="E603" s="11">
        <v>-7.6777166529275725E-3</v>
      </c>
      <c r="F603" s="11">
        <v>8037.3465296723225</v>
      </c>
      <c r="G603" s="11">
        <v>7801.9416565328629</v>
      </c>
      <c r="H603" s="35">
        <v>0.80373465296723223</v>
      </c>
      <c r="I603" s="35">
        <v>0.78019416565328625</v>
      </c>
      <c r="J603" s="11">
        <v>0.64471631210454783</v>
      </c>
      <c r="K603" s="11">
        <v>-0.51469236023765574</v>
      </c>
      <c r="T603" s="47"/>
      <c r="U603" s="36"/>
    </row>
    <row r="604" spans="1:21" x14ac:dyDescent="0.3">
      <c r="A604" s="10">
        <f t="shared" si="11"/>
        <v>592</v>
      </c>
      <c r="B604" s="11">
        <v>-0.26002343034338238</v>
      </c>
      <c r="C604" s="11">
        <v>-0.28548039325109514</v>
      </c>
      <c r="D604" s="11">
        <v>-6.1128240959191782E-3</v>
      </c>
      <c r="E604" s="11">
        <v>-5.7244867762271954E-3</v>
      </c>
      <c r="F604" s="11">
        <v>7988.3655028601424</v>
      </c>
      <c r="G604" s="11">
        <v>7757.4071349464557</v>
      </c>
      <c r="H604" s="35">
        <v>0.79883655028601419</v>
      </c>
      <c r="I604" s="35">
        <v>0.77574071349464557</v>
      </c>
      <c r="J604" s="11">
        <v>0.61613376249369423</v>
      </c>
      <c r="K604" s="11">
        <v>-0.53825623292173141</v>
      </c>
      <c r="T604" s="47"/>
      <c r="U604" s="36"/>
    </row>
    <row r="605" spans="1:21" x14ac:dyDescent="0.3">
      <c r="A605" s="10">
        <f t="shared" ref="A605:A668" si="12">A604+1</f>
        <v>593</v>
      </c>
      <c r="B605" s="11">
        <v>-1.6910844737314583</v>
      </c>
      <c r="C605" s="11">
        <v>-1.4680325255059257</v>
      </c>
      <c r="D605" s="11">
        <v>-3.8566238082411719E-2</v>
      </c>
      <c r="E605" s="11">
        <v>-2.8817559272365002E-2</v>
      </c>
      <c r="F605" s="11">
        <v>7686.1494232411396</v>
      </c>
      <c r="G605" s="11">
        <v>7537.0479515439429</v>
      </c>
      <c r="H605" s="35">
        <v>0.76861494232411398</v>
      </c>
      <c r="I605" s="35">
        <v>0.75370479515439426</v>
      </c>
      <c r="J605" s="11">
        <v>0.43977759662499954</v>
      </c>
      <c r="K605" s="11">
        <v>-0.65485152927826717</v>
      </c>
      <c r="T605" s="47"/>
      <c r="U605" s="36"/>
    </row>
    <row r="606" spans="1:21" x14ac:dyDescent="0.3">
      <c r="A606" s="10">
        <f t="shared" si="12"/>
        <v>594</v>
      </c>
      <c r="B606" s="11">
        <v>-1.0533228383862903</v>
      </c>
      <c r="C606" s="11">
        <v>0.83664502504860161</v>
      </c>
      <c r="D606" s="11">
        <v>-2.4103163657887349E-2</v>
      </c>
      <c r="E606" s="11">
        <v>1.6188562913297819E-2</v>
      </c>
      <c r="F606" s="11">
        <v>7503.1037574170323</v>
      </c>
      <c r="G606" s="11">
        <v>7660.0548929398901</v>
      </c>
      <c r="H606" s="35">
        <v>0.75031037574170323</v>
      </c>
      <c r="I606" s="35">
        <v>0.76600548929398904</v>
      </c>
      <c r="J606" s="11">
        <v>0.33296252628089945</v>
      </c>
      <c r="K606" s="11">
        <v>-0.58976674104970472</v>
      </c>
      <c r="T606" s="47"/>
      <c r="U606" s="36"/>
    </row>
    <row r="607" spans="1:21" x14ac:dyDescent="0.3">
      <c r="A607" s="10">
        <f t="shared" si="12"/>
        <v>595</v>
      </c>
      <c r="B607" s="11">
        <v>1.902723963397615</v>
      </c>
      <c r="C607" s="11">
        <v>1.5287946562731245</v>
      </c>
      <c r="D607" s="11">
        <v>4.2933676639724555E-2</v>
      </c>
      <c r="E607" s="11">
        <v>2.9704974728112052E-2</v>
      </c>
      <c r="F607" s="11">
        <v>7832.2548626760363</v>
      </c>
      <c r="G607" s="11">
        <v>7891.0099039701663</v>
      </c>
      <c r="H607" s="35">
        <v>0.78322548626760358</v>
      </c>
      <c r="I607" s="35">
        <v>0.78910099039701664</v>
      </c>
      <c r="J607" s="11">
        <v>0.52503644567030028</v>
      </c>
      <c r="K607" s="11">
        <v>-0.46756503590490806</v>
      </c>
      <c r="T607" s="47"/>
      <c r="U607" s="36"/>
    </row>
    <row r="608" spans="1:21" x14ac:dyDescent="0.3">
      <c r="A608" s="10">
        <f t="shared" si="12"/>
        <v>596</v>
      </c>
      <c r="B608" s="11">
        <v>-0.94451424459080013</v>
      </c>
      <c r="C608" s="11">
        <v>0.1222309133210978</v>
      </c>
      <c r="D608" s="11">
        <v>-2.1635616689120101E-2</v>
      </c>
      <c r="E608" s="11">
        <v>2.237366662076694E-3</v>
      </c>
      <c r="F608" s="11">
        <v>7664.6191883878228</v>
      </c>
      <c r="G608" s="11">
        <v>7908.684751643822</v>
      </c>
      <c r="H608" s="35">
        <v>0.76646191883878223</v>
      </c>
      <c r="I608" s="35">
        <v>0.79086847516438219</v>
      </c>
      <c r="J608" s="11">
        <v>0.427213772510246</v>
      </c>
      <c r="K608" s="11">
        <v>-0.45821301312670509</v>
      </c>
      <c r="T608" s="47"/>
      <c r="U608" s="36"/>
    </row>
    <row r="609" spans="1:21" x14ac:dyDescent="0.3">
      <c r="A609" s="10">
        <f t="shared" si="12"/>
        <v>597</v>
      </c>
      <c r="B609" s="11">
        <v>-0.16181717430572934</v>
      </c>
      <c r="C609" s="11">
        <v>0.11479589106919073</v>
      </c>
      <c r="D609" s="11">
        <v>-3.8857155473503331E-3</v>
      </c>
      <c r="E609" s="11">
        <v>2.0921743249352411E-3</v>
      </c>
      <c r="F609" s="11">
        <v>7634.894446788885</v>
      </c>
      <c r="G609" s="11">
        <v>7925.2484198239999</v>
      </c>
      <c r="H609" s="35">
        <v>0.76348944467888846</v>
      </c>
      <c r="I609" s="35">
        <v>0.79252484198240003</v>
      </c>
      <c r="J609" s="11">
        <v>0.40986809895629411</v>
      </c>
      <c r="K609" s="11">
        <v>-0.44944893181909051</v>
      </c>
      <c r="T609" s="47"/>
      <c r="U609" s="36"/>
    </row>
    <row r="610" spans="1:21" x14ac:dyDescent="0.3">
      <c r="A610" s="10">
        <f t="shared" si="12"/>
        <v>598</v>
      </c>
      <c r="B610" s="11">
        <v>-0.26818281493829715</v>
      </c>
      <c r="C610" s="11">
        <v>0.58453161869378412</v>
      </c>
      <c r="D610" s="11">
        <v>-6.2978615458289724E-3</v>
      </c>
      <c r="E610" s="11">
        <v>1.1265250856772401E-2</v>
      </c>
      <c r="F610" s="11">
        <v>7586.9620329277632</v>
      </c>
      <c r="G610" s="11">
        <v>8015.0331053633927</v>
      </c>
      <c r="H610" s="35">
        <v>0.75869620329277632</v>
      </c>
      <c r="I610" s="35">
        <v>0.80150331053633928</v>
      </c>
      <c r="J610" s="11">
        <v>0.38189746039849248</v>
      </c>
      <c r="K610" s="11">
        <v>-0.40194252951217174</v>
      </c>
      <c r="T610" s="47"/>
      <c r="U610" s="36"/>
    </row>
    <row r="611" spans="1:21" x14ac:dyDescent="0.3">
      <c r="A611" s="10">
        <f t="shared" si="12"/>
        <v>599</v>
      </c>
      <c r="B611" s="11">
        <v>0.92790177471992141</v>
      </c>
      <c r="C611" s="11">
        <v>-0.82537905961642588</v>
      </c>
      <c r="D611" s="11">
        <v>2.0826787350448607E-2</v>
      </c>
      <c r="E611" s="11">
        <v>-1.6267716713303629E-2</v>
      </c>
      <c r="F611" s="11">
        <v>7746.631002265196</v>
      </c>
      <c r="G611" s="11">
        <v>7885.7016333941156</v>
      </c>
      <c r="H611" s="35">
        <v>0.77466310022651963</v>
      </c>
      <c r="I611" s="35">
        <v>0.78857016333941155</v>
      </c>
      <c r="J611" s="11">
        <v>0.47507121632853688</v>
      </c>
      <c r="K611" s="11">
        <v>-0.47037372021476409</v>
      </c>
      <c r="T611" s="47"/>
      <c r="U611" s="36"/>
    </row>
    <row r="612" spans="1:21" x14ac:dyDescent="0.3">
      <c r="A612" s="10">
        <f t="shared" si="12"/>
        <v>600</v>
      </c>
      <c r="B612" s="11">
        <v>-0.24762767265577801</v>
      </c>
      <c r="C612" s="11">
        <v>-0.54164983903336916</v>
      </c>
      <c r="D612" s="11">
        <v>-5.8317147346024509E-3</v>
      </c>
      <c r="E612" s="11">
        <v>-1.0727005837662283E-2</v>
      </c>
      <c r="F612" s="11">
        <v>7701.5863316004634</v>
      </c>
      <c r="G612" s="11">
        <v>7801.5637465415884</v>
      </c>
      <c r="H612" s="35">
        <v>0.77015863316004629</v>
      </c>
      <c r="I612" s="35">
        <v>0.78015637465415888</v>
      </c>
      <c r="J612" s="11">
        <v>0.4487857009407884</v>
      </c>
      <c r="K612" s="11">
        <v>-0.51489231799184776</v>
      </c>
      <c r="T612" s="47"/>
      <c r="U612" s="36"/>
    </row>
    <row r="613" spans="1:21" x14ac:dyDescent="0.3">
      <c r="A613" s="10">
        <f t="shared" si="12"/>
        <v>601</v>
      </c>
      <c r="B613" s="11">
        <v>0.18869495931378291</v>
      </c>
      <c r="C613" s="11">
        <v>0.78083464689778337</v>
      </c>
      <c r="D613" s="11">
        <v>4.0631524846599931E-3</v>
      </c>
      <c r="E613" s="11">
        <v>1.5098688671376469E-2</v>
      </c>
      <c r="F613" s="11">
        <v>7732.9427109758435</v>
      </c>
      <c r="G613" s="11">
        <v>7920.2508840152441</v>
      </c>
      <c r="H613" s="35">
        <v>0.77329427109758431</v>
      </c>
      <c r="I613" s="35">
        <v>0.79202508840152441</v>
      </c>
      <c r="J613" s="11">
        <v>0.46708350577346863</v>
      </c>
      <c r="K613" s="11">
        <v>-0.45209320177724305</v>
      </c>
      <c r="T613" s="47"/>
      <c r="U613" s="36"/>
    </row>
    <row r="614" spans="1:21" x14ac:dyDescent="0.3">
      <c r="A614" s="10">
        <f t="shared" si="12"/>
        <v>602</v>
      </c>
      <c r="B614" s="11">
        <v>-0.55963833479406433</v>
      </c>
      <c r="C614" s="11">
        <v>0.92285454046223192</v>
      </c>
      <c r="D614" s="11">
        <v>-1.2907451463903897E-2</v>
      </c>
      <c r="E614" s="11">
        <v>1.7872076506485323E-2</v>
      </c>
      <c r="F614" s="11">
        <v>7633.7715287134015</v>
      </c>
      <c r="G614" s="11">
        <v>8063.0746911633087</v>
      </c>
      <c r="H614" s="35">
        <v>0.76337715287134011</v>
      </c>
      <c r="I614" s="35">
        <v>0.80630746911633089</v>
      </c>
      <c r="J614" s="11">
        <v>0.40921282764635392</v>
      </c>
      <c r="K614" s="11">
        <v>-0.37652301738978627</v>
      </c>
      <c r="T614" s="47"/>
      <c r="U614" s="36"/>
    </row>
    <row r="615" spans="1:21" x14ac:dyDescent="0.3">
      <c r="A615" s="10">
        <f t="shared" si="12"/>
        <v>603</v>
      </c>
      <c r="B615" s="11">
        <v>0.35829513757973708</v>
      </c>
      <c r="C615" s="11">
        <v>0.93315952380378187</v>
      </c>
      <c r="D615" s="11">
        <v>7.9093230046937343E-3</v>
      </c>
      <c r="E615" s="11">
        <v>1.8073313915718311E-2</v>
      </c>
      <c r="F615" s="11">
        <v>7694.388898652257</v>
      </c>
      <c r="G615" s="11">
        <v>8210.1260208312924</v>
      </c>
      <c r="H615" s="35">
        <v>0.76943888986522568</v>
      </c>
      <c r="I615" s="35">
        <v>0.82101260208312921</v>
      </c>
      <c r="J615" s="11">
        <v>0.44458568722727959</v>
      </c>
      <c r="K615" s="11">
        <v>-0.29871598844040553</v>
      </c>
      <c r="T615" s="47"/>
      <c r="U615" s="36"/>
    </row>
    <row r="616" spans="1:21" x14ac:dyDescent="0.3">
      <c r="A616" s="10">
        <f t="shared" si="12"/>
        <v>604</v>
      </c>
      <c r="B616" s="11">
        <v>0.58864450483662512</v>
      </c>
      <c r="C616" s="11">
        <v>-1.0254633300925331</v>
      </c>
      <c r="D616" s="11">
        <v>1.313315563688925E-2</v>
      </c>
      <c r="E616" s="11">
        <v>-2.0174995248780404E-2</v>
      </c>
      <c r="F616" s="11">
        <v>7796.1069832854528</v>
      </c>
      <c r="G616" s="11">
        <v>8046.1464726892764</v>
      </c>
      <c r="H616" s="35">
        <v>0.77961069832854524</v>
      </c>
      <c r="I616" s="35">
        <v>0.80461464726892762</v>
      </c>
      <c r="J616" s="11">
        <v>0.50394259314715195</v>
      </c>
      <c r="K616" s="11">
        <v>-0.38547998763850372</v>
      </c>
      <c r="T616" s="47"/>
      <c r="U616" s="36"/>
    </row>
    <row r="617" spans="1:21" x14ac:dyDescent="0.3">
      <c r="A617" s="10">
        <f t="shared" si="12"/>
        <v>605</v>
      </c>
      <c r="B617" s="11">
        <v>-0.91527783776510963</v>
      </c>
      <c r="C617" s="11">
        <v>-1.2545371135827186</v>
      </c>
      <c r="D617" s="11">
        <v>-2.0972597303206771E-2</v>
      </c>
      <c r="E617" s="11">
        <v>-2.4648385761397121E-2</v>
      </c>
      <c r="F617" s="11">
        <v>7634.3050055245039</v>
      </c>
      <c r="G617" s="11">
        <v>7850.2461815634379</v>
      </c>
      <c r="H617" s="35">
        <v>0.76343050055245043</v>
      </c>
      <c r="I617" s="35">
        <v>0.78502461815634383</v>
      </c>
      <c r="J617" s="11">
        <v>0.40952413446068525</v>
      </c>
      <c r="K617" s="11">
        <v>-0.4891337230874449</v>
      </c>
      <c r="T617" s="47"/>
      <c r="U617" s="36"/>
    </row>
    <row r="618" spans="1:21" x14ac:dyDescent="0.3">
      <c r="A618" s="10">
        <f t="shared" si="12"/>
        <v>606</v>
      </c>
      <c r="B618" s="11">
        <v>-0.57568440966701762</v>
      </c>
      <c r="C618" s="11">
        <v>-0.63173501839172919</v>
      </c>
      <c r="D618" s="11">
        <v>-1.327134223789724E-2</v>
      </c>
      <c r="E618" s="11">
        <v>-1.2486204033672036E-2</v>
      </c>
      <c r="F618" s="11">
        <v>7533.6568761789795</v>
      </c>
      <c r="G618" s="11">
        <v>7752.8358144479635</v>
      </c>
      <c r="H618" s="35">
        <v>0.75336568761789791</v>
      </c>
      <c r="I618" s="35">
        <v>0.77528358144479637</v>
      </c>
      <c r="J618" s="11">
        <v>0.35079159377122199</v>
      </c>
      <c r="K618" s="11">
        <v>-0.54067498606844655</v>
      </c>
      <c r="T618" s="47"/>
      <c r="U618" s="36"/>
    </row>
    <row r="619" spans="1:21" x14ac:dyDescent="0.3">
      <c r="A619" s="10">
        <f t="shared" si="12"/>
        <v>607</v>
      </c>
      <c r="B619" s="11">
        <v>5.4077950770779884E-2</v>
      </c>
      <c r="C619" s="11">
        <v>-1.9352581547972385</v>
      </c>
      <c r="D619" s="11">
        <v>1.0103256831379068E-3</v>
      </c>
      <c r="E619" s="11">
        <v>-3.7941618191192274E-2</v>
      </c>
      <c r="F619" s="11">
        <v>7541.2721695243763</v>
      </c>
      <c r="G619" s="11">
        <v>7464.1911274327631</v>
      </c>
      <c r="H619" s="35">
        <v>0.75412721695243767</v>
      </c>
      <c r="I619" s="35">
        <v>0.74641911274327633</v>
      </c>
      <c r="J619" s="11">
        <v>0.35523544711632743</v>
      </c>
      <c r="K619" s="11">
        <v>-0.69340115025468141</v>
      </c>
      <c r="T619" s="47"/>
      <c r="U619" s="36"/>
    </row>
    <row r="620" spans="1:21" x14ac:dyDescent="0.3">
      <c r="A620" s="10">
        <f t="shared" si="12"/>
        <v>608</v>
      </c>
      <c r="B620" s="11">
        <v>-1.8445850179726861</v>
      </c>
      <c r="C620" s="11">
        <v>1.0473325780788683</v>
      </c>
      <c r="D620" s="11">
        <v>-4.2047303221057632E-2</v>
      </c>
      <c r="E620" s="11">
        <v>2.0302904094083384E-2</v>
      </c>
      <c r="F620" s="11">
        <v>7230.7559442924985</v>
      </c>
      <c r="G620" s="11">
        <v>7617.2847477475698</v>
      </c>
      <c r="H620" s="35">
        <v>0.72307559442924985</v>
      </c>
      <c r="I620" s="35">
        <v>0.76172847477475703</v>
      </c>
      <c r="J620" s="11">
        <v>0.17403578695611832</v>
      </c>
      <c r="K620" s="11">
        <v>-0.61239705614214024</v>
      </c>
      <c r="T620" s="47"/>
      <c r="U620" s="36"/>
    </row>
    <row r="621" spans="1:21" x14ac:dyDescent="0.3">
      <c r="A621" s="10">
        <f t="shared" si="12"/>
        <v>609</v>
      </c>
      <c r="B621" s="11">
        <v>-0.36059367245239238</v>
      </c>
      <c r="C621" s="11">
        <v>0.66034342176189376</v>
      </c>
      <c r="D621" s="11">
        <v>-8.3935428094677206E-3</v>
      </c>
      <c r="E621" s="11">
        <v>1.274571621348913E-2</v>
      </c>
      <c r="F621" s="11">
        <v>7170.3182826064831</v>
      </c>
      <c r="G621" s="11">
        <v>7714.9938610140216</v>
      </c>
      <c r="H621" s="35">
        <v>0.71703182826064826</v>
      </c>
      <c r="I621" s="35">
        <v>0.77149938610140212</v>
      </c>
      <c r="J621" s="11">
        <v>0.13876779492057872</v>
      </c>
      <c r="K621" s="11">
        <v>-0.56069772216327618</v>
      </c>
      <c r="T621" s="47"/>
      <c r="U621" s="36"/>
    </row>
    <row r="622" spans="1:21" x14ac:dyDescent="0.3">
      <c r="A622" s="10">
        <f t="shared" si="12"/>
        <v>610</v>
      </c>
      <c r="B622" s="11">
        <v>-0.38768588091343148</v>
      </c>
      <c r="C622" s="11">
        <v>0.34641394559738053</v>
      </c>
      <c r="D622" s="11">
        <v>-9.007936347085686E-3</v>
      </c>
      <c r="E622" s="11">
        <v>6.6152497807590097E-3</v>
      </c>
      <c r="F622" s="11">
        <v>7106.0185506630578</v>
      </c>
      <c r="G622" s="11">
        <v>7766.1996552844575</v>
      </c>
      <c r="H622" s="35">
        <v>0.7106018550663058</v>
      </c>
      <c r="I622" s="35">
        <v>0.77661996552844581</v>
      </c>
      <c r="J622" s="11">
        <v>0.1012461176947244</v>
      </c>
      <c r="K622" s="11">
        <v>-0.5336039806366174</v>
      </c>
      <c r="T622" s="47"/>
      <c r="U622" s="36"/>
    </row>
    <row r="623" spans="1:21" x14ac:dyDescent="0.3">
      <c r="A623" s="10">
        <f t="shared" si="12"/>
        <v>611</v>
      </c>
      <c r="B623" s="11">
        <v>-0.81035707559581938</v>
      </c>
      <c r="C623" s="11">
        <v>-1.4574532025230682</v>
      </c>
      <c r="D623" s="11">
        <v>-1.8593218068344238E-2</v>
      </c>
      <c r="E623" s="11">
        <v>-2.8610964513504478E-2</v>
      </c>
      <c r="F623" s="11">
        <v>6975.1155235780197</v>
      </c>
      <c r="G623" s="11">
        <v>7547.1497495013891</v>
      </c>
      <c r="H623" s="35">
        <v>0.69751155235780193</v>
      </c>
      <c r="I623" s="35">
        <v>0.75471497495013895</v>
      </c>
      <c r="J623" s="11">
        <v>2.4858534391987288E-2</v>
      </c>
      <c r="K623" s="11">
        <v>-0.64950651888026234</v>
      </c>
      <c r="T623" s="47"/>
      <c r="U623" s="36"/>
    </row>
    <row r="624" spans="1:21" x14ac:dyDescent="0.3">
      <c r="A624" s="10">
        <f t="shared" si="12"/>
        <v>612</v>
      </c>
      <c r="B624" s="11">
        <v>-3.2840103191553416</v>
      </c>
      <c r="C624" s="11">
        <v>-1.8355943125611047</v>
      </c>
      <c r="D624" s="11">
        <v>-7.469040074491666E-2</v>
      </c>
      <c r="E624" s="11">
        <v>-3.5995366291401432E-2</v>
      </c>
      <c r="F624" s="11">
        <v>6473.1217568648253</v>
      </c>
      <c r="G624" s="11">
        <v>7280.3184841163002</v>
      </c>
      <c r="H624" s="35">
        <v>0.64731217568648258</v>
      </c>
      <c r="I624" s="35">
        <v>0.72803184841163004</v>
      </c>
      <c r="J624" s="11">
        <v>-0.2680765605875069</v>
      </c>
      <c r="K624" s="11">
        <v>-0.79069087972414587</v>
      </c>
      <c r="T624" s="47"/>
      <c r="U624" s="36"/>
    </row>
    <row r="625" spans="1:21" x14ac:dyDescent="0.3">
      <c r="A625" s="10">
        <f t="shared" si="12"/>
        <v>613</v>
      </c>
      <c r="B625" s="11">
        <v>-1.2217274859980594</v>
      </c>
      <c r="C625" s="11">
        <v>-0.98530715626387633</v>
      </c>
      <c r="D625" s="11">
        <v>-2.7922222091100565E-2</v>
      </c>
      <c r="E625" s="11">
        <v>-1.9390818883020952E-2</v>
      </c>
      <c r="F625" s="11">
        <v>6294.8778766617961</v>
      </c>
      <c r="G625" s="11">
        <v>7140.5070567881794</v>
      </c>
      <c r="H625" s="35">
        <v>0.62948778766617963</v>
      </c>
      <c r="I625" s="35">
        <v>0.7140507056788179</v>
      </c>
      <c r="J625" s="11">
        <v>-0.37208958114483076</v>
      </c>
      <c r="K625" s="11">
        <v>-0.86466716948728273</v>
      </c>
      <c r="T625" s="47"/>
      <c r="U625" s="36"/>
    </row>
    <row r="626" spans="1:21" x14ac:dyDescent="0.3">
      <c r="A626" s="10">
        <f t="shared" si="12"/>
        <v>614</v>
      </c>
      <c r="B626" s="11">
        <v>-6.3185318465634022E-2</v>
      </c>
      <c r="C626" s="11">
        <v>-4.8519663826043988E-2</v>
      </c>
      <c r="D626" s="11">
        <v>-1.6489553024789114E-3</v>
      </c>
      <c r="E626" s="11">
        <v>-1.0970786864744158E-3</v>
      </c>
      <c r="F626" s="11">
        <v>6284.5064577617495</v>
      </c>
      <c r="G626" s="11">
        <v>7132.6776542061843</v>
      </c>
      <c r="H626" s="35">
        <v>0.62845064577617493</v>
      </c>
      <c r="I626" s="35">
        <v>0.71326776542061843</v>
      </c>
      <c r="J626" s="11">
        <v>-0.378141753068099</v>
      </c>
      <c r="K626" s="11">
        <v>-0.8688098219524395</v>
      </c>
      <c r="T626" s="47"/>
      <c r="U626" s="36"/>
    </row>
    <row r="627" spans="1:21" x14ac:dyDescent="0.3">
      <c r="A627" s="10">
        <f t="shared" si="12"/>
        <v>615</v>
      </c>
      <c r="B627" s="11">
        <v>0.21008283210804915</v>
      </c>
      <c r="C627" s="11">
        <v>1.0333965613262155</v>
      </c>
      <c r="D627" s="11">
        <v>4.5481838488283868E-3</v>
      </c>
      <c r="E627" s="11">
        <v>2.0030759267315568E-2</v>
      </c>
      <c r="F627" s="11">
        <v>6313.1546477637012</v>
      </c>
      <c r="G627" s="11">
        <v>7276.9911322730732</v>
      </c>
      <c r="H627" s="35">
        <v>0.63131546477637013</v>
      </c>
      <c r="I627" s="35">
        <v>0.72769911322730729</v>
      </c>
      <c r="J627" s="11">
        <v>-0.36142429397660603</v>
      </c>
      <c r="K627" s="11">
        <v>-0.79245143069485302</v>
      </c>
      <c r="T627" s="47"/>
      <c r="U627" s="36"/>
    </row>
    <row r="628" spans="1:21" x14ac:dyDescent="0.3">
      <c r="A628" s="10">
        <f t="shared" si="12"/>
        <v>616</v>
      </c>
      <c r="B628" s="11">
        <v>0.14581743884763976</v>
      </c>
      <c r="C628" s="11">
        <v>-0.34252759914751013</v>
      </c>
      <c r="D628" s="11">
        <v>3.090781719044304E-3</v>
      </c>
      <c r="E628" s="11">
        <v>-6.838513993747043E-3</v>
      </c>
      <c r="F628" s="11">
        <v>6332.6974163969662</v>
      </c>
      <c r="G628" s="11">
        <v>7227.3970946159907</v>
      </c>
      <c r="H628" s="35">
        <v>0.63326974163969663</v>
      </c>
      <c r="I628" s="35">
        <v>0.72273970946159904</v>
      </c>
      <c r="J628" s="11">
        <v>-0.3500202424418018</v>
      </c>
      <c r="K628" s="11">
        <v>-0.81869236800846801</v>
      </c>
      <c r="T628" s="47"/>
      <c r="U628" s="36"/>
    </row>
    <row r="629" spans="1:21" x14ac:dyDescent="0.3">
      <c r="A629" s="10">
        <f t="shared" si="12"/>
        <v>617</v>
      </c>
      <c r="B629" s="11">
        <v>0.93185500844188107</v>
      </c>
      <c r="C629" s="11">
        <v>0.79032079675183931</v>
      </c>
      <c r="D629" s="11">
        <v>2.0916438264472776E-2</v>
      </c>
      <c r="E629" s="11">
        <v>1.5283935765617667E-2</v>
      </c>
      <c r="F629" s="11">
        <v>6466.5498692654619</v>
      </c>
      <c r="G629" s="11">
        <v>7338.7086399731334</v>
      </c>
      <c r="H629" s="35">
        <v>0.64665498692654622</v>
      </c>
      <c r="I629" s="35">
        <v>0.73387086399731338</v>
      </c>
      <c r="J629" s="11">
        <v>-0.27191154150912056</v>
      </c>
      <c r="K629" s="11">
        <v>-0.75979578644366252</v>
      </c>
      <c r="T629" s="47"/>
      <c r="U629" s="36"/>
    </row>
    <row r="630" spans="1:21" x14ac:dyDescent="0.3">
      <c r="A630" s="10">
        <f t="shared" si="12"/>
        <v>618</v>
      </c>
      <c r="B630" s="11">
        <v>-0.98663293662110174</v>
      </c>
      <c r="C630" s="11">
        <v>0.64264327586541747</v>
      </c>
      <c r="D630" s="11">
        <v>-2.2590778843344355E-2</v>
      </c>
      <c r="E630" s="11">
        <v>1.2400064853831813E-2</v>
      </c>
      <c r="F630" s="11">
        <v>6322.103195780719</v>
      </c>
      <c r="G630" s="11">
        <v>7430.2756481844572</v>
      </c>
      <c r="H630" s="35">
        <v>0.63221031957807194</v>
      </c>
      <c r="I630" s="35">
        <v>0.74302756481844567</v>
      </c>
      <c r="J630" s="11">
        <v>-0.35620242881191094</v>
      </c>
      <c r="K630" s="11">
        <v>-0.71134633090461596</v>
      </c>
      <c r="T630" s="47"/>
      <c r="U630" s="36"/>
    </row>
    <row r="631" spans="1:21" x14ac:dyDescent="0.3">
      <c r="A631" s="10">
        <f t="shared" si="12"/>
        <v>619</v>
      </c>
      <c r="B631" s="11">
        <v>-0.96797223162802948</v>
      </c>
      <c r="C631" s="11">
        <v>-0.77913800997190275</v>
      </c>
      <c r="D631" s="11">
        <v>-2.216759383162312E-2</v>
      </c>
      <c r="E631" s="11">
        <v>-1.5364713892022203E-2</v>
      </c>
      <c r="F631" s="11">
        <v>6183.4993130708563</v>
      </c>
      <c r="G631" s="11">
        <v>7316.9841630984411</v>
      </c>
      <c r="H631" s="35">
        <v>0.6183499313070856</v>
      </c>
      <c r="I631" s="35">
        <v>0.73169841630984411</v>
      </c>
      <c r="J631" s="11">
        <v>-0.43708379475392584</v>
      </c>
      <c r="K631" s="11">
        <v>-0.77129052780313057</v>
      </c>
      <c r="T631" s="47"/>
      <c r="U631" s="36"/>
    </row>
    <row r="632" spans="1:21" x14ac:dyDescent="0.3">
      <c r="A632" s="10">
        <f t="shared" si="12"/>
        <v>620</v>
      </c>
      <c r="B632" s="11">
        <v>-0.24644344503183976</v>
      </c>
      <c r="C632" s="11">
        <v>-0.92172299817748737</v>
      </c>
      <c r="D632" s="11">
        <v>-5.8048589764141635E-3</v>
      </c>
      <c r="E632" s="11">
        <v>-1.8149136988206655E-2</v>
      </c>
      <c r="F632" s="11">
        <v>6147.7089510801979</v>
      </c>
      <c r="G632" s="11">
        <v>7185.3850327831387</v>
      </c>
      <c r="H632" s="35">
        <v>0.61477089510801974</v>
      </c>
      <c r="I632" s="35">
        <v>0.71853850327831392</v>
      </c>
      <c r="J632" s="11">
        <v>-0.45796902039672543</v>
      </c>
      <c r="K632" s="11">
        <v>-0.8409215700063849</v>
      </c>
      <c r="T632" s="47"/>
      <c r="U632" s="36"/>
    </row>
    <row r="633" spans="1:21" x14ac:dyDescent="0.3">
      <c r="A633" s="10">
        <f t="shared" si="12"/>
        <v>621</v>
      </c>
      <c r="B633" s="11">
        <v>0.76933755496130818</v>
      </c>
      <c r="C633" s="11">
        <v>-1.1181668744141011</v>
      </c>
      <c r="D633" s="11">
        <v>1.7230888844897596E-2</v>
      </c>
      <c r="E633" s="11">
        <v>-2.1985325306352502E-2</v>
      </c>
      <c r="F633" s="11">
        <v>6254.5573434272774</v>
      </c>
      <c r="G633" s="11">
        <v>7029.1358930622155</v>
      </c>
      <c r="H633" s="35">
        <v>0.62545573434272772</v>
      </c>
      <c r="I633" s="35">
        <v>0.7029135893062215</v>
      </c>
      <c r="J633" s="11">
        <v>-0.39561835782668503</v>
      </c>
      <c r="K633" s="11">
        <v>-0.92359529601097612</v>
      </c>
      <c r="T633" s="47"/>
      <c r="U633" s="36"/>
    </row>
    <row r="634" spans="1:21" x14ac:dyDescent="0.3">
      <c r="A634" s="10">
        <f t="shared" si="12"/>
        <v>622</v>
      </c>
      <c r="B634" s="11">
        <v>1.4646822273440552</v>
      </c>
      <c r="C634" s="11">
        <v>5.3665939522472936E-2</v>
      </c>
      <c r="D634" s="11">
        <v>3.2999823804312711E-2</v>
      </c>
      <c r="E634" s="11">
        <v>8.9841857899444365E-4</v>
      </c>
      <c r="F634" s="11">
        <v>6464.3999760154329</v>
      </c>
      <c r="G634" s="11">
        <v>7035.4538369969623</v>
      </c>
      <c r="H634" s="35">
        <v>0.64643999760154325</v>
      </c>
      <c r="I634" s="35">
        <v>0.70354538369969621</v>
      </c>
      <c r="J634" s="11">
        <v>-0.27316609729278396</v>
      </c>
      <c r="K634" s="11">
        <v>-0.92025237862463694</v>
      </c>
      <c r="T634" s="47"/>
      <c r="U634" s="36"/>
    </row>
    <row r="635" spans="1:21" x14ac:dyDescent="0.3">
      <c r="A635" s="10">
        <f t="shared" si="12"/>
        <v>623</v>
      </c>
      <c r="B635" s="11">
        <v>0.30930974418823931</v>
      </c>
      <c r="C635" s="11">
        <v>0.86176478092059372</v>
      </c>
      <c r="D635" s="11">
        <v>6.7984387007917063E-3</v>
      </c>
      <c r="E635" s="11">
        <v>1.6679105636628846E-2</v>
      </c>
      <c r="F635" s="11">
        <v>6508.4975304055351</v>
      </c>
      <c r="G635" s="11">
        <v>7153.7829837370291</v>
      </c>
      <c r="H635" s="35">
        <v>0.65084975304055348</v>
      </c>
      <c r="I635" s="35">
        <v>0.71537829837370293</v>
      </c>
      <c r="J635" s="11">
        <v>-0.24743326525344048</v>
      </c>
      <c r="K635" s="11">
        <v>-0.85764268059098203</v>
      </c>
      <c r="T635" s="47"/>
      <c r="U635" s="36"/>
    </row>
    <row r="636" spans="1:21" x14ac:dyDescent="0.3">
      <c r="A636" s="10">
        <f t="shared" si="12"/>
        <v>624</v>
      </c>
      <c r="B636" s="11">
        <v>-5.0199363899815141E-3</v>
      </c>
      <c r="C636" s="11">
        <v>-1.0481528527574413</v>
      </c>
      <c r="D636" s="11">
        <v>-3.2988842346265049E-4</v>
      </c>
      <c r="E636" s="11">
        <v>-2.061807997841884E-2</v>
      </c>
      <c r="F636" s="11">
        <v>6506.3508065252654</v>
      </c>
      <c r="G636" s="11">
        <v>7007.7958726168326</v>
      </c>
      <c r="H636" s="35">
        <v>0.65063508065252651</v>
      </c>
      <c r="I636" s="35">
        <v>0.70077958726168321</v>
      </c>
      <c r="J636" s="11">
        <v>-0.24868597157264233</v>
      </c>
      <c r="K636" s="11">
        <v>-0.93488661579926491</v>
      </c>
      <c r="T636" s="47"/>
      <c r="U636" s="36"/>
    </row>
    <row r="637" spans="1:21" x14ac:dyDescent="0.3">
      <c r="A637" s="10">
        <f t="shared" si="12"/>
        <v>625</v>
      </c>
      <c r="B637" s="11">
        <v>0.37425655873683555</v>
      </c>
      <c r="C637" s="11">
        <v>0.71307915590017068</v>
      </c>
      <c r="D637" s="11">
        <v>8.2712940128609972E-3</v>
      </c>
      <c r="E637" s="11">
        <v>1.3775548301542772E-2</v>
      </c>
      <c r="F637" s="11">
        <v>6560.389925630966</v>
      </c>
      <c r="G637" s="11">
        <v>7105.0000866560231</v>
      </c>
      <c r="H637" s="35">
        <v>0.65603899256309661</v>
      </c>
      <c r="I637" s="35">
        <v>0.71050000866560226</v>
      </c>
      <c r="J637" s="11">
        <v>-0.21715180613572213</v>
      </c>
      <c r="K637" s="11">
        <v>-0.88345443145366664</v>
      </c>
      <c r="T637" s="47"/>
      <c r="U637" s="36"/>
    </row>
    <row r="638" spans="1:21" x14ac:dyDescent="0.3">
      <c r="A638" s="10">
        <f t="shared" si="12"/>
        <v>626</v>
      </c>
      <c r="B638" s="11">
        <v>0.87148569594339576</v>
      </c>
      <c r="C638" s="11">
        <v>1.7731494079571886</v>
      </c>
      <c r="D638" s="11">
        <v>1.9547390941407613E-2</v>
      </c>
      <c r="E638" s="11">
        <v>3.4476774500403061E-2</v>
      </c>
      <c r="F638" s="11">
        <v>6689.8900030783943</v>
      </c>
      <c r="G638" s="11">
        <v>7354.2291936794063</v>
      </c>
      <c r="H638" s="35">
        <v>0.66898900030783948</v>
      </c>
      <c r="I638" s="35">
        <v>0.73542291936794069</v>
      </c>
      <c r="J638" s="11">
        <v>-0.14158290468243406</v>
      </c>
      <c r="K638" s="11">
        <v>-0.75158363240016657</v>
      </c>
      <c r="T638" s="47"/>
      <c r="U638" s="36"/>
    </row>
    <row r="639" spans="1:21" x14ac:dyDescent="0.3">
      <c r="A639" s="10">
        <f t="shared" si="12"/>
        <v>627</v>
      </c>
      <c r="B639" s="11">
        <v>-0.6707028988443231</v>
      </c>
      <c r="C639" s="11">
        <v>-1.3948088106778789</v>
      </c>
      <c r="D639" s="11">
        <v>-1.5426159029179234E-2</v>
      </c>
      <c r="E639" s="11">
        <v>-2.738763452838237E-2</v>
      </c>
      <c r="F639" s="11">
        <v>6587.4826032064375</v>
      </c>
      <c r="G639" s="11">
        <v>7155.5473835113517</v>
      </c>
      <c r="H639" s="35">
        <v>0.65874826032064371</v>
      </c>
      <c r="I639" s="35">
        <v>0.71555473835113514</v>
      </c>
      <c r="J639" s="11">
        <v>-0.20134205588566798</v>
      </c>
      <c r="K639" s="11">
        <v>-0.85670911062851407</v>
      </c>
      <c r="T639" s="47"/>
      <c r="U639" s="36"/>
    </row>
    <row r="640" spans="1:21" x14ac:dyDescent="0.3">
      <c r="A640" s="10">
        <f t="shared" si="12"/>
        <v>628</v>
      </c>
      <c r="B640" s="11">
        <v>0.18390169967484854</v>
      </c>
      <c r="C640" s="11">
        <v>0.16980068842495971</v>
      </c>
      <c r="D640" s="11">
        <v>3.9544515734544197E-3</v>
      </c>
      <c r="E640" s="11">
        <v>3.1663170526221233E-3</v>
      </c>
      <c r="F640" s="11">
        <v>6613.5840586086251</v>
      </c>
      <c r="G640" s="11">
        <v>7178.2400222983179</v>
      </c>
      <c r="H640" s="35">
        <v>0.66135840586086247</v>
      </c>
      <c r="I640" s="35">
        <v>0.71782400222983178</v>
      </c>
      <c r="J640" s="11">
        <v>-0.18611072668529705</v>
      </c>
      <c r="K640" s="11">
        <v>-0.84470210051155814</v>
      </c>
      <c r="T640" s="47"/>
      <c r="U640" s="36"/>
    </row>
    <row r="641" spans="1:21" x14ac:dyDescent="0.3">
      <c r="A641" s="10">
        <f t="shared" si="12"/>
        <v>629</v>
      </c>
      <c r="B641" s="11">
        <v>2.1848117812026824</v>
      </c>
      <c r="C641" s="11">
        <v>0.18087280798276026</v>
      </c>
      <c r="D641" s="11">
        <v>4.9330827043665468E-2</v>
      </c>
      <c r="E641" s="11">
        <v>3.3825352240330173E-3</v>
      </c>
      <c r="F641" s="11">
        <v>6948.0187820172387</v>
      </c>
      <c r="G641" s="11">
        <v>7202.5617834373152</v>
      </c>
      <c r="H641" s="35">
        <v>0.6948018782017239</v>
      </c>
      <c r="I641" s="35">
        <v>0.72025617834373157</v>
      </c>
      <c r="J641" s="11">
        <v>9.0464126305686478E-3</v>
      </c>
      <c r="K641" s="11">
        <v>-0.83183309771291214</v>
      </c>
      <c r="T641" s="47"/>
      <c r="U641" s="36"/>
    </row>
    <row r="642" spans="1:21" x14ac:dyDescent="0.3">
      <c r="A642" s="10">
        <f t="shared" si="12"/>
        <v>630</v>
      </c>
      <c r="B642" s="11">
        <v>1.0386045261812074</v>
      </c>
      <c r="C642" s="11">
        <v>0.35628924321047706</v>
      </c>
      <c r="D642" s="11">
        <v>2.333728977745279E-2</v>
      </c>
      <c r="E642" s="11">
        <v>6.808096216429747E-3</v>
      </c>
      <c r="F642" s="11">
        <v>7112.0735609875765</v>
      </c>
      <c r="G642" s="11">
        <v>7251.7648165080973</v>
      </c>
      <c r="H642" s="35">
        <v>0.71120735609875763</v>
      </c>
      <c r="I642" s="35">
        <v>0.72517648165080972</v>
      </c>
      <c r="J642" s="11">
        <v>0.10477947835003325</v>
      </c>
      <c r="K642" s="11">
        <v>-0.80579904669698865</v>
      </c>
      <c r="T642" s="47"/>
      <c r="U642" s="36"/>
    </row>
    <row r="643" spans="1:21" x14ac:dyDescent="0.3">
      <c r="A643" s="10">
        <f t="shared" si="12"/>
        <v>631</v>
      </c>
      <c r="B643" s="11">
        <v>-9.5157133879867977E-4</v>
      </c>
      <c r="C643" s="11">
        <v>-0.54044702740449757</v>
      </c>
      <c r="D643" s="11">
        <v>-2.3762657630788185E-4</v>
      </c>
      <c r="E643" s="11">
        <v>-1.0703517134384766E-2</v>
      </c>
      <c r="F643" s="11">
        <v>7110.3837440774842</v>
      </c>
      <c r="G643" s="11">
        <v>7174.5593496462006</v>
      </c>
      <c r="H643" s="35">
        <v>0.71103837440774842</v>
      </c>
      <c r="I643" s="35">
        <v>0.71745593496462001</v>
      </c>
      <c r="J643" s="11">
        <v>0.1037933970281537</v>
      </c>
      <c r="K643" s="11">
        <v>-0.84664959873713064</v>
      </c>
      <c r="T643" s="47"/>
      <c r="U643" s="36"/>
    </row>
    <row r="644" spans="1:21" x14ac:dyDescent="0.3">
      <c r="A644" s="10">
        <f t="shared" si="12"/>
        <v>632</v>
      </c>
      <c r="B644" s="11">
        <v>0.31118631735555113</v>
      </c>
      <c r="C644" s="11">
        <v>1.6003038613845126</v>
      </c>
      <c r="D644" s="11">
        <v>6.840995380086483E-3</v>
      </c>
      <c r="E644" s="11">
        <v>3.110141824441584E-2</v>
      </c>
      <c r="F644" s="11">
        <v>7159.1926066718843</v>
      </c>
      <c r="G644" s="11">
        <v>7401.2045450432443</v>
      </c>
      <c r="H644" s="35">
        <v>0.71591926066718847</v>
      </c>
      <c r="I644" s="35">
        <v>0.7401204545043244</v>
      </c>
      <c r="J644" s="11">
        <v>0.13227548136467196</v>
      </c>
      <c r="K644" s="11">
        <v>-0.72672828065512718</v>
      </c>
      <c r="T644" s="47"/>
      <c r="U644" s="36"/>
    </row>
    <row r="645" spans="1:21" x14ac:dyDescent="0.3">
      <c r="A645" s="10">
        <f t="shared" si="12"/>
        <v>633</v>
      </c>
      <c r="B645" s="11">
        <v>0.67379722411184517</v>
      </c>
      <c r="C645" s="11">
        <v>1.8127326481142212</v>
      </c>
      <c r="D645" s="11">
        <v>1.5064237796858924E-2</v>
      </c>
      <c r="E645" s="11">
        <v>3.52497625232105E-2</v>
      </c>
      <c r="F645" s="11">
        <v>7267.8568032467556</v>
      </c>
      <c r="G645" s="11">
        <v>7666.7479228991615</v>
      </c>
      <c r="H645" s="35">
        <v>0.72678568032467561</v>
      </c>
      <c r="I645" s="35">
        <v>0.7666747922899162</v>
      </c>
      <c r="J645" s="11">
        <v>0.19568574431065944</v>
      </c>
      <c r="K645" s="11">
        <v>-0.5862253601116616</v>
      </c>
      <c r="T645" s="47"/>
      <c r="U645" s="36"/>
    </row>
    <row r="646" spans="1:21" x14ac:dyDescent="0.3">
      <c r="A646" s="10">
        <f t="shared" si="12"/>
        <v>634</v>
      </c>
      <c r="B646" s="11">
        <v>0.30597473134824305</v>
      </c>
      <c r="C646" s="11">
        <v>-0.79377332887920937</v>
      </c>
      <c r="D646" s="11">
        <v>6.7228077185588148E-3</v>
      </c>
      <c r="E646" s="11">
        <v>-1.5650514806258512E-2</v>
      </c>
      <c r="F646" s="11">
        <v>7316.8818152806707</v>
      </c>
      <c r="G646" s="11">
        <v>7547.6934331203802</v>
      </c>
      <c r="H646" s="35">
        <v>0.73168818152806703</v>
      </c>
      <c r="I646" s="35">
        <v>0.75476934331203804</v>
      </c>
      <c r="J646" s="11">
        <v>0.22429396120258505</v>
      </c>
      <c r="K646" s="11">
        <v>-0.64921884785288941</v>
      </c>
      <c r="T646" s="47"/>
      <c r="U646" s="36"/>
    </row>
    <row r="647" spans="1:21" x14ac:dyDescent="0.3">
      <c r="A647" s="10">
        <f t="shared" si="12"/>
        <v>635</v>
      </c>
      <c r="B647" s="11">
        <v>-0.12269046599363889</v>
      </c>
      <c r="C647" s="11">
        <v>0.37717420755539172</v>
      </c>
      <c r="D647" s="11">
        <v>-2.9984052060844321E-3</v>
      </c>
      <c r="E647" s="11">
        <v>7.215941234455926E-3</v>
      </c>
      <c r="F647" s="11">
        <v>7294.9756968752872</v>
      </c>
      <c r="G647" s="11">
        <v>7602.3541223694347</v>
      </c>
      <c r="H647" s="35">
        <v>0.72949756968752877</v>
      </c>
      <c r="I647" s="35">
        <v>0.76023541223694346</v>
      </c>
      <c r="J647" s="11">
        <v>0.21151079276260848</v>
      </c>
      <c r="K647" s="11">
        <v>-0.6202970704000994</v>
      </c>
      <c r="T647" s="47"/>
      <c r="U647" s="36"/>
    </row>
    <row r="648" spans="1:21" x14ac:dyDescent="0.3">
      <c r="A648" s="10">
        <f t="shared" si="12"/>
        <v>636</v>
      </c>
      <c r="B648" s="11">
        <v>-0.23810808873561917</v>
      </c>
      <c r="C648" s="11">
        <v>5.7193388971501224E-3</v>
      </c>
      <c r="D648" s="11">
        <v>-5.6158308634234539E-3</v>
      </c>
      <c r="E648" s="11">
        <v>-3.7890522298813999E-5</v>
      </c>
      <c r="F648" s="11">
        <v>7254.123165029142</v>
      </c>
      <c r="G648" s="11">
        <v>7602.0660706582867</v>
      </c>
      <c r="H648" s="35">
        <v>0.72541231650291416</v>
      </c>
      <c r="I648" s="35">
        <v>0.76020660706582865</v>
      </c>
      <c r="J648" s="11">
        <v>0.18767157185981073</v>
      </c>
      <c r="K648" s="11">
        <v>-0.62044948281200218</v>
      </c>
      <c r="T648" s="47"/>
      <c r="U648" s="36"/>
    </row>
    <row r="649" spans="1:21" x14ac:dyDescent="0.3">
      <c r="A649" s="10">
        <f t="shared" si="12"/>
        <v>637</v>
      </c>
      <c r="B649" s="11">
        <v>0.77514174597180341</v>
      </c>
      <c r="C649" s="11">
        <v>-0.95068985116186377</v>
      </c>
      <c r="D649" s="11">
        <v>1.7362515524689197E-2</v>
      </c>
      <c r="E649" s="11">
        <v>-1.8714806456560394E-2</v>
      </c>
      <c r="F649" s="11">
        <v>7381.172749643667</v>
      </c>
      <c r="G649" s="11">
        <v>7461.1178981900757</v>
      </c>
      <c r="H649" s="35">
        <v>0.73811727496436674</v>
      </c>
      <c r="I649" s="35">
        <v>0.74611178981900761</v>
      </c>
      <c r="J649" s="11">
        <v>0.26181050465939792</v>
      </c>
      <c r="K649" s="11">
        <v>-0.69502724120668946</v>
      </c>
      <c r="T649" s="47"/>
      <c r="U649" s="36"/>
    </row>
    <row r="650" spans="1:21" x14ac:dyDescent="0.3">
      <c r="A650" s="10">
        <f t="shared" si="12"/>
        <v>638</v>
      </c>
      <c r="B650" s="11">
        <v>0.51828167583186457</v>
      </c>
      <c r="C650" s="11">
        <v>0.11138807579144269</v>
      </c>
      <c r="D650" s="11">
        <v>1.153747666183589E-2</v>
      </c>
      <c r="E650" s="11">
        <v>2.0256259478142881E-3</v>
      </c>
      <c r="F650" s="11">
        <v>7466.8260191477939</v>
      </c>
      <c r="G650" s="11">
        <v>7476.2466496271118</v>
      </c>
      <c r="H650" s="35">
        <v>0.74668260191477942</v>
      </c>
      <c r="I650" s="35">
        <v>0.74762466496271118</v>
      </c>
      <c r="J650" s="11">
        <v>0.31179289548026012</v>
      </c>
      <c r="K650" s="11">
        <v>-0.68702239552670008</v>
      </c>
      <c r="T650" s="47"/>
      <c r="U650" s="36"/>
    </row>
    <row r="651" spans="1:21" x14ac:dyDescent="0.3">
      <c r="A651" s="10">
        <f t="shared" si="12"/>
        <v>639</v>
      </c>
      <c r="B651" s="11">
        <v>-0.43723696867826206</v>
      </c>
      <c r="C651" s="11">
        <v>2.3474411623889835</v>
      </c>
      <c r="D651" s="11">
        <v>-1.0131649393529776E-2</v>
      </c>
      <c r="E651" s="11">
        <v>4.5691638316799885E-2</v>
      </c>
      <c r="F651" s="11">
        <v>7391.556700877898</v>
      </c>
      <c r="G651" s="11">
        <v>7825.7730161848685</v>
      </c>
      <c r="H651" s="35">
        <v>0.73915567008778982</v>
      </c>
      <c r="I651" s="35">
        <v>0.78257730161848682</v>
      </c>
      <c r="J651" s="11">
        <v>0.26786998974220733</v>
      </c>
      <c r="K651" s="11">
        <v>-0.50208283610391768</v>
      </c>
      <c r="T651" s="47"/>
      <c r="U651" s="36"/>
    </row>
    <row r="652" spans="1:21" x14ac:dyDescent="0.3">
      <c r="A652" s="10">
        <f t="shared" si="12"/>
        <v>640</v>
      </c>
      <c r="B652" s="11">
        <v>1.6450280696825539</v>
      </c>
      <c r="C652" s="11">
        <v>0.6593221223604645</v>
      </c>
      <c r="D652" s="11">
        <v>3.7089683079845261E-2</v>
      </c>
      <c r="E652" s="11">
        <v>1.2725772110836761E-2</v>
      </c>
      <c r="F652" s="11">
        <v>7670.8547166589133</v>
      </c>
      <c r="G652" s="11">
        <v>7925.9983902330669</v>
      </c>
      <c r="H652" s="35">
        <v>0.76708547166589136</v>
      </c>
      <c r="I652" s="35">
        <v>0.79259983902330666</v>
      </c>
      <c r="J652" s="11">
        <v>0.43085247320228631</v>
      </c>
      <c r="K652" s="11">
        <v>-0.44905211140637341</v>
      </c>
      <c r="T652" s="47"/>
      <c r="U652" s="36"/>
    </row>
    <row r="653" spans="1:21" x14ac:dyDescent="0.3">
      <c r="A653" s="10">
        <f t="shared" si="12"/>
        <v>641</v>
      </c>
      <c r="B653" s="11">
        <v>-0.49093748453813568</v>
      </c>
      <c r="C653" s="11">
        <v>1.014430878625721</v>
      </c>
      <c r="D653" s="11">
        <v>-1.1349462624167823E-2</v>
      </c>
      <c r="E653" s="11">
        <v>1.9660394296846018E-2</v>
      </c>
      <c r="F653" s="11">
        <v>7584.2868165645086</v>
      </c>
      <c r="G653" s="11">
        <v>8083.3685545154367</v>
      </c>
      <c r="H653" s="35">
        <v>0.75842868165645083</v>
      </c>
      <c r="I653" s="35">
        <v>0.80833685545154366</v>
      </c>
      <c r="J653" s="11">
        <v>0.38033635583619541</v>
      </c>
      <c r="K653" s="11">
        <v>-0.36578523476042196</v>
      </c>
      <c r="T653" s="47"/>
      <c r="U653" s="36"/>
    </row>
    <row r="654" spans="1:21" x14ac:dyDescent="0.3">
      <c r="A654" s="10">
        <f t="shared" si="12"/>
        <v>642</v>
      </c>
      <c r="B654" s="11">
        <v>-0.91635543718730061</v>
      </c>
      <c r="C654" s="11">
        <v>0.65040898264888614</v>
      </c>
      <c r="D654" s="11">
        <v>-2.099703496107018E-2</v>
      </c>
      <c r="E654" s="11">
        <v>1.2551714852882971E-2</v>
      </c>
      <c r="F654" s="11">
        <v>7426.6995039346048</v>
      </c>
      <c r="G654" s="11">
        <v>8185.4681134972398</v>
      </c>
      <c r="H654" s="35">
        <v>0.74266995039346051</v>
      </c>
      <c r="I654" s="35">
        <v>0.81854681134972396</v>
      </c>
      <c r="J654" s="11">
        <v>0.28837733671319804</v>
      </c>
      <c r="K654" s="11">
        <v>-0.31176285115224606</v>
      </c>
      <c r="T654" s="47"/>
      <c r="U654" s="36"/>
    </row>
    <row r="655" spans="1:21" x14ac:dyDescent="0.3">
      <c r="A655" s="10">
        <f t="shared" si="12"/>
        <v>643</v>
      </c>
      <c r="B655" s="11">
        <v>-2.5954057086927271</v>
      </c>
      <c r="C655" s="11">
        <v>-1.0439581271636813</v>
      </c>
      <c r="D655" s="11">
        <v>-5.9074316022603081E-2</v>
      </c>
      <c r="E655" s="11">
        <v>-2.0536164687248209E-2</v>
      </c>
      <c r="F655" s="11">
        <v>7000.6796128580754</v>
      </c>
      <c r="G655" s="11">
        <v>8019.0842825889322</v>
      </c>
      <c r="H655" s="35">
        <v>0.70006796128580751</v>
      </c>
      <c r="I655" s="35">
        <v>0.80190842825889319</v>
      </c>
      <c r="J655" s="11">
        <v>3.9776287196666774E-2</v>
      </c>
      <c r="K655" s="11">
        <v>-0.39979899184829404</v>
      </c>
      <c r="T655" s="47"/>
      <c r="U655" s="36"/>
    </row>
    <row r="656" spans="1:21" x14ac:dyDescent="0.3">
      <c r="A656" s="10">
        <f t="shared" si="12"/>
        <v>644</v>
      </c>
      <c r="B656" s="11">
        <v>-1.684604116106631</v>
      </c>
      <c r="C656" s="11">
        <v>9.4273435591456567E-2</v>
      </c>
      <c r="D656" s="11">
        <v>-3.8419277385136966E-2</v>
      </c>
      <c r="E656" s="11">
        <v>1.6914084396778897E-3</v>
      </c>
      <c r="F656" s="11">
        <v>6736.8196699688906</v>
      </c>
      <c r="G656" s="11">
        <v>8032.6593066417608</v>
      </c>
      <c r="H656" s="35">
        <v>0.67368196699688909</v>
      </c>
      <c r="I656" s="35">
        <v>0.80326593066417606</v>
      </c>
      <c r="J656" s="11">
        <v>-0.11419741239249123</v>
      </c>
      <c r="K656" s="11">
        <v>-0.3926162462597178</v>
      </c>
      <c r="T656" s="47"/>
      <c r="U656" s="36"/>
    </row>
    <row r="657" spans="1:21" x14ac:dyDescent="0.3">
      <c r="A657" s="10">
        <f t="shared" si="12"/>
        <v>645</v>
      </c>
      <c r="B657" s="11">
        <v>-8.5568068491900837E-2</v>
      </c>
      <c r="C657" s="11">
        <v>-0.81137983668878699</v>
      </c>
      <c r="D657" s="11">
        <v>-2.1565483615694236E-3</v>
      </c>
      <c r="E657" s="11">
        <v>-1.5994337585957138E-2</v>
      </c>
      <c r="F657" s="11">
        <v>6722.3070467588223</v>
      </c>
      <c r="G657" s="11">
        <v>7905.2042387752626</v>
      </c>
      <c r="H657" s="35">
        <v>0.6722307046758822</v>
      </c>
      <c r="I657" s="35">
        <v>0.7905204238775263</v>
      </c>
      <c r="J657" s="11">
        <v>-0.12266615630992689</v>
      </c>
      <c r="K657" s="11">
        <v>-0.46005460385651437</v>
      </c>
      <c r="T657" s="47"/>
      <c r="U657" s="36"/>
    </row>
    <row r="658" spans="1:21" x14ac:dyDescent="0.3">
      <c r="A658" s="10">
        <f t="shared" si="12"/>
        <v>646</v>
      </c>
      <c r="B658" s="11">
        <v>-0.92448146787315855</v>
      </c>
      <c r="C658" s="11">
        <v>-1.29741507177764</v>
      </c>
      <c r="D658" s="11">
        <v>-2.1181316015420407E-2</v>
      </c>
      <c r="E658" s="11">
        <v>-2.548571357982797E-2</v>
      </c>
      <c r="F658" s="11">
        <v>6581.4171213266782</v>
      </c>
      <c r="G658" s="11">
        <v>7706.2800966219565</v>
      </c>
      <c r="H658" s="35">
        <v>0.65814171213266781</v>
      </c>
      <c r="I658" s="35">
        <v>0.77062800966219569</v>
      </c>
      <c r="J658" s="11">
        <v>-0.20488152714678989</v>
      </c>
      <c r="K658" s="11">
        <v>-0.56530830351498706</v>
      </c>
      <c r="T658" s="47"/>
      <c r="U658" s="36"/>
    </row>
    <row r="659" spans="1:21" x14ac:dyDescent="0.3">
      <c r="A659" s="10">
        <f t="shared" si="12"/>
        <v>647</v>
      </c>
      <c r="B659" s="11">
        <v>-5.3199670933951761E-2</v>
      </c>
      <c r="C659" s="11">
        <v>0.84389456250935124</v>
      </c>
      <c r="D659" s="11">
        <v>-1.4225021020608209E-3</v>
      </c>
      <c r="E659" s="11">
        <v>1.6330133072936653E-2</v>
      </c>
      <c r="F659" s="11">
        <v>6572.0616972698135</v>
      </c>
      <c r="G659" s="11">
        <v>7833.1578216015359</v>
      </c>
      <c r="H659" s="35">
        <v>0.65720616972698132</v>
      </c>
      <c r="I659" s="35">
        <v>0.78331578216015363</v>
      </c>
      <c r="J659" s="11">
        <v>-0.2103408220950414</v>
      </c>
      <c r="K659" s="11">
        <v>-0.49817542656102204</v>
      </c>
      <c r="T659" s="47"/>
      <c r="U659" s="36"/>
    </row>
    <row r="660" spans="1:21" x14ac:dyDescent="0.3">
      <c r="A660" s="10">
        <f t="shared" si="12"/>
        <v>648</v>
      </c>
      <c r="B660" s="11">
        <v>0.67786399875038328</v>
      </c>
      <c r="C660" s="11">
        <v>0.27198233527051729</v>
      </c>
      <c r="D660" s="11">
        <v>1.5156463576845063E-2</v>
      </c>
      <c r="E660" s="11">
        <v>5.1617370548505898E-3</v>
      </c>
      <c r="F660" s="11">
        <v>6672.429600891629</v>
      </c>
      <c r="G660" s="11">
        <v>7873.695053848146</v>
      </c>
      <c r="H660" s="35">
        <v>0.66724296008916295</v>
      </c>
      <c r="I660" s="35">
        <v>0.78736950538481465</v>
      </c>
      <c r="J660" s="11">
        <v>-0.15177180524677614</v>
      </c>
      <c r="K660" s="11">
        <v>-0.47672657866511298</v>
      </c>
      <c r="T660" s="47"/>
      <c r="U660" s="36"/>
    </row>
    <row r="661" spans="1:21" x14ac:dyDescent="0.3">
      <c r="A661" s="10">
        <f t="shared" si="12"/>
        <v>649</v>
      </c>
      <c r="B661" s="11">
        <v>0.69841413881596737</v>
      </c>
      <c r="C661" s="11">
        <v>-0.89726808348592235</v>
      </c>
      <c r="D661" s="11">
        <v>1.5622496948454323E-2</v>
      </c>
      <c r="E661" s="11">
        <v>-1.7671577392772701E-2</v>
      </c>
      <c r="F661" s="11">
        <v>6777.4881133883173</v>
      </c>
      <c r="G661" s="11">
        <v>7735.7766493478321</v>
      </c>
      <c r="H661" s="35">
        <v>0.67774881133883169</v>
      </c>
      <c r="I661" s="35">
        <v>0.77357766493478319</v>
      </c>
      <c r="J661" s="11">
        <v>-9.0465615056162241E-2</v>
      </c>
      <c r="K661" s="11">
        <v>-0.54970124210975579</v>
      </c>
      <c r="T661" s="47"/>
      <c r="U661" s="36"/>
    </row>
    <row r="662" spans="1:21" x14ac:dyDescent="0.3">
      <c r="A662" s="10">
        <f t="shared" si="12"/>
        <v>650</v>
      </c>
      <c r="B662" s="11">
        <v>-0.470655673503801</v>
      </c>
      <c r="C662" s="11">
        <v>-1.0200642159050248</v>
      </c>
      <c r="D662" s="11">
        <v>-1.088951438301192E-2</v>
      </c>
      <c r="E662" s="11">
        <v>-2.0069560459102829E-2</v>
      </c>
      <c r="F662" s="11">
        <v>6704.0849468691767</v>
      </c>
      <c r="G662" s="11">
        <v>7582.0705780338167</v>
      </c>
      <c r="H662" s="35">
        <v>0.67040849468691766</v>
      </c>
      <c r="I662" s="35">
        <v>0.75820705780338171</v>
      </c>
      <c r="J662" s="11">
        <v>-0.13329954045899511</v>
      </c>
      <c r="K662" s="11">
        <v>-0.63102939308552342</v>
      </c>
      <c r="T662" s="47"/>
      <c r="U662" s="36"/>
    </row>
    <row r="663" spans="1:21" x14ac:dyDescent="0.3">
      <c r="A663" s="10">
        <f t="shared" si="12"/>
        <v>651</v>
      </c>
      <c r="B663" s="11">
        <v>-0.25301131314972236</v>
      </c>
      <c r="C663" s="11">
        <v>-0.50417678078582451</v>
      </c>
      <c r="D663" s="11">
        <v>-5.9538042251323399E-3</v>
      </c>
      <c r="E663" s="11">
        <v>-9.9952257941791234E-3</v>
      </c>
      <c r="F663" s="11">
        <v>6664.2887246022574</v>
      </c>
      <c r="G663" s="11">
        <v>7506.6635535281221</v>
      </c>
      <c r="H663" s="35">
        <v>0.66642887246022575</v>
      </c>
      <c r="I663" s="35">
        <v>0.75066635535281223</v>
      </c>
      <c r="J663" s="11">
        <v>-0.15652235899300596</v>
      </c>
      <c r="K663" s="11">
        <v>-0.67092836273066947</v>
      </c>
      <c r="T663" s="47"/>
      <c r="U663" s="36"/>
    </row>
    <row r="664" spans="1:21" x14ac:dyDescent="0.3">
      <c r="A664" s="10">
        <f t="shared" si="12"/>
        <v>652</v>
      </c>
      <c r="B664" s="11">
        <v>1.2153702089904141</v>
      </c>
      <c r="C664" s="11">
        <v>0.51505266806217631</v>
      </c>
      <c r="D664" s="11">
        <v>2.7345958666398672E-2</v>
      </c>
      <c r="E664" s="11">
        <v>9.9084544838023963E-3</v>
      </c>
      <c r="F664" s="11">
        <v>6849.0447405357472</v>
      </c>
      <c r="G664" s="11">
        <v>7581.4127003772574</v>
      </c>
      <c r="H664" s="35">
        <v>0.68490447405357469</v>
      </c>
      <c r="I664" s="35">
        <v>0.75814127003772569</v>
      </c>
      <c r="J664" s="11">
        <v>-4.8709225316325877E-2</v>
      </c>
      <c r="K664" s="11">
        <v>-0.63137748586363462</v>
      </c>
      <c r="T664" s="47"/>
      <c r="U664" s="36"/>
    </row>
    <row r="665" spans="1:21" x14ac:dyDescent="0.3">
      <c r="A665" s="10">
        <f t="shared" si="12"/>
        <v>653</v>
      </c>
      <c r="B665" s="11">
        <v>0.23122104343124836</v>
      </c>
      <c r="C665" s="11">
        <v>-2.2893855911642773</v>
      </c>
      <c r="D665" s="11">
        <v>5.0275534230162268E-3</v>
      </c>
      <c r="E665" s="11">
        <v>-4.4857077000862056E-2</v>
      </c>
      <c r="F665" s="11">
        <v>6883.565383340574</v>
      </c>
      <c r="G665" s="11">
        <v>7248.8474032767926</v>
      </c>
      <c r="H665" s="35">
        <v>0.68835653833405741</v>
      </c>
      <c r="I665" s="35">
        <v>0.72488474032767924</v>
      </c>
      <c r="J665" s="11">
        <v>-2.8564935786606217E-2</v>
      </c>
      <c r="K665" s="11">
        <v>-0.80734269309758866</v>
      </c>
      <c r="T665" s="47"/>
      <c r="U665" s="36"/>
    </row>
    <row r="666" spans="1:21" x14ac:dyDescent="0.3">
      <c r="A666" s="10">
        <f t="shared" si="12"/>
        <v>654</v>
      </c>
      <c r="B666" s="11">
        <v>-0.68464786443844416</v>
      </c>
      <c r="C666" s="11">
        <v>-7.7779818849890825E-2</v>
      </c>
      <c r="D666" s="11">
        <v>-1.5742401123494058E-2</v>
      </c>
      <c r="E666" s="11">
        <v>-1.6684758052851714E-3</v>
      </c>
      <c r="F666" s="11">
        <v>6776.0500312069908</v>
      </c>
      <c r="G666" s="11">
        <v>7236.7629608715088</v>
      </c>
      <c r="H666" s="35">
        <v>0.67760500312069905</v>
      </c>
      <c r="I666" s="35">
        <v>0.72367629608715089</v>
      </c>
      <c r="J666" s="11">
        <v>-9.1304798265813308E-2</v>
      </c>
      <c r="K666" s="11">
        <v>-0.81373674993602707</v>
      </c>
      <c r="T666" s="47"/>
      <c r="U666" s="36"/>
    </row>
    <row r="667" spans="1:21" x14ac:dyDescent="0.3">
      <c r="A667" s="10">
        <f t="shared" si="12"/>
        <v>655</v>
      </c>
      <c r="B667" s="11">
        <v>0.14172554597693085</v>
      </c>
      <c r="C667" s="11">
        <v>1.2240074439953557</v>
      </c>
      <c r="D667" s="11">
        <v>2.9979863110950419E-3</v>
      </c>
      <c r="E667" s="11">
        <v>2.375303992790527E-2</v>
      </c>
      <c r="F667" s="11">
        <v>6796.3950182018398</v>
      </c>
      <c r="G667" s="11">
        <v>7410.7158567621864</v>
      </c>
      <c r="H667" s="35">
        <v>0.67963950182018396</v>
      </c>
      <c r="I667" s="35">
        <v>0.74107158567621867</v>
      </c>
      <c r="J667" s="11">
        <v>-7.9432617587725962E-2</v>
      </c>
      <c r="K667" s="11">
        <v>-0.72169570524126858</v>
      </c>
      <c r="T667" s="47"/>
      <c r="U667" s="36"/>
    </row>
    <row r="668" spans="1:21" x14ac:dyDescent="0.3">
      <c r="A668" s="10">
        <f t="shared" si="12"/>
        <v>656</v>
      </c>
      <c r="B668" s="11">
        <v>0.11268763946600216</v>
      </c>
      <c r="C668" s="11">
        <v>-1.5667132752373092</v>
      </c>
      <c r="D668" s="11">
        <v>2.3394684891933797E-3</v>
      </c>
      <c r="E668" s="11">
        <v>-3.0744613180064523E-2</v>
      </c>
      <c r="F668" s="11">
        <v>6812.31358341755</v>
      </c>
      <c r="G668" s="11">
        <v>7186.3430651050539</v>
      </c>
      <c r="H668" s="35">
        <v>0.68123135834175497</v>
      </c>
      <c r="I668" s="35">
        <v>0.71863430651050542</v>
      </c>
      <c r="J668" s="11">
        <v>-7.0143445644550134E-2</v>
      </c>
      <c r="K668" s="11">
        <v>-0.84041466096466455</v>
      </c>
      <c r="T668" s="47"/>
      <c r="U668" s="36"/>
    </row>
    <row r="669" spans="1:21" x14ac:dyDescent="0.3">
      <c r="A669" s="10">
        <f t="shared" ref="A669:A732" si="13">A668+1</f>
        <v>657</v>
      </c>
      <c r="B669" s="11">
        <v>0.71591401794493836</v>
      </c>
      <c r="C669" s="11">
        <v>1.1341816231265502</v>
      </c>
      <c r="D669" s="11">
        <v>1.6019356904016725E-2</v>
      </c>
      <c r="E669" s="11">
        <v>2.1998906527128142E-2</v>
      </c>
      <c r="F669" s="11">
        <v>6922.3212395031114</v>
      </c>
      <c r="G669" s="11">
        <v>7346.18649851584</v>
      </c>
      <c r="H669" s="35">
        <v>0.6922321239503112</v>
      </c>
      <c r="I669" s="35">
        <v>0.73461864985158398</v>
      </c>
      <c r="J669" s="11">
        <v>-5.9492159135927005E-3</v>
      </c>
      <c r="K669" s="11">
        <v>-0.75583914111835049</v>
      </c>
      <c r="T669" s="47"/>
      <c r="U669" s="36"/>
    </row>
    <row r="670" spans="1:21" x14ac:dyDescent="0.3">
      <c r="A670" s="10">
        <f t="shared" si="13"/>
        <v>658</v>
      </c>
      <c r="B670" s="11">
        <v>-1.1758444396188614</v>
      </c>
      <c r="C670" s="11">
        <v>-1.2221268004438774</v>
      </c>
      <c r="D670" s="11">
        <v>-2.6881692404414279E-2</v>
      </c>
      <c r="E670" s="11">
        <v>-2.4015471836908504E-2</v>
      </c>
      <c r="F670" s="11">
        <v>6738.7163900884871</v>
      </c>
      <c r="G670" s="11">
        <v>7171.8659369190045</v>
      </c>
      <c r="H670" s="35">
        <v>0.67387163900884872</v>
      </c>
      <c r="I670" s="35">
        <v>0.71718659369190041</v>
      </c>
      <c r="J670" s="11">
        <v>-0.11309059409069955</v>
      </c>
      <c r="K670" s="11">
        <v>-0.848074723164844</v>
      </c>
      <c r="T670" s="47"/>
      <c r="U670" s="36"/>
    </row>
    <row r="671" spans="1:21" x14ac:dyDescent="0.3">
      <c r="A671" s="10">
        <f t="shared" si="13"/>
        <v>659</v>
      </c>
      <c r="B671" s="11">
        <v>-0.31686066506475447</v>
      </c>
      <c r="C671" s="11">
        <v>0.59972854360210492</v>
      </c>
      <c r="D671" s="11">
        <v>-7.4017714240450878E-3</v>
      </c>
      <c r="E671" s="11">
        <v>1.1562018905346336E-2</v>
      </c>
      <c r="F671" s="11">
        <v>6689.0220914773099</v>
      </c>
      <c r="G671" s="11">
        <v>7255.2684078376187</v>
      </c>
      <c r="H671" s="35">
        <v>0.66890220914773102</v>
      </c>
      <c r="I671" s="35">
        <v>0.72552684078376184</v>
      </c>
      <c r="J671" s="11">
        <v>-0.14208936867492966</v>
      </c>
      <c r="K671" s="11">
        <v>-0.8039452448128549</v>
      </c>
      <c r="T671" s="47"/>
      <c r="U671" s="36"/>
    </row>
    <row r="672" spans="1:21" x14ac:dyDescent="0.3">
      <c r="A672" s="10">
        <f t="shared" si="13"/>
        <v>660</v>
      </c>
      <c r="B672" s="11">
        <v>0.1916582083105543</v>
      </c>
      <c r="C672" s="11">
        <v>0.62030885790196477</v>
      </c>
      <c r="D672" s="11">
        <v>4.1303526553875831E-3</v>
      </c>
      <c r="E672" s="11">
        <v>1.1963914667196394E-2</v>
      </c>
      <c r="F672" s="11">
        <v>6716.7072470039911</v>
      </c>
      <c r="G672" s="11">
        <v>7342.5911392324233</v>
      </c>
      <c r="H672" s="35">
        <v>0.67167072470039912</v>
      </c>
      <c r="I672" s="35">
        <v>0.73425911392324228</v>
      </c>
      <c r="J672" s="11">
        <v>-0.12593388189103913</v>
      </c>
      <c r="K672" s="11">
        <v>-0.75774149878135044</v>
      </c>
      <c r="T672" s="47"/>
      <c r="U672" s="36"/>
    </row>
    <row r="673" spans="1:21" x14ac:dyDescent="0.3">
      <c r="A673" s="10">
        <f t="shared" si="13"/>
        <v>661</v>
      </c>
      <c r="B673" s="11">
        <v>1.7304382609414708</v>
      </c>
      <c r="C673" s="11">
        <v>-0.8627726510830489</v>
      </c>
      <c r="D673" s="11">
        <v>3.9026604155572894E-2</v>
      </c>
      <c r="E673" s="11">
        <v>-1.699794491642153E-2</v>
      </c>
      <c r="F673" s="11">
        <v>6984.0197442301032</v>
      </c>
      <c r="G673" s="11">
        <v>7218.8369426906165</v>
      </c>
      <c r="H673" s="35">
        <v>0.69840197442301033</v>
      </c>
      <c r="I673" s="35">
        <v>0.72188369426906163</v>
      </c>
      <c r="J673" s="11">
        <v>3.0054532620241572E-2</v>
      </c>
      <c r="K673" s="11">
        <v>-0.82322167073679076</v>
      </c>
      <c r="T673" s="47"/>
      <c r="U673" s="36"/>
    </row>
    <row r="674" spans="1:21" x14ac:dyDescent="0.3">
      <c r="A674" s="10">
        <f t="shared" si="13"/>
        <v>662</v>
      </c>
      <c r="B674" s="11">
        <v>-1.2138837400490059</v>
      </c>
      <c r="C674" s="11">
        <v>-1.7320612478383346</v>
      </c>
      <c r="D674" s="11">
        <v>-2.774434265285743E-2</v>
      </c>
      <c r="E674" s="11">
        <v>-3.3973555578641207E-2</v>
      </c>
      <c r="F674" s="11">
        <v>6792.9159897049776</v>
      </c>
      <c r="G674" s="11">
        <v>6977.7066044030926</v>
      </c>
      <c r="H674" s="35">
        <v>0.67929159897049773</v>
      </c>
      <c r="I674" s="35">
        <v>0.69777066044030922</v>
      </c>
      <c r="J674" s="11">
        <v>-8.1462781328278833E-2</v>
      </c>
      <c r="K674" s="11">
        <v>-0.95080729171738199</v>
      </c>
      <c r="T674" s="47"/>
      <c r="U674" s="36"/>
    </row>
    <row r="675" spans="1:21" x14ac:dyDescent="0.3">
      <c r="A675" s="10">
        <f t="shared" si="13"/>
        <v>663</v>
      </c>
      <c r="B675" s="11">
        <v>-0.18415334235854522</v>
      </c>
      <c r="C675" s="11">
        <v>0.38139132537662784</v>
      </c>
      <c r="D675" s="11">
        <v>-4.3922522265780178E-3</v>
      </c>
      <c r="E675" s="11">
        <v>7.2982938047268615E-3</v>
      </c>
      <c r="F675" s="11">
        <v>6763.1452175555332</v>
      </c>
      <c r="G675" s="11">
        <v>7028.818244295614</v>
      </c>
      <c r="H675" s="35">
        <v>0.67631452175555329</v>
      </c>
      <c r="I675" s="35">
        <v>0.70288182442956137</v>
      </c>
      <c r="J675" s="11">
        <v>-9.8835315701186519E-2</v>
      </c>
      <c r="K675" s="11">
        <v>-0.92376336866176079</v>
      </c>
      <c r="T675" s="47"/>
      <c r="U675" s="36"/>
    </row>
    <row r="676" spans="1:21" x14ac:dyDescent="0.3">
      <c r="A676" s="10">
        <f t="shared" si="13"/>
        <v>664</v>
      </c>
      <c r="B676" s="11">
        <v>-1.276333482840424</v>
      </c>
      <c r="C676" s="11">
        <v>0.73545644699795842</v>
      </c>
      <c r="D676" s="11">
        <v>-2.916056970028064E-2</v>
      </c>
      <c r="E676" s="11">
        <v>1.4212535721795492E-2</v>
      </c>
      <c r="F676" s="11">
        <v>6568.7757848683495</v>
      </c>
      <c r="G676" s="11">
        <v>7129.4288469930752</v>
      </c>
      <c r="H676" s="35">
        <v>0.65687757848683492</v>
      </c>
      <c r="I676" s="35">
        <v>0.71294288469930756</v>
      </c>
      <c r="J676" s="11">
        <v>-0.21225829423362891</v>
      </c>
      <c r="K676" s="11">
        <v>-0.8705288138000622</v>
      </c>
      <c r="T676" s="47"/>
      <c r="U676" s="36"/>
    </row>
    <row r="677" spans="1:21" x14ac:dyDescent="0.3">
      <c r="A677" s="10">
        <f t="shared" si="13"/>
        <v>665</v>
      </c>
      <c r="B677" s="11">
        <v>-0.66249420470832188</v>
      </c>
      <c r="C677" s="11">
        <v>-1.0756050076290402</v>
      </c>
      <c r="D677" s="11">
        <v>-1.5240003343986775E-2</v>
      </c>
      <c r="E677" s="11">
        <v>-2.1154170172951105E-2</v>
      </c>
      <c r="F677" s="11">
        <v>6469.4265838958936</v>
      </c>
      <c r="G677" s="11">
        <v>6980.1957125855006</v>
      </c>
      <c r="H677" s="35">
        <v>0.64694265838958931</v>
      </c>
      <c r="I677" s="35">
        <v>0.69801957125855008</v>
      </c>
      <c r="J677" s="11">
        <v>-0.27023285398474761</v>
      </c>
      <c r="K677" s="11">
        <v>-0.94949026783977375</v>
      </c>
      <c r="T677" s="47"/>
      <c r="U677" s="36"/>
    </row>
    <row r="678" spans="1:21" x14ac:dyDescent="0.3">
      <c r="A678" s="10">
        <f t="shared" si="13"/>
        <v>666</v>
      </c>
      <c r="B678" s="11">
        <v>1.3685314111197087</v>
      </c>
      <c r="C678" s="11">
        <v>0.61406868333766007</v>
      </c>
      <c r="D678" s="11">
        <v>3.0819328249294186E-2</v>
      </c>
      <c r="E678" s="11">
        <v>1.1842055512177773E-2</v>
      </c>
      <c r="F678" s="11">
        <v>6671.9142044270384</v>
      </c>
      <c r="G678" s="11">
        <v>7063.346946746381</v>
      </c>
      <c r="H678" s="35">
        <v>0.66719142044270385</v>
      </c>
      <c r="I678" s="35">
        <v>0.70633469467463805</v>
      </c>
      <c r="J678" s="11">
        <v>-0.15207256139619105</v>
      </c>
      <c r="K678" s="11">
        <v>-0.90549372256446126</v>
      </c>
      <c r="T678" s="47"/>
      <c r="U678" s="36"/>
    </row>
    <row r="679" spans="1:21" x14ac:dyDescent="0.3">
      <c r="A679" s="10">
        <f t="shared" si="13"/>
        <v>667</v>
      </c>
      <c r="B679" s="11">
        <v>1.4026541674109338</v>
      </c>
      <c r="C679" s="11">
        <v>0.18115632654471811</v>
      </c>
      <c r="D679" s="11">
        <v>3.1593159625248293E-2</v>
      </c>
      <c r="E679" s="11">
        <v>3.3880718211323851E-3</v>
      </c>
      <c r="F679" s="11">
        <v>6886.0661102829254</v>
      </c>
      <c r="G679" s="11">
        <v>7087.3186595107964</v>
      </c>
      <c r="H679" s="35">
        <v>0.68860661102829257</v>
      </c>
      <c r="I679" s="35">
        <v>0.70873186595107962</v>
      </c>
      <c r="J679" s="11">
        <v>-2.7105653355328552E-2</v>
      </c>
      <c r="K679" s="11">
        <v>-0.89280993552738841</v>
      </c>
      <c r="T679" s="47"/>
      <c r="U679" s="36"/>
    </row>
    <row r="680" spans="1:21" x14ac:dyDescent="0.3">
      <c r="A680" s="10">
        <f t="shared" si="13"/>
        <v>668</v>
      </c>
      <c r="B680" s="11">
        <v>-2.5837796771237529</v>
      </c>
      <c r="C680" s="11">
        <v>-1.330350044615157</v>
      </c>
      <c r="D680" s="11">
        <v>-5.8810662408893724E-2</v>
      </c>
      <c r="E680" s="11">
        <v>-2.6128873145186748E-2</v>
      </c>
      <c r="F680" s="11">
        <v>6492.7703441521617</v>
      </c>
      <c r="G680" s="11">
        <v>6904.5333949268606</v>
      </c>
      <c r="H680" s="35">
        <v>0.64927703441521611</v>
      </c>
      <c r="I680" s="35">
        <v>0.69045333949268606</v>
      </c>
      <c r="J680" s="11">
        <v>-0.2566107592869955</v>
      </c>
      <c r="K680" s="11">
        <v>-0.98952431686017361</v>
      </c>
      <c r="T680" s="47"/>
      <c r="U680" s="36"/>
    </row>
    <row r="681" spans="1:21" x14ac:dyDescent="0.3">
      <c r="A681" s="10">
        <f t="shared" si="13"/>
        <v>669</v>
      </c>
      <c r="B681" s="11">
        <v>0.29780175122535135</v>
      </c>
      <c r="C681" s="11">
        <v>-3.4758444820883014E-2</v>
      </c>
      <c r="D681" s="11">
        <v>6.5374619510549957E-3</v>
      </c>
      <c r="E681" s="11">
        <v>-8.2834733886315401E-4</v>
      </c>
      <c r="F681" s="11">
        <v>6535.3556314127218</v>
      </c>
      <c r="G681" s="11">
        <v>6898.8164112141003</v>
      </c>
      <c r="H681" s="35">
        <v>0.65353556314127215</v>
      </c>
      <c r="I681" s="35">
        <v>0.68988164112141004</v>
      </c>
      <c r="J681" s="11">
        <v>-0.23176040058617034</v>
      </c>
      <c r="K681" s="11">
        <v>-0.99254925732311405</v>
      </c>
      <c r="T681" s="47"/>
      <c r="U681" s="36"/>
    </row>
    <row r="682" spans="1:21" x14ac:dyDescent="0.3">
      <c r="A682" s="10">
        <f t="shared" si="13"/>
        <v>670</v>
      </c>
      <c r="B682" s="11">
        <v>-0.73395510914339457</v>
      </c>
      <c r="C682" s="11">
        <v>-0.29649716165747009</v>
      </c>
      <c r="D682" s="11">
        <v>-1.6860584329120673E-2</v>
      </c>
      <c r="E682" s="11">
        <v>-5.9396240412511727E-3</v>
      </c>
      <c r="F682" s="11">
        <v>6426.0894509903719</v>
      </c>
      <c r="G682" s="11">
        <v>6857.9614869574916</v>
      </c>
      <c r="H682" s="35">
        <v>0.64260894509903721</v>
      </c>
      <c r="I682" s="35">
        <v>0.68579614869574912</v>
      </c>
      <c r="J682" s="11">
        <v>-0.29552194716799229</v>
      </c>
      <c r="K682" s="11">
        <v>-1.0141662007505274</v>
      </c>
      <c r="T682" s="47"/>
      <c r="U682" s="36"/>
    </row>
    <row r="683" spans="1:21" x14ac:dyDescent="0.3">
      <c r="A683" s="10">
        <f t="shared" si="13"/>
        <v>671</v>
      </c>
      <c r="B683" s="11">
        <v>-0.82793875090961166</v>
      </c>
      <c r="C683" s="11">
        <v>0.64501897446415113</v>
      </c>
      <c r="D683" s="11">
        <v>-1.8991932987020049E-2</v>
      </c>
      <c r="E683" s="11">
        <v>1.2446457886724934E-2</v>
      </c>
      <c r="F683" s="11">
        <v>6305.1972131405555</v>
      </c>
      <c r="G683" s="11">
        <v>6943.8522247129931</v>
      </c>
      <c r="H683" s="35">
        <v>0.63051972131405554</v>
      </c>
      <c r="I683" s="35">
        <v>0.6943852224712993</v>
      </c>
      <c r="J683" s="11">
        <v>-0.36606780156911378</v>
      </c>
      <c r="K683" s="11">
        <v>-0.96872014368926318</v>
      </c>
      <c r="T683" s="47"/>
      <c r="U683" s="36"/>
    </row>
    <row r="684" spans="1:21" x14ac:dyDescent="0.3">
      <c r="A684" s="10">
        <f t="shared" si="13"/>
        <v>672</v>
      </c>
      <c r="B684" s="11">
        <v>-0.15407303202766234</v>
      </c>
      <c r="C684" s="11">
        <v>0.73629582804374438</v>
      </c>
      <c r="D684" s="11">
        <v>-3.7100949080480488E-3</v>
      </c>
      <c r="E684" s="11">
        <v>1.422892729288442E-2</v>
      </c>
      <c r="F684" s="11">
        <v>6281.8476743518067</v>
      </c>
      <c r="G684" s="11">
        <v>7043.362073441207</v>
      </c>
      <c r="H684" s="35">
        <v>0.6281847674351807</v>
      </c>
      <c r="I684" s="35">
        <v>0.70433620734412072</v>
      </c>
      <c r="J684" s="11">
        <v>-0.37969326829073019</v>
      </c>
      <c r="K684" s="11">
        <v>-0.91606801399940585</v>
      </c>
      <c r="T684" s="47"/>
      <c r="U684" s="36"/>
    </row>
    <row r="685" spans="1:21" x14ac:dyDescent="0.3">
      <c r="A685" s="10">
        <f t="shared" si="13"/>
        <v>673</v>
      </c>
      <c r="B685" s="11">
        <v>-0.23818032959352553</v>
      </c>
      <c r="C685" s="11">
        <v>5.6238116897101023E-2</v>
      </c>
      <c r="D685" s="11">
        <v>-5.6174691320907523E-3</v>
      </c>
      <c r="E685" s="11">
        <v>9.4864848173196786E-4</v>
      </c>
      <c r="F685" s="11">
        <v>6246.6585184826617</v>
      </c>
      <c r="G685" s="11">
        <v>7050.0469184611784</v>
      </c>
      <c r="H685" s="35">
        <v>0.62466585184826617</v>
      </c>
      <c r="I685" s="35">
        <v>0.7050046918461178</v>
      </c>
      <c r="J685" s="11">
        <v>-0.40022766413446503</v>
      </c>
      <c r="K685" s="11">
        <v>-0.91253096383355292</v>
      </c>
      <c r="T685" s="47"/>
      <c r="U685" s="36"/>
    </row>
    <row r="686" spans="1:21" x14ac:dyDescent="0.3">
      <c r="A686" s="10">
        <f t="shared" si="13"/>
        <v>674</v>
      </c>
      <c r="B686" s="11">
        <v>-0.56872818135929537</v>
      </c>
      <c r="C686" s="11">
        <v>-1.5231077497209398</v>
      </c>
      <c r="D686" s="11">
        <v>-1.3113589807909633E-2</v>
      </c>
      <c r="E686" s="11">
        <v>-2.9893077307340133E-2</v>
      </c>
      <c r="F686" s="11">
        <v>6165.2771680586438</v>
      </c>
      <c r="G686" s="11">
        <v>6842.4181139856764</v>
      </c>
      <c r="H686" s="35">
        <v>0.61652771680586438</v>
      </c>
      <c r="I686" s="35">
        <v>0.68424181139856766</v>
      </c>
      <c r="J686" s="11">
        <v>-0.4477172052339653</v>
      </c>
      <c r="K686" s="11">
        <v>-1.0223904288042256</v>
      </c>
      <c r="T686" s="47"/>
      <c r="U686" s="36"/>
    </row>
    <row r="687" spans="1:21" x14ac:dyDescent="0.3">
      <c r="A687" s="10">
        <f t="shared" si="13"/>
        <v>675</v>
      </c>
      <c r="B687" s="11">
        <v>-0.61188475467857772</v>
      </c>
      <c r="C687" s="11">
        <v>1.469483221917155</v>
      </c>
      <c r="D687" s="11">
        <v>-1.4092288897400032E-2</v>
      </c>
      <c r="E687" s="11">
        <v>2.8546731284906993E-2</v>
      </c>
      <c r="F687" s="11">
        <v>6079.0036246917416</v>
      </c>
      <c r="G687" s="11">
        <v>7040.5615025933121</v>
      </c>
      <c r="H687" s="35">
        <v>0.60790036246917412</v>
      </c>
      <c r="I687" s="35">
        <v>0.70405615025933121</v>
      </c>
      <c r="J687" s="11">
        <v>-0.4980615527063913</v>
      </c>
      <c r="K687" s="11">
        <v>-0.91754983737039442</v>
      </c>
      <c r="T687" s="47"/>
      <c r="U687" s="36"/>
    </row>
    <row r="688" spans="1:21" x14ac:dyDescent="0.3">
      <c r="A688" s="10">
        <f t="shared" si="13"/>
        <v>676</v>
      </c>
      <c r="B688" s="11">
        <v>-0.47023844961008476</v>
      </c>
      <c r="C688" s="11">
        <v>-0.14511468044075837</v>
      </c>
      <c r="D688" s="11">
        <v>-1.0880052634465001E-2</v>
      </c>
      <c r="E688" s="11">
        <v>-2.9834020548961493E-3</v>
      </c>
      <c r="F688" s="11">
        <v>6013.2222466254516</v>
      </c>
      <c r="G688" s="11">
        <v>7019.5879787225231</v>
      </c>
      <c r="H688" s="35">
        <v>0.60132222466254515</v>
      </c>
      <c r="I688" s="35">
        <v>0.70195879787225235</v>
      </c>
      <c r="J688" s="11">
        <v>-0.53644783458773604</v>
      </c>
      <c r="K688" s="11">
        <v>-0.92864723841171459</v>
      </c>
      <c r="T688" s="47"/>
      <c r="U688" s="36"/>
    </row>
    <row r="689" spans="1:21" x14ac:dyDescent="0.3">
      <c r="A689" s="10">
        <f t="shared" si="13"/>
        <v>677</v>
      </c>
      <c r="B689" s="11">
        <v>1.1205299255080625</v>
      </c>
      <c r="C689" s="11">
        <v>-1.2639048689009995</v>
      </c>
      <c r="D689" s="11">
        <v>2.519518320041151E-2</v>
      </c>
      <c r="E689" s="11">
        <v>-2.483132082767505E-2</v>
      </c>
      <c r="F689" s="11">
        <v>6166.6512018001249</v>
      </c>
      <c r="G689" s="11">
        <v>6847.4286551928035</v>
      </c>
      <c r="H689" s="35">
        <v>0.61666512018001252</v>
      </c>
      <c r="I689" s="35">
        <v>0.68474286551928032</v>
      </c>
      <c r="J689" s="11">
        <v>-0.44691539706172206</v>
      </c>
      <c r="K689" s="11">
        <v>-1.01973927749784</v>
      </c>
      <c r="T689" s="47"/>
      <c r="U689" s="36"/>
    </row>
    <row r="690" spans="1:21" x14ac:dyDescent="0.3">
      <c r="A690" s="10">
        <f t="shared" si="13"/>
        <v>678</v>
      </c>
      <c r="B690" s="11">
        <v>-0.49276225847687766</v>
      </c>
      <c r="C690" s="11">
        <v>-0.17228563578662417</v>
      </c>
      <c r="D690" s="11">
        <v>-1.1390844607374878E-2</v>
      </c>
      <c r="E690" s="11">
        <v>-3.5140009388497824E-3</v>
      </c>
      <c r="F690" s="11">
        <v>6096.8063871310314</v>
      </c>
      <c r="G690" s="11">
        <v>6823.4090117112346</v>
      </c>
      <c r="H690" s="35">
        <v>0.60968063871310318</v>
      </c>
      <c r="I690" s="35">
        <v>0.68234090117112345</v>
      </c>
      <c r="J690" s="11">
        <v>-0.48767287011338556</v>
      </c>
      <c r="K690" s="11">
        <v>-1.0324484253847981</v>
      </c>
      <c r="T690" s="47"/>
      <c r="U690" s="36"/>
    </row>
    <row r="691" spans="1:21" x14ac:dyDescent="0.3">
      <c r="A691" s="10">
        <f t="shared" si="13"/>
        <v>679</v>
      </c>
      <c r="B691" s="11">
        <v>-0.67338594947178909</v>
      </c>
      <c r="C691" s="11">
        <v>-1.1734145126374569</v>
      </c>
      <c r="D691" s="11">
        <v>-1.548700489816727E-2</v>
      </c>
      <c r="E691" s="11">
        <v>-2.3064210270434083E-2</v>
      </c>
      <c r="F691" s="11">
        <v>6003.1125082092503</v>
      </c>
      <c r="G691" s="11">
        <v>6667.8334814489335</v>
      </c>
      <c r="H691" s="35">
        <v>0.60031125082092507</v>
      </c>
      <c r="I691" s="35">
        <v>0.66678334814489337</v>
      </c>
      <c r="J691" s="11">
        <v>-0.54234730462011937</v>
      </c>
      <c r="K691" s="11">
        <v>-1.1147657346826114</v>
      </c>
      <c r="T691" s="47"/>
      <c r="U691" s="36"/>
    </row>
    <row r="692" spans="1:21" x14ac:dyDescent="0.3">
      <c r="A692" s="10">
        <f t="shared" si="13"/>
        <v>680</v>
      </c>
      <c r="B692" s="11">
        <v>0.94614972873736025</v>
      </c>
      <c r="C692" s="11">
        <v>-0.93064873352109578</v>
      </c>
      <c r="D692" s="11">
        <v>2.1240612049870478E-2</v>
      </c>
      <c r="E692" s="11">
        <v>-1.8323440215733938E-2</v>
      </c>
      <c r="F692" s="11">
        <v>6131.9861241066064</v>
      </c>
      <c r="G692" s="11">
        <v>6546.7683850769581</v>
      </c>
      <c r="H692" s="35">
        <v>0.61319861241066065</v>
      </c>
      <c r="I692" s="35">
        <v>0.65467683850769576</v>
      </c>
      <c r="J692" s="11">
        <v>-0.46714397060180757</v>
      </c>
      <c r="K692" s="11">
        <v>-1.1788230640480917</v>
      </c>
      <c r="T692" s="47"/>
      <c r="U692" s="36"/>
    </row>
    <row r="693" spans="1:21" x14ac:dyDescent="0.3">
      <c r="A693" s="10">
        <f t="shared" si="13"/>
        <v>681</v>
      </c>
      <c r="B693" s="11">
        <v>0.37155810501479686</v>
      </c>
      <c r="C693" s="11">
        <v>0.58926882049956031</v>
      </c>
      <c r="D693" s="11">
        <v>8.210098834521588E-3</v>
      </c>
      <c r="E693" s="11">
        <v>1.1357759712615425E-2</v>
      </c>
      <c r="F693" s="11">
        <v>6182.5375684602204</v>
      </c>
      <c r="G693" s="11">
        <v>6621.5488728138143</v>
      </c>
      <c r="H693" s="35">
        <v>0.61825375684602202</v>
      </c>
      <c r="I693" s="35">
        <v>0.66215488728138139</v>
      </c>
      <c r="J693" s="11">
        <v>-0.43764501436967373</v>
      </c>
      <c r="K693" s="11">
        <v>-1.1392556042547839</v>
      </c>
      <c r="T693" s="47"/>
      <c r="U693" s="36"/>
    </row>
    <row r="694" spans="1:21" x14ac:dyDescent="0.3">
      <c r="A694" s="10">
        <f t="shared" si="13"/>
        <v>682</v>
      </c>
      <c r="B694" s="11">
        <v>-1.5309619604403764</v>
      </c>
      <c r="C694" s="11">
        <v>0.66843671456999021</v>
      </c>
      <c r="D694" s="11">
        <v>-3.4935000801233108E-2</v>
      </c>
      <c r="E694" s="11">
        <v>1.2903763366297076E-2</v>
      </c>
      <c r="F694" s="11">
        <v>5970.2798131137088</v>
      </c>
      <c r="G694" s="11">
        <v>6707.5454188776266</v>
      </c>
      <c r="H694" s="35">
        <v>0.59702798131137091</v>
      </c>
      <c r="I694" s="35">
        <v>0.67075454188776262</v>
      </c>
      <c r="J694" s="11">
        <v>-0.56150660358755111</v>
      </c>
      <c r="K694" s="11">
        <v>-1.0937535624559018</v>
      </c>
      <c r="T694" s="47"/>
      <c r="U694" s="36"/>
    </row>
    <row r="695" spans="1:21" x14ac:dyDescent="0.3">
      <c r="A695" s="10">
        <f t="shared" si="13"/>
        <v>683</v>
      </c>
      <c r="B695" s="11">
        <v>1.3783794292546194</v>
      </c>
      <c r="C695" s="11">
        <v>0.23076594235519499</v>
      </c>
      <c r="D695" s="11">
        <v>3.1042660308366995E-2</v>
      </c>
      <c r="E695" s="11">
        <v>4.3568565564255698E-3</v>
      </c>
      <c r="F695" s="11">
        <v>6158.5198001230156</v>
      </c>
      <c r="G695" s="11">
        <v>6736.8329866507001</v>
      </c>
      <c r="H695" s="35">
        <v>0.61585198001230157</v>
      </c>
      <c r="I695" s="35">
        <v>0.67368329866507004</v>
      </c>
      <c r="J695" s="11">
        <v>-0.45166042196152595</v>
      </c>
      <c r="K695" s="11">
        <v>-1.0782570780737371</v>
      </c>
      <c r="T695" s="47"/>
      <c r="U695" s="36"/>
    </row>
    <row r="696" spans="1:21" x14ac:dyDescent="0.3">
      <c r="A696" s="10">
        <f t="shared" si="13"/>
        <v>684</v>
      </c>
      <c r="B696" s="11">
        <v>1.3603768391784332</v>
      </c>
      <c r="C696" s="11">
        <v>0.14544607754057734</v>
      </c>
      <c r="D696" s="11">
        <v>3.0634399940110184E-2</v>
      </c>
      <c r="E696" s="11">
        <v>2.6907162064286707E-3</v>
      </c>
      <c r="F696" s="11">
        <v>6350.1018771585814</v>
      </c>
      <c r="G696" s="11">
        <v>6754.9843014150656</v>
      </c>
      <c r="H696" s="35">
        <v>0.63501018771585815</v>
      </c>
      <c r="I696" s="35">
        <v>0.67549843014150657</v>
      </c>
      <c r="J696" s="11">
        <v>-0.33986398612082741</v>
      </c>
      <c r="K696" s="11">
        <v>-1.0686529495253652</v>
      </c>
      <c r="T696" s="47"/>
      <c r="U696" s="36"/>
    </row>
    <row r="697" spans="1:21" x14ac:dyDescent="0.3">
      <c r="A697" s="10">
        <f t="shared" si="13"/>
        <v>685</v>
      </c>
      <c r="B697" s="11">
        <v>-0.63089388855900674</v>
      </c>
      <c r="C697" s="11">
        <v>-0.51676132871693903</v>
      </c>
      <c r="D697" s="11">
        <v>-1.4523375533568724E-2</v>
      </c>
      <c r="E697" s="11">
        <v>-1.0240978915566015E-2</v>
      </c>
      <c r="F697" s="11">
        <v>6258.5434410464759</v>
      </c>
      <c r="G697" s="11">
        <v>6686.1596669373439</v>
      </c>
      <c r="H697" s="35">
        <v>0.62585434410464758</v>
      </c>
      <c r="I697" s="35">
        <v>0.66861596669373435</v>
      </c>
      <c r="J697" s="11">
        <v>-0.3932922973014264</v>
      </c>
      <c r="K697" s="11">
        <v>-1.1050690794531217</v>
      </c>
      <c r="T697" s="47"/>
      <c r="U697" s="36"/>
    </row>
    <row r="698" spans="1:21" x14ac:dyDescent="0.3">
      <c r="A698" s="10">
        <f t="shared" si="13"/>
        <v>686</v>
      </c>
      <c r="B698" s="11">
        <v>-0.50086224970263249</v>
      </c>
      <c r="C698" s="11">
        <v>-0.57130435354819331</v>
      </c>
      <c r="D698" s="11">
        <v>-1.1574535142276184E-2</v>
      </c>
      <c r="E698" s="11">
        <v>-1.1306104073460849E-2</v>
      </c>
      <c r="F698" s="11">
        <v>6186.5213253673855</v>
      </c>
      <c r="G698" s="11">
        <v>6610.9909830925853</v>
      </c>
      <c r="H698" s="35">
        <v>0.61865213253673856</v>
      </c>
      <c r="I698" s="35">
        <v>0.6610990983092585</v>
      </c>
      <c r="J698" s="11">
        <v>-0.43532031975121971</v>
      </c>
      <c r="K698" s="11">
        <v>-1.1448419395367484</v>
      </c>
      <c r="T698" s="47"/>
      <c r="U698" s="36"/>
    </row>
    <row r="699" spans="1:21" x14ac:dyDescent="0.3">
      <c r="A699" s="10">
        <f t="shared" si="13"/>
        <v>687</v>
      </c>
      <c r="B699" s="11">
        <v>-0.91642228247405866</v>
      </c>
      <c r="C699" s="11">
        <v>1.2573208041239816</v>
      </c>
      <c r="D699" s="11">
        <v>-2.0998550869685138E-2</v>
      </c>
      <c r="E699" s="11">
        <v>2.440358870250638E-2</v>
      </c>
      <c r="F699" s="11">
        <v>6057.9677852915356</v>
      </c>
      <c r="G699" s="11">
        <v>6774.3075379951742</v>
      </c>
      <c r="H699" s="35">
        <v>0.60579677852915359</v>
      </c>
      <c r="I699" s="35">
        <v>0.67743075379951745</v>
      </c>
      <c r="J699" s="11">
        <v>-0.5103368756710952</v>
      </c>
      <c r="K699" s="11">
        <v>-1.0584287398471608</v>
      </c>
      <c r="T699" s="47"/>
      <c r="U699" s="36"/>
    </row>
    <row r="700" spans="1:21" x14ac:dyDescent="0.3">
      <c r="A700" s="10">
        <f t="shared" si="13"/>
        <v>688</v>
      </c>
      <c r="B700" s="11">
        <v>0.79954758831189809</v>
      </c>
      <c r="C700" s="11">
        <v>-0.23000860979949933</v>
      </c>
      <c r="D700" s="11">
        <v>1.7915988004994408E-2</v>
      </c>
      <c r="E700" s="11">
        <v>-4.6412246672703685E-3</v>
      </c>
      <c r="F700" s="11">
        <v>6167.4803470521092</v>
      </c>
      <c r="G700" s="11">
        <v>6742.9393045640254</v>
      </c>
      <c r="H700" s="35">
        <v>0.61674803470521089</v>
      </c>
      <c r="I700" s="35">
        <v>0.67429393045640251</v>
      </c>
      <c r="J700" s="11">
        <v>-0.44643155491218284</v>
      </c>
      <c r="K700" s="11">
        <v>-1.0750261351388519</v>
      </c>
      <c r="T700" s="47"/>
      <c r="U700" s="36"/>
    </row>
    <row r="701" spans="1:21" x14ac:dyDescent="0.3">
      <c r="A701" s="10">
        <f t="shared" si="13"/>
        <v>689</v>
      </c>
      <c r="B701" s="11">
        <v>0.37632901551171594</v>
      </c>
      <c r="C701" s="11">
        <v>0.45673399154783345</v>
      </c>
      <c r="D701" s="11">
        <v>8.3182929148261208E-3</v>
      </c>
      <c r="E701" s="11">
        <v>8.7695977789765366E-3</v>
      </c>
      <c r="F701" s="11">
        <v>6218.9972243083139</v>
      </c>
      <c r="G701" s="11">
        <v>6802.3322154447642</v>
      </c>
      <c r="H701" s="35">
        <v>0.62189972243083136</v>
      </c>
      <c r="I701" s="35">
        <v>0.68023322154447641</v>
      </c>
      <c r="J701" s="11">
        <v>-0.41636922678627342</v>
      </c>
      <c r="K701" s="11">
        <v>-1.043600469374935</v>
      </c>
      <c r="T701" s="47"/>
      <c r="U701" s="36"/>
    </row>
    <row r="702" spans="1:21" x14ac:dyDescent="0.3">
      <c r="A702" s="10">
        <f t="shared" si="13"/>
        <v>690</v>
      </c>
      <c r="B702" s="11">
        <v>-0.43766212859675396</v>
      </c>
      <c r="C702" s="11">
        <v>0.2440118201891327</v>
      </c>
      <c r="D702" s="11">
        <v>-1.0141291114202023E-2</v>
      </c>
      <c r="E702" s="11">
        <v>4.6155242369030946E-3</v>
      </c>
      <c r="F702" s="11">
        <v>6156.2472835229646</v>
      </c>
      <c r="G702" s="11">
        <v>6833.8011115135687</v>
      </c>
      <c r="H702" s="35">
        <v>0.61562472835229642</v>
      </c>
      <c r="I702" s="35">
        <v>0.68338011115135688</v>
      </c>
      <c r="J702" s="11">
        <v>-0.45298653377848552</v>
      </c>
      <c r="K702" s="11">
        <v>-1.0269498119959175</v>
      </c>
      <c r="T702" s="47"/>
      <c r="U702" s="36"/>
    </row>
    <row r="703" spans="1:21" x14ac:dyDescent="0.3">
      <c r="A703" s="10">
        <f t="shared" si="13"/>
        <v>691</v>
      </c>
      <c r="B703" s="11">
        <v>0.24009316747240639</v>
      </c>
      <c r="C703" s="11">
        <v>-1.2562596099016783</v>
      </c>
      <c r="D703" s="11">
        <v>5.2287542842775541E-3</v>
      </c>
      <c r="E703" s="11">
        <v>-2.4682022952759012E-2</v>
      </c>
      <c r="F703" s="11">
        <v>6188.5210902542558</v>
      </c>
      <c r="G703" s="11">
        <v>6667.1936384136879</v>
      </c>
      <c r="H703" s="35">
        <v>0.61885210902542553</v>
      </c>
      <c r="I703" s="35">
        <v>0.66671936384136876</v>
      </c>
      <c r="J703" s="11">
        <v>-0.43415337036675317</v>
      </c>
      <c r="K703" s="11">
        <v>-1.1151042850764012</v>
      </c>
      <c r="T703" s="47"/>
      <c r="U703" s="36"/>
    </row>
    <row r="704" spans="1:21" x14ac:dyDescent="0.3">
      <c r="A704" s="10">
        <f t="shared" si="13"/>
        <v>692</v>
      </c>
      <c r="B704" s="11">
        <v>-0.17236726149600179</v>
      </c>
      <c r="C704" s="11">
        <v>-0.43803275564371347</v>
      </c>
      <c r="D704" s="11">
        <v>-4.1249690360546957E-3</v>
      </c>
      <c r="E704" s="11">
        <v>-8.7035543945591914E-3</v>
      </c>
      <c r="F704" s="11">
        <v>6163.0462100460454</v>
      </c>
      <c r="G704" s="11">
        <v>6609.4171510455299</v>
      </c>
      <c r="H704" s="35">
        <v>0.61630462100460459</v>
      </c>
      <c r="I704" s="35">
        <v>0.66094171510455302</v>
      </c>
      <c r="J704" s="11">
        <v>-0.44901906581600948</v>
      </c>
      <c r="K704" s="11">
        <v>-1.1456746773020117</v>
      </c>
      <c r="T704" s="47"/>
      <c r="U704" s="36"/>
    </row>
    <row r="705" spans="1:21" x14ac:dyDescent="0.3">
      <c r="A705" s="10">
        <f t="shared" si="13"/>
        <v>693</v>
      </c>
      <c r="B705" s="11">
        <v>0.2630679180594343</v>
      </c>
      <c r="C705" s="11">
        <v>0.84390242957983908</v>
      </c>
      <c r="D705" s="11">
        <v>5.7497726541662205E-3</v>
      </c>
      <c r="E705" s="11">
        <v>1.633028670238279E-2</v>
      </c>
      <c r="F705" s="11">
        <v>6198.5843949454802</v>
      </c>
      <c r="G705" s="11">
        <v>6718.2369389132091</v>
      </c>
      <c r="H705" s="35">
        <v>0.619858439494548</v>
      </c>
      <c r="I705" s="35">
        <v>0.67182369389132091</v>
      </c>
      <c r="J705" s="11">
        <v>-0.42828099642308298</v>
      </c>
      <c r="K705" s="11">
        <v>-1.08809652140228</v>
      </c>
      <c r="T705" s="47"/>
      <c r="U705" s="36"/>
    </row>
    <row r="706" spans="1:21" x14ac:dyDescent="0.3">
      <c r="A706" s="10">
        <f t="shared" si="13"/>
        <v>694</v>
      </c>
      <c r="B706" s="11">
        <v>-0.17650009940310207</v>
      </c>
      <c r="C706" s="11">
        <v>-0.43249132463177453</v>
      </c>
      <c r="D706" s="11">
        <v>-4.2186929901500787E-3</v>
      </c>
      <c r="E706" s="11">
        <v>-8.5953404185317266E-3</v>
      </c>
      <c r="F706" s="11">
        <v>6172.4895521764256</v>
      </c>
      <c r="G706" s="11">
        <v>6660.7388671564113</v>
      </c>
      <c r="H706" s="35">
        <v>0.61724895521764256</v>
      </c>
      <c r="I706" s="35">
        <v>0.66607388671564116</v>
      </c>
      <c r="J706" s="11">
        <v>-0.44350846686574946</v>
      </c>
      <c r="K706" s="11">
        <v>-1.1185195998186106</v>
      </c>
      <c r="T706" s="47"/>
      <c r="U706" s="36"/>
    </row>
    <row r="707" spans="1:21" x14ac:dyDescent="0.3">
      <c r="A707" s="10">
        <f t="shared" si="13"/>
        <v>695</v>
      </c>
      <c r="B707" s="11">
        <v>1.0592162427443184</v>
      </c>
      <c r="C707" s="11">
        <v>0.14512598374745661</v>
      </c>
      <c r="D707" s="11">
        <v>2.38047195727683E-2</v>
      </c>
      <c r="E707" s="11">
        <v>2.6844653622007664E-3</v>
      </c>
      <c r="F707" s="11">
        <v>6321.1867609887131</v>
      </c>
      <c r="G707" s="11">
        <v>6678.6434112439656</v>
      </c>
      <c r="H707" s="35">
        <v>0.63211867609887129</v>
      </c>
      <c r="I707" s="35">
        <v>0.66786434112439652</v>
      </c>
      <c r="J707" s="11">
        <v>-0.35673720818695476</v>
      </c>
      <c r="K707" s="11">
        <v>-1.1090460412775816</v>
      </c>
      <c r="T707" s="47"/>
      <c r="U707" s="36"/>
    </row>
    <row r="708" spans="1:21" x14ac:dyDescent="0.3">
      <c r="A708" s="10">
        <f t="shared" si="13"/>
        <v>696</v>
      </c>
      <c r="B708" s="11">
        <v>-1.3503229091915179</v>
      </c>
      <c r="C708" s="11">
        <v>-1.1864626772762721</v>
      </c>
      <c r="D708" s="11">
        <v>-3.0838492172623411E-2</v>
      </c>
      <c r="E708" s="11">
        <v>-2.331901697512553E-2</v>
      </c>
      <c r="F708" s="11">
        <v>6129.225995668734</v>
      </c>
      <c r="G708" s="11">
        <v>6524.7058243417077</v>
      </c>
      <c r="H708" s="35">
        <v>0.61292259956687345</v>
      </c>
      <c r="I708" s="35">
        <v>0.65247058243417078</v>
      </c>
      <c r="J708" s="11">
        <v>-0.46875462503562193</v>
      </c>
      <c r="K708" s="11">
        <v>-1.1904966905681709</v>
      </c>
      <c r="T708" s="47"/>
      <c r="U708" s="36"/>
    </row>
    <row r="709" spans="1:21" x14ac:dyDescent="0.3">
      <c r="A709" s="10">
        <f t="shared" si="13"/>
        <v>697</v>
      </c>
      <c r="B709" s="11">
        <v>-0.42072971477089638</v>
      </c>
      <c r="C709" s="11">
        <v>0.24303841382757504</v>
      </c>
      <c r="D709" s="11">
        <v>-9.7573000620941579E-3</v>
      </c>
      <c r="E709" s="11">
        <v>4.5965153974088131E-3</v>
      </c>
      <c r="F709" s="11">
        <v>6069.7121180286067</v>
      </c>
      <c r="G709" s="11">
        <v>6554.7657676976914</v>
      </c>
      <c r="H709" s="35">
        <v>0.60697121180286062</v>
      </c>
      <c r="I709" s="35">
        <v>0.65547657676976911</v>
      </c>
      <c r="J709" s="11">
        <v>-0.50348354908831661</v>
      </c>
      <c r="K709" s="11">
        <v>-1.1745915308651167</v>
      </c>
      <c r="T709" s="47"/>
      <c r="U709" s="36"/>
    </row>
    <row r="710" spans="1:21" x14ac:dyDescent="0.3">
      <c r="A710" s="10">
        <f t="shared" si="13"/>
        <v>698</v>
      </c>
      <c r="B710" s="11">
        <v>-0.20040938961392646</v>
      </c>
      <c r="C710" s="11">
        <v>5.2533273666303455E-2</v>
      </c>
      <c r="D710" s="11">
        <v>-4.7609047266236135E-3</v>
      </c>
      <c r="E710" s="11">
        <v>8.7629969390094059E-4</v>
      </c>
      <c r="F710" s="11">
        <v>6040.8834765773054</v>
      </c>
      <c r="G710" s="11">
        <v>6560.5122243749056</v>
      </c>
      <c r="H710" s="35">
        <v>0.60408834765773056</v>
      </c>
      <c r="I710" s="35">
        <v>0.65605122243749059</v>
      </c>
      <c r="J710" s="11">
        <v>-0.5203063094125332</v>
      </c>
      <c r="K710" s="11">
        <v>-1.1715509958216739</v>
      </c>
      <c r="T710" s="47"/>
      <c r="U710" s="36"/>
    </row>
    <row r="711" spans="1:21" x14ac:dyDescent="0.3">
      <c r="A711" s="10">
        <f t="shared" si="13"/>
        <v>699</v>
      </c>
      <c r="B711" s="11">
        <v>-0.53787850405981918</v>
      </c>
      <c r="C711" s="11">
        <v>0.35348846390666855</v>
      </c>
      <c r="D711" s="11">
        <v>-1.2413984886529559E-2</v>
      </c>
      <c r="E711" s="11">
        <v>6.7534021376281584E-3</v>
      </c>
      <c r="F711" s="11">
        <v>5966.3555915205507</v>
      </c>
      <c r="G711" s="11">
        <v>6604.9679463760467</v>
      </c>
      <c r="H711" s="35">
        <v>0.59663555915205502</v>
      </c>
      <c r="I711" s="35">
        <v>0.66049679463760469</v>
      </c>
      <c r="J711" s="11">
        <v>-0.5637965567729043</v>
      </c>
      <c r="K711" s="11">
        <v>-1.1480288171612145</v>
      </c>
      <c r="T711" s="47"/>
      <c r="U711" s="36"/>
    </row>
    <row r="712" spans="1:21" x14ac:dyDescent="0.3">
      <c r="A712" s="10">
        <f t="shared" si="13"/>
        <v>700</v>
      </c>
      <c r="B712" s="11">
        <v>0.73527127871265197</v>
      </c>
      <c r="C712" s="11">
        <v>-0.52315137856739269</v>
      </c>
      <c r="D712" s="11">
        <v>1.6458338315914988E-2</v>
      </c>
      <c r="E712" s="11">
        <v>-1.0365764859817867E-2</v>
      </c>
      <c r="F712" s="11">
        <v>6065.3644157984327</v>
      </c>
      <c r="G712" s="11">
        <v>6536.8560276831031</v>
      </c>
      <c r="H712" s="35">
        <v>0.60653644157984332</v>
      </c>
      <c r="I712" s="35">
        <v>0.65368560276831034</v>
      </c>
      <c r="J712" s="11">
        <v>-0.50602062155851368</v>
      </c>
      <c r="K712" s="11">
        <v>-1.1840678386478292</v>
      </c>
      <c r="T712" s="47"/>
      <c r="U712" s="36"/>
    </row>
    <row r="713" spans="1:21" x14ac:dyDescent="0.3">
      <c r="A713" s="10">
        <f t="shared" si="13"/>
        <v>701</v>
      </c>
      <c r="B713" s="11">
        <v>1.5433333137272829</v>
      </c>
      <c r="C713" s="11">
        <v>-0.2519500198217014</v>
      </c>
      <c r="D713" s="11">
        <v>3.4783462789299106E-2</v>
      </c>
      <c r="E713" s="11">
        <v>-5.0697001302032864E-3</v>
      </c>
      <c r="F713" s="11">
        <v>6280.0509181026209</v>
      </c>
      <c r="G713" s="11">
        <v>6503.7999907259746</v>
      </c>
      <c r="H713" s="35">
        <v>0.62800509181026209</v>
      </c>
      <c r="I713" s="35">
        <v>0.65037999907259747</v>
      </c>
      <c r="J713" s="11">
        <v>-0.38074175334654359</v>
      </c>
      <c r="K713" s="11">
        <v>-1.2015582756964585</v>
      </c>
      <c r="T713" s="47"/>
      <c r="U713" s="36"/>
    </row>
    <row r="714" spans="1:21" x14ac:dyDescent="0.3">
      <c r="A714" s="10">
        <f t="shared" si="13"/>
        <v>702</v>
      </c>
      <c r="B714" s="11">
        <v>-1.1110610381208739</v>
      </c>
      <c r="C714" s="11">
        <v>-0.96922145194577658</v>
      </c>
      <c r="D714" s="11">
        <v>-2.5412542951998355E-2</v>
      </c>
      <c r="E714" s="11">
        <v>-1.9076694603983025E-2</v>
      </c>
      <c r="F714" s="11">
        <v>6122.4696057150877</v>
      </c>
      <c r="G714" s="11">
        <v>6380.9049273119062</v>
      </c>
      <c r="H714" s="35">
        <v>0.61224696057150874</v>
      </c>
      <c r="I714" s="35">
        <v>0.63809049273119067</v>
      </c>
      <c r="J714" s="11">
        <v>-0.47269727106835774</v>
      </c>
      <c r="K714" s="11">
        <v>-1.2665838676335321</v>
      </c>
      <c r="T714" s="47"/>
      <c r="U714" s="36"/>
    </row>
    <row r="715" spans="1:21" x14ac:dyDescent="0.3">
      <c r="A715" s="10">
        <f t="shared" si="13"/>
        <v>703</v>
      </c>
      <c r="B715" s="11">
        <v>-0.2787665338558129</v>
      </c>
      <c r="C715" s="11">
        <v>0.23247600248135378</v>
      </c>
      <c r="D715" s="11">
        <v>-6.5378777304171704E-3</v>
      </c>
      <c r="E715" s="11">
        <v>4.3902508917694509E-3</v>
      </c>
      <c r="F715" s="11">
        <v>6082.5722122786519</v>
      </c>
      <c r="G715" s="11">
        <v>6408.980284696333</v>
      </c>
      <c r="H715" s="35">
        <v>0.60825722122786519</v>
      </c>
      <c r="I715" s="35">
        <v>0.64089802846963329</v>
      </c>
      <c r="J715" s="11">
        <v>-0.49597912735964095</v>
      </c>
      <c r="K715" s="11">
        <v>-1.2517287816597675</v>
      </c>
      <c r="T715" s="47"/>
      <c r="U715" s="36"/>
    </row>
    <row r="716" spans="1:21" x14ac:dyDescent="0.3">
      <c r="A716" s="10">
        <f t="shared" si="13"/>
        <v>704</v>
      </c>
      <c r="B716" s="11">
        <v>0.67079120824354643</v>
      </c>
      <c r="C716" s="11">
        <v>-0.19618552084039353</v>
      </c>
      <c r="D716" s="11">
        <v>1.499606776464779E-2</v>
      </c>
      <c r="E716" s="11">
        <v>-3.9807218242484494E-3</v>
      </c>
      <c r="F716" s="11">
        <v>6174.4742396189731</v>
      </c>
      <c r="G716" s="11">
        <v>6383.5186285135069</v>
      </c>
      <c r="H716" s="35">
        <v>0.61744742396189733</v>
      </c>
      <c r="I716" s="35">
        <v>0.6383518628513507</v>
      </c>
      <c r="J716" s="11">
        <v>-0.44235031582277162</v>
      </c>
      <c r="K716" s="11">
        <v>-1.2652009197505232</v>
      </c>
      <c r="T716" s="47"/>
      <c r="U716" s="36"/>
    </row>
    <row r="717" spans="1:21" x14ac:dyDescent="0.3">
      <c r="A717" s="10">
        <f t="shared" si="13"/>
        <v>705</v>
      </c>
      <c r="B717" s="11">
        <v>1.235122079299805</v>
      </c>
      <c r="C717" s="11">
        <v>-1.720982986174886</v>
      </c>
      <c r="D717" s="11">
        <v>2.7793888981544806E-2</v>
      </c>
      <c r="E717" s="11">
        <v>-3.3757217463181222E-2</v>
      </c>
      <c r="F717" s="11">
        <v>6348.494032167946</v>
      </c>
      <c r="G717" s="11">
        <v>6171.6253866380657</v>
      </c>
      <c r="H717" s="35">
        <v>0.63484940321679462</v>
      </c>
      <c r="I717" s="35">
        <v>0.61716253866380655</v>
      </c>
      <c r="J717" s="11">
        <v>-0.3408022332790101</v>
      </c>
      <c r="K717" s="11">
        <v>-1.377316761490988</v>
      </c>
      <c r="T717" s="47"/>
      <c r="U717" s="36"/>
    </row>
    <row r="718" spans="1:21" x14ac:dyDescent="0.3">
      <c r="A718" s="10">
        <f t="shared" si="13"/>
        <v>706</v>
      </c>
      <c r="B718" s="11">
        <v>1.3671728425463063</v>
      </c>
      <c r="C718" s="11">
        <v>0.95732409644758443</v>
      </c>
      <c r="D718" s="11">
        <v>3.0788518810000613E-2</v>
      </c>
      <c r="E718" s="11">
        <v>1.8545203663900056E-2</v>
      </c>
      <c r="F718" s="11">
        <v>6546.9948530137199</v>
      </c>
      <c r="G718" s="11">
        <v>6287.147314325317</v>
      </c>
      <c r="H718" s="35">
        <v>0.65469948530137201</v>
      </c>
      <c r="I718" s="35">
        <v>0.62871473143253165</v>
      </c>
      <c r="J718" s="11">
        <v>-0.22496841090171729</v>
      </c>
      <c r="K718" s="11">
        <v>-1.3161924044916702</v>
      </c>
      <c r="T718" s="47"/>
      <c r="U718" s="36"/>
    </row>
    <row r="719" spans="1:21" x14ac:dyDescent="0.3">
      <c r="A719" s="10">
        <f t="shared" si="13"/>
        <v>707</v>
      </c>
      <c r="B719" s="11">
        <v>-0.65691867343557497</v>
      </c>
      <c r="C719" s="11">
        <v>-6.1639147808034075E-2</v>
      </c>
      <c r="D719" s="11">
        <v>-1.5113562179631761E-2</v>
      </c>
      <c r="E719" s="11">
        <v>-1.353278127027053E-3</v>
      </c>
      <c r="F719" s="11">
        <v>6448.7904179431998</v>
      </c>
      <c r="G719" s="11">
        <v>6278.6448098077344</v>
      </c>
      <c r="H719" s="35">
        <v>0.64487904179431998</v>
      </c>
      <c r="I719" s="35">
        <v>0.62786448098077341</v>
      </c>
      <c r="J719" s="11">
        <v>-0.282274950190334</v>
      </c>
      <c r="K719" s="11">
        <v>-1.3206912051256765</v>
      </c>
      <c r="T719" s="47"/>
      <c r="U719" s="36"/>
    </row>
    <row r="720" spans="1:21" x14ac:dyDescent="0.3">
      <c r="A720" s="10">
        <f t="shared" si="13"/>
        <v>708</v>
      </c>
      <c r="B720" s="11">
        <v>-1.478094516637894</v>
      </c>
      <c r="C720" s="11">
        <v>1.0450903715628852</v>
      </c>
      <c r="D720" s="11">
        <v>-3.3736079869064101E-2</v>
      </c>
      <c r="E720" s="11">
        <v>2.0259117916533495E-2</v>
      </c>
      <c r="F720" s="11">
        <v>6234.8623459280616</v>
      </c>
      <c r="G720" s="11">
        <v>6407.1418386861751</v>
      </c>
      <c r="H720" s="35">
        <v>0.62348623459280617</v>
      </c>
      <c r="I720" s="35">
        <v>0.64071418386861756</v>
      </c>
      <c r="J720" s="11">
        <v>-0.40711124149499939</v>
      </c>
      <c r="K720" s="11">
        <v>-1.2527015305785103</v>
      </c>
      <c r="T720" s="47"/>
      <c r="U720" s="36"/>
    </row>
    <row r="721" spans="1:21" x14ac:dyDescent="0.3">
      <c r="A721" s="10">
        <f t="shared" si="13"/>
        <v>709</v>
      </c>
      <c r="B721" s="11">
        <v>0.17499613178698276</v>
      </c>
      <c r="C721" s="11">
        <v>-1.5027103487844846</v>
      </c>
      <c r="D721" s="11">
        <v>3.7524922770393143E-3</v>
      </c>
      <c r="E721" s="11">
        <v>-2.9494753507728698E-2</v>
      </c>
      <c r="F721" s="11">
        <v>6258.3025708555351</v>
      </c>
      <c r="G721" s="11">
        <v>6220.9244865538049</v>
      </c>
      <c r="H721" s="35">
        <v>0.62583025708555351</v>
      </c>
      <c r="I721" s="35">
        <v>0.62209244865538049</v>
      </c>
      <c r="J721" s="11">
        <v>-0.39343285548549101</v>
      </c>
      <c r="K721" s="11">
        <v>-1.3512318800894874</v>
      </c>
      <c r="T721" s="47"/>
      <c r="U721" s="36"/>
    </row>
    <row r="722" spans="1:21" x14ac:dyDescent="0.3">
      <c r="A722" s="10">
        <f t="shared" si="13"/>
        <v>710</v>
      </c>
      <c r="B722" s="11">
        <v>-1.1492483444970629</v>
      </c>
      <c r="C722" s="11">
        <v>0.54581324412941323</v>
      </c>
      <c r="D722" s="11">
        <v>-2.6278549659805445E-2</v>
      </c>
      <c r="E722" s="11">
        <v>1.0509152071475923E-2</v>
      </c>
      <c r="F722" s="11">
        <v>6095.9855249635839</v>
      </c>
      <c r="G722" s="11">
        <v>6286.6458611008211</v>
      </c>
      <c r="H722" s="35">
        <v>0.60959855249635841</v>
      </c>
      <c r="I722" s="35">
        <v>0.62866458611008214</v>
      </c>
      <c r="J722" s="11">
        <v>-0.48815187872450982</v>
      </c>
      <c r="K722" s="11">
        <v>-1.3164577307940111</v>
      </c>
      <c r="T722" s="47"/>
      <c r="U722" s="36"/>
    </row>
    <row r="723" spans="1:21" x14ac:dyDescent="0.3">
      <c r="A723" s="10">
        <f t="shared" si="13"/>
        <v>711</v>
      </c>
      <c r="B723" s="11">
        <v>-1.0455174553793516</v>
      </c>
      <c r="C723" s="11">
        <v>-1.469539457684141</v>
      </c>
      <c r="D723" s="11">
        <v>-2.3926154209396186E-2</v>
      </c>
      <c r="E723" s="11">
        <v>-2.8846986891739326E-2</v>
      </c>
      <c r="F723" s="11">
        <v>5951.8630587181979</v>
      </c>
      <c r="G723" s="11">
        <v>6107.8858108386394</v>
      </c>
      <c r="H723" s="35">
        <v>0.59518630587181975</v>
      </c>
      <c r="I723" s="35">
        <v>0.61078858108386391</v>
      </c>
      <c r="J723" s="11">
        <v>-0.57225357706769253</v>
      </c>
      <c r="K723" s="11">
        <v>-1.411042311818514</v>
      </c>
      <c r="T723" s="47"/>
      <c r="U723" s="36"/>
    </row>
    <row r="724" spans="1:21" x14ac:dyDescent="0.3">
      <c r="A724" s="10">
        <f t="shared" si="13"/>
        <v>712</v>
      </c>
      <c r="B724" s="11">
        <v>-1.7666216790356688</v>
      </c>
      <c r="C724" s="11">
        <v>-0.64162742852773258</v>
      </c>
      <c r="D724" s="11">
        <v>-4.0279260882135459E-2</v>
      </c>
      <c r="E724" s="11">
        <v>-1.2679384645504064E-2</v>
      </c>
      <c r="F724" s="11">
        <v>5716.8904432877316</v>
      </c>
      <c r="G724" s="11">
        <v>6030.9304813693416</v>
      </c>
      <c r="H724" s="35">
        <v>0.57168904432877321</v>
      </c>
      <c r="I724" s="35">
        <v>0.60309304813693421</v>
      </c>
      <c r="J724" s="11">
        <v>-0.7093702705066961</v>
      </c>
      <c r="K724" s="11">
        <v>-1.4517605124722988</v>
      </c>
      <c r="T724" s="47"/>
      <c r="U724" s="36"/>
    </row>
    <row r="725" spans="1:21" x14ac:dyDescent="0.3">
      <c r="A725" s="10">
        <f t="shared" si="13"/>
        <v>713</v>
      </c>
      <c r="B725" s="11">
        <v>0.63209865881868954</v>
      </c>
      <c r="C725" s="11">
        <v>0.42839191361222567</v>
      </c>
      <c r="D725" s="11">
        <v>1.4118603221482819E-2</v>
      </c>
      <c r="E725" s="11">
        <v>8.2161290205124173E-3</v>
      </c>
      <c r="F725" s="11">
        <v>5798.1774302011654</v>
      </c>
      <c r="G725" s="11">
        <v>6080.6855012579499</v>
      </c>
      <c r="H725" s="35">
        <v>0.57981774302011657</v>
      </c>
      <c r="I725" s="35">
        <v>0.60806855012579497</v>
      </c>
      <c r="J725" s="11">
        <v>-0.66193579460076701</v>
      </c>
      <c r="K725" s="11">
        <v>-1.4254343970839465</v>
      </c>
      <c r="T725" s="47"/>
      <c r="U725" s="36"/>
    </row>
    <row r="726" spans="1:21" x14ac:dyDescent="0.3">
      <c r="A726" s="10">
        <f t="shared" si="13"/>
        <v>714</v>
      </c>
      <c r="B726" s="11">
        <v>0.3684993498527957</v>
      </c>
      <c r="C726" s="11">
        <v>1.4099259219582037</v>
      </c>
      <c r="D726" s="11">
        <v>8.1407327875493863E-3</v>
      </c>
      <c r="E726" s="11">
        <v>2.7383686537777053E-2</v>
      </c>
      <c r="F726" s="11">
        <v>5845.5714927753343</v>
      </c>
      <c r="G726" s="11">
        <v>6249.4978909796118</v>
      </c>
      <c r="H726" s="35">
        <v>0.58455714927753344</v>
      </c>
      <c r="I726" s="35">
        <v>0.62494978909796117</v>
      </c>
      <c r="J726" s="11">
        <v>-0.63427930732497917</v>
      </c>
      <c r="K726" s="11">
        <v>-1.3361132700751424</v>
      </c>
      <c r="T726" s="47"/>
      <c r="U726" s="36"/>
    </row>
    <row r="727" spans="1:21" x14ac:dyDescent="0.3">
      <c r="A727" s="10">
        <f t="shared" si="13"/>
        <v>715</v>
      </c>
      <c r="B727" s="11">
        <v>1.7992528788566522</v>
      </c>
      <c r="C727" s="11">
        <v>-0.79907012498774033</v>
      </c>
      <c r="D727" s="11">
        <v>4.0587173003311466E-2</v>
      </c>
      <c r="E727" s="11">
        <v>-1.5753951511664754E-2</v>
      </c>
      <c r="F727" s="11">
        <v>6087.7072791282671</v>
      </c>
      <c r="G727" s="11">
        <v>6151.8150697396131</v>
      </c>
      <c r="H727" s="35">
        <v>0.60877072791282671</v>
      </c>
      <c r="I727" s="35">
        <v>0.61518150697396135</v>
      </c>
      <c r="J727" s="11">
        <v>-0.49298259354774304</v>
      </c>
      <c r="K727" s="11">
        <v>-1.3877986925547499</v>
      </c>
      <c r="T727" s="47"/>
      <c r="U727" s="36"/>
    </row>
    <row r="728" spans="1:21" x14ac:dyDescent="0.3">
      <c r="A728" s="10">
        <f t="shared" si="13"/>
        <v>716</v>
      </c>
      <c r="B728" s="11">
        <v>0.60810421381639923</v>
      </c>
      <c r="C728" s="11">
        <v>2.1862182591296273</v>
      </c>
      <c r="D728" s="11">
        <v>1.3574460355856445E-2</v>
      </c>
      <c r="E728" s="11">
        <v>4.2543250950648807E-2</v>
      </c>
      <c r="F728" s="11">
        <v>6170.9080454133464</v>
      </c>
      <c r="G728" s="11">
        <v>6419.180249252121</v>
      </c>
      <c r="H728" s="35">
        <v>0.61709080454133469</v>
      </c>
      <c r="I728" s="35">
        <v>0.64191802492521211</v>
      </c>
      <c r="J728" s="11">
        <v>-0.44443134452792971</v>
      </c>
      <c r="K728" s="11">
        <v>-1.246331829865678</v>
      </c>
      <c r="T728" s="47"/>
      <c r="U728" s="36"/>
    </row>
    <row r="729" spans="1:21" x14ac:dyDescent="0.3">
      <c r="A729" s="10">
        <f t="shared" si="13"/>
        <v>717</v>
      </c>
      <c r="B729" s="11">
        <v>-1.6743286653087812</v>
      </c>
      <c r="C729" s="11">
        <v>-0.66840628817045289</v>
      </c>
      <c r="D729" s="11">
        <v>-3.8186252064392474E-2</v>
      </c>
      <c r="E729" s="11">
        <v>-1.320232662009092E-2</v>
      </c>
      <c r="F729" s="11">
        <v>5939.7066467141021</v>
      </c>
      <c r="G729" s="11">
        <v>6334.9891172624393</v>
      </c>
      <c r="H729" s="35">
        <v>0.59397066467141024</v>
      </c>
      <c r="I729" s="35">
        <v>0.63349891172624395</v>
      </c>
      <c r="J729" s="11">
        <v>-0.5793473697423418</v>
      </c>
      <c r="K729" s="11">
        <v>-1.2908786004307082</v>
      </c>
      <c r="T729" s="47"/>
      <c r="U729" s="36"/>
    </row>
    <row r="730" spans="1:21" x14ac:dyDescent="0.3">
      <c r="A730" s="10">
        <f t="shared" si="13"/>
        <v>718</v>
      </c>
      <c r="B730" s="11">
        <v>-0.35085369283449219</v>
      </c>
      <c r="C730" s="11">
        <v>-1.1814600672953708</v>
      </c>
      <c r="D730" s="11">
        <v>-8.1726608336637058E-3</v>
      </c>
      <c r="E730" s="11">
        <v>-2.322132518479526E-2</v>
      </c>
      <c r="F730" s="11">
        <v>5891.3612631421111</v>
      </c>
      <c r="G730" s="11">
        <v>6189.5771384996888</v>
      </c>
      <c r="H730" s="35">
        <v>0.58913612631421108</v>
      </c>
      <c r="I730" s="35">
        <v>0.61895771384996889</v>
      </c>
      <c r="J730" s="11">
        <v>-0.60755899400454605</v>
      </c>
      <c r="K730" s="11">
        <v>-1.3678182246199304</v>
      </c>
      <c r="T730" s="47"/>
      <c r="U730" s="36"/>
    </row>
    <row r="731" spans="1:21" x14ac:dyDescent="0.3">
      <c r="A731" s="10">
        <f t="shared" si="13"/>
        <v>719</v>
      </c>
      <c r="B731" s="11">
        <v>0.64819447681183628</v>
      </c>
      <c r="C731" s="11">
        <v>-1.0973413962797165</v>
      </c>
      <c r="D731" s="11">
        <v>1.4483622063408747E-2</v>
      </c>
      <c r="E731" s="11">
        <v>-2.1578641944827396E-2</v>
      </c>
      <c r="F731" s="11">
        <v>5977.3104383053596</v>
      </c>
      <c r="G731" s="11">
        <v>6057.4452105149476</v>
      </c>
      <c r="H731" s="35">
        <v>0.59773104383053599</v>
      </c>
      <c r="I731" s="35">
        <v>0.60574452105149479</v>
      </c>
      <c r="J731" s="11">
        <v>-0.55740392942136341</v>
      </c>
      <c r="K731" s="11">
        <v>-1.4377311779339772</v>
      </c>
      <c r="T731" s="47"/>
      <c r="U731" s="36"/>
    </row>
    <row r="732" spans="1:21" x14ac:dyDescent="0.3">
      <c r="A732" s="10">
        <f t="shared" si="13"/>
        <v>720</v>
      </c>
      <c r="B732" s="11">
        <v>-5.6541548500100493E-2</v>
      </c>
      <c r="C732" s="11">
        <v>-0.36189859732566387</v>
      </c>
      <c r="D732" s="11">
        <v>-1.4982887616498668E-3</v>
      </c>
      <c r="E732" s="11">
        <v>-7.2167940315139194E-3</v>
      </c>
      <c r="F732" s="11">
        <v>5968.361407041356</v>
      </c>
      <c r="G732" s="11">
        <v>6013.887239574944</v>
      </c>
      <c r="H732" s="35">
        <v>0.5968361407041356</v>
      </c>
      <c r="I732" s="35">
        <v>0.60138872395749443</v>
      </c>
      <c r="J732" s="11">
        <v>-0.56262607658159525</v>
      </c>
      <c r="K732" s="11">
        <v>-1.4607783432575221</v>
      </c>
      <c r="T732" s="47"/>
      <c r="U732" s="36"/>
    </row>
    <row r="733" spans="1:21" x14ac:dyDescent="0.3">
      <c r="A733" s="10">
        <f t="shared" ref="A733:A768" si="14">A732+1</f>
        <v>721</v>
      </c>
      <c r="B733" s="11">
        <v>0.11796289951197655</v>
      </c>
      <c r="C733" s="11">
        <v>-0.19069316773420578</v>
      </c>
      <c r="D733" s="11">
        <v>2.4591001421891802E-3</v>
      </c>
      <c r="E733" s="11">
        <v>-3.8734662496348058E-3</v>
      </c>
      <c r="F733" s="11">
        <v>5983.0562660858341</v>
      </c>
      <c r="G733" s="11">
        <v>5990.6377075313421</v>
      </c>
      <c r="H733" s="35">
        <v>0.59830562660858344</v>
      </c>
      <c r="I733" s="35">
        <v>0.59906377075313422</v>
      </c>
      <c r="J733" s="11">
        <v>-0.55405099016550463</v>
      </c>
      <c r="K733" s="11">
        <v>-1.473080013816098</v>
      </c>
      <c r="T733" s="47"/>
      <c r="U733" s="36"/>
    </row>
    <row r="734" spans="1:21" x14ac:dyDescent="0.3">
      <c r="A734" s="10">
        <f t="shared" si="14"/>
        <v>722</v>
      </c>
      <c r="B734" s="11">
        <v>0.49930225561699287</v>
      </c>
      <c r="C734" s="11">
        <v>0.42225993821581348</v>
      </c>
      <c r="D734" s="11">
        <v>1.110706386826381E-2</v>
      </c>
      <c r="E734" s="11">
        <v>8.0963827966365424E-3</v>
      </c>
      <c r="F734" s="11">
        <v>6049.8808797930133</v>
      </c>
      <c r="G734" s="11">
        <v>6039.337081970406</v>
      </c>
      <c r="H734" s="35">
        <v>0.60498808797930137</v>
      </c>
      <c r="I734" s="35">
        <v>0.60393370819704062</v>
      </c>
      <c r="J734" s="11">
        <v>-0.51505593512438386</v>
      </c>
      <c r="K734" s="11">
        <v>-1.4473124560160278</v>
      </c>
      <c r="T734" s="47"/>
      <c r="U734" s="36"/>
    </row>
    <row r="735" spans="1:21" x14ac:dyDescent="0.3">
      <c r="A735" s="10">
        <f t="shared" si="14"/>
        <v>723</v>
      </c>
      <c r="B735" s="11">
        <v>-0.99942731492068648</v>
      </c>
      <c r="C735" s="11">
        <v>-0.28339571575029188</v>
      </c>
      <c r="D735" s="11">
        <v>-2.2880928070433348E-2</v>
      </c>
      <c r="E735" s="11">
        <v>-5.6837768511896212E-3</v>
      </c>
      <c r="F735" s="11">
        <v>5913.0256485763894</v>
      </c>
      <c r="G735" s="11">
        <v>6005.1082044660243</v>
      </c>
      <c r="H735" s="35">
        <v>0.59130256485763899</v>
      </c>
      <c r="I735" s="35">
        <v>0.60051082044660242</v>
      </c>
      <c r="J735" s="11">
        <v>-0.59491688721821112</v>
      </c>
      <c r="K735" s="11">
        <v>-1.4654234603088918</v>
      </c>
      <c r="T735" s="47"/>
      <c r="U735" s="36"/>
    </row>
    <row r="736" spans="1:21" x14ac:dyDescent="0.3">
      <c r="A736" s="10">
        <f t="shared" si="14"/>
        <v>724</v>
      </c>
      <c r="B736" s="11">
        <v>-0.28011968065729081</v>
      </c>
      <c r="C736" s="11">
        <v>0.32228561616241952</v>
      </c>
      <c r="D736" s="11">
        <v>-6.568564215480654E-3</v>
      </c>
      <c r="E736" s="11">
        <v>6.1440677959193092E-3</v>
      </c>
      <c r="F736" s="11">
        <v>5874.3128428629852</v>
      </c>
      <c r="G736" s="11">
        <v>6042.1175740099698</v>
      </c>
      <c r="H736" s="35">
        <v>0.58743128428629854</v>
      </c>
      <c r="I736" s="35">
        <v>0.60421175740099697</v>
      </c>
      <c r="J736" s="11">
        <v>-0.61750748529043353</v>
      </c>
      <c r="K736" s="11">
        <v>-1.445841256638883</v>
      </c>
      <c r="T736" s="47"/>
      <c r="U736" s="36"/>
    </row>
    <row r="737" spans="1:21" x14ac:dyDescent="0.3">
      <c r="A737" s="10">
        <f t="shared" si="14"/>
        <v>725</v>
      </c>
      <c r="B737" s="11">
        <v>-0.94578419980726414</v>
      </c>
      <c r="C737" s="11">
        <v>0.3466387160148548</v>
      </c>
      <c r="D737" s="11">
        <v>-2.1664416566368271E-2</v>
      </c>
      <c r="E737" s="11">
        <v>6.6196391344324271E-3</v>
      </c>
      <c r="F737" s="11">
        <v>5748.4179263458973</v>
      </c>
      <c r="G737" s="11">
        <v>6082.2468862029418</v>
      </c>
      <c r="H737" s="35">
        <v>0.57484179263458968</v>
      </c>
      <c r="I737" s="35">
        <v>0.60822468862029422</v>
      </c>
      <c r="J737" s="11">
        <v>-0.6909726192677621</v>
      </c>
      <c r="K737" s="11">
        <v>-1.4246082452640996</v>
      </c>
      <c r="T737" s="47"/>
      <c r="U737" s="36"/>
    </row>
    <row r="738" spans="1:21" x14ac:dyDescent="0.3">
      <c r="A738" s="10">
        <f t="shared" si="14"/>
        <v>726</v>
      </c>
      <c r="B738" s="11">
        <v>-1.6148732632384266</v>
      </c>
      <c r="C738" s="11">
        <v>0.38039536036303823</v>
      </c>
      <c r="D738" s="11">
        <v>-3.6837930281728076E-2</v>
      </c>
      <c r="E738" s="11">
        <v>7.2788444361661818E-3</v>
      </c>
      <c r="F738" s="11">
        <v>5540.5110479356099</v>
      </c>
      <c r="G738" s="11">
        <v>6126.680130267202</v>
      </c>
      <c r="H738" s="35">
        <v>0.55405110479356101</v>
      </c>
      <c r="I738" s="35">
        <v>0.61266801302672025</v>
      </c>
      <c r="J738" s="11">
        <v>-0.81229528343702395</v>
      </c>
      <c r="K738" s="11">
        <v>-1.4010979600118099</v>
      </c>
      <c r="T738" s="47"/>
      <c r="U738" s="36"/>
    </row>
    <row r="739" spans="1:21" x14ac:dyDescent="0.3">
      <c r="A739" s="10">
        <f t="shared" si="14"/>
        <v>727</v>
      </c>
      <c r="B739" s="11">
        <v>-1.8180444097940947</v>
      </c>
      <c r="C739" s="11">
        <v>-1.3390066153468398</v>
      </c>
      <c r="D739" s="11">
        <v>-4.1445418802043686E-2</v>
      </c>
      <c r="E739" s="11">
        <v>-2.6297920081911241E-2</v>
      </c>
      <c r="F739" s="11">
        <v>5315.5757138617109</v>
      </c>
      <c r="G739" s="11">
        <v>5967.6612827295749</v>
      </c>
      <c r="H739" s="35">
        <v>0.5315575713861711</v>
      </c>
      <c r="I739" s="35">
        <v>0.5967661282729575</v>
      </c>
      <c r="J739" s="11">
        <v>-0.94355478867472109</v>
      </c>
      <c r="K739" s="11">
        <v>-1.4852371793020598</v>
      </c>
      <c r="T739" s="47"/>
      <c r="U739" s="36"/>
    </row>
    <row r="740" spans="1:21" x14ac:dyDescent="0.3">
      <c r="A740" s="10">
        <f t="shared" si="14"/>
        <v>728</v>
      </c>
      <c r="B740" s="11">
        <v>0.97323870176173621</v>
      </c>
      <c r="C740" s="11">
        <v>-0.71503871512747741</v>
      </c>
      <c r="D740" s="11">
        <v>2.1854932214681645E-2</v>
      </c>
      <c r="E740" s="11">
        <v>-1.4112972321888495E-2</v>
      </c>
      <c r="F740" s="11">
        <v>5433.0260201539622</v>
      </c>
      <c r="G740" s="11">
        <v>5884.0313656571398</v>
      </c>
      <c r="H740" s="35">
        <v>0.54330260201539626</v>
      </c>
      <c r="I740" s="35">
        <v>0.58840313656571397</v>
      </c>
      <c r="J740" s="11">
        <v>-0.87501745034408762</v>
      </c>
      <c r="K740" s="11">
        <v>-1.5294870027710548</v>
      </c>
      <c r="T740" s="47"/>
      <c r="U740" s="36"/>
    </row>
    <row r="741" spans="1:21" x14ac:dyDescent="0.3">
      <c r="A741" s="10">
        <f t="shared" si="14"/>
        <v>729</v>
      </c>
      <c r="B741" s="11">
        <v>-0.67692506837775401</v>
      </c>
      <c r="C741" s="11">
        <v>0.1409596297008468</v>
      </c>
      <c r="D741" s="11">
        <v>-1.5567264570899872E-2</v>
      </c>
      <c r="E741" s="11">
        <v>2.6031041152682682E-3</v>
      </c>
      <c r="F741" s="11">
        <v>5349.1035828747827</v>
      </c>
      <c r="G741" s="11">
        <v>5899.3680647714245</v>
      </c>
      <c r="H741" s="35">
        <v>0.53491035828747824</v>
      </c>
      <c r="I741" s="35">
        <v>0.58993680647714242</v>
      </c>
      <c r="J741" s="11">
        <v>-0.92398982563123466</v>
      </c>
      <c r="K741" s="11">
        <v>-1.521372128905804</v>
      </c>
      <c r="T741" s="47"/>
      <c r="U741" s="36"/>
    </row>
    <row r="742" spans="1:21" x14ac:dyDescent="0.3">
      <c r="A742" s="10">
        <f t="shared" si="14"/>
        <v>730</v>
      </c>
      <c r="B742" s="11">
        <v>-0.28284617687859209</v>
      </c>
      <c r="C742" s="11">
        <v>2.2224234779215326</v>
      </c>
      <c r="D742" s="11">
        <v>-6.6303953379274012E-3</v>
      </c>
      <c r="E742" s="11">
        <v>4.325027241676023E-2</v>
      </c>
      <c r="F742" s="11">
        <v>5313.7542310083809</v>
      </c>
      <c r="G742" s="11">
        <v>6160.1153925459575</v>
      </c>
      <c r="H742" s="35">
        <v>0.53137542310083807</v>
      </c>
      <c r="I742" s="35">
        <v>0.61601153925459573</v>
      </c>
      <c r="J742" s="11">
        <v>-0.9446177027745063</v>
      </c>
      <c r="K742" s="11">
        <v>-1.3834068692482853</v>
      </c>
      <c r="T742" s="47"/>
      <c r="U742" s="36"/>
    </row>
    <row r="743" spans="1:21" x14ac:dyDescent="0.3">
      <c r="A743" s="10">
        <f t="shared" si="14"/>
        <v>731</v>
      </c>
      <c r="B743" s="11">
        <v>0.94726251878421008</v>
      </c>
      <c r="C743" s="11">
        <v>-0.34399659504555835</v>
      </c>
      <c r="D743" s="11">
        <v>2.1265847756088131E-2</v>
      </c>
      <c r="E743" s="11">
        <v>-6.8672007872040662E-3</v>
      </c>
      <c r="F743" s="11">
        <v>5427.9658184271038</v>
      </c>
      <c r="G743" s="11">
        <v>6117.9575620909281</v>
      </c>
      <c r="H743" s="35">
        <v>0.5427965818427104</v>
      </c>
      <c r="I743" s="35">
        <v>0.61179575620909277</v>
      </c>
      <c r="J743" s="11">
        <v>-0.87797029711582764</v>
      </c>
      <c r="K743" s="11">
        <v>-1.405713199575686</v>
      </c>
      <c r="T743" s="47"/>
      <c r="U743" s="36"/>
    </row>
    <row r="744" spans="1:21" x14ac:dyDescent="0.3">
      <c r="A744" s="10">
        <f t="shared" si="14"/>
        <v>732</v>
      </c>
      <c r="B744" s="11">
        <v>1.6255618910167597</v>
      </c>
      <c r="C744" s="11">
        <v>-0.81495585265162973</v>
      </c>
      <c r="D744" s="11">
        <v>3.6648231642190041E-2</v>
      </c>
      <c r="E744" s="11">
        <v>-1.6064170613715342E-2</v>
      </c>
      <c r="F744" s="11">
        <v>5630.5812384064666</v>
      </c>
      <c r="G744" s="11">
        <v>6020.4628306018212</v>
      </c>
      <c r="H744" s="35">
        <v>0.56305812384064668</v>
      </c>
      <c r="I744" s="35">
        <v>0.60204628306018215</v>
      </c>
      <c r="J744" s="11">
        <v>-0.7597354280165961</v>
      </c>
      <c r="K744" s="11">
        <v>-1.4572991009919629</v>
      </c>
      <c r="T744" s="47"/>
      <c r="U744" s="36"/>
    </row>
    <row r="745" spans="1:21" x14ac:dyDescent="0.3">
      <c r="A745" s="10">
        <f t="shared" si="14"/>
        <v>733</v>
      </c>
      <c r="B745" s="11">
        <v>2.6142542512487958</v>
      </c>
      <c r="C745" s="11">
        <v>-2.4909424712011599</v>
      </c>
      <c r="D745" s="11">
        <v>5.9069666856391076E-2</v>
      </c>
      <c r="E745" s="11">
        <v>-4.8793112897995816E-2</v>
      </c>
      <c r="F745" s="11">
        <v>5973.1972880602716</v>
      </c>
      <c r="G745" s="11">
        <v>5733.7572170640751</v>
      </c>
      <c r="H745" s="35">
        <v>0.59731972880602713</v>
      </c>
      <c r="I745" s="35">
        <v>0.57337572170640749</v>
      </c>
      <c r="J745" s="11">
        <v>-0.55980413065413726</v>
      </c>
      <c r="K745" s="11">
        <v>-1.608999272781285</v>
      </c>
      <c r="T745" s="47"/>
      <c r="U745" s="36"/>
    </row>
    <row r="746" spans="1:21" x14ac:dyDescent="0.3">
      <c r="A746" s="10">
        <f t="shared" si="14"/>
        <v>734</v>
      </c>
      <c r="B746" s="11">
        <v>0.39402332447092775</v>
      </c>
      <c r="C746" s="11">
        <v>-1.1165500605926324</v>
      </c>
      <c r="D746" s="11">
        <v>8.7195621244879774E-3</v>
      </c>
      <c r="E746" s="11">
        <v>-2.1953751900179921E-2</v>
      </c>
      <c r="F746" s="11">
        <v>6025.5086877056319</v>
      </c>
      <c r="G746" s="11">
        <v>5609.2514189681897</v>
      </c>
      <c r="H746" s="35">
        <v>0.60255086877056319</v>
      </c>
      <c r="I746" s="35">
        <v>0.56092514189681897</v>
      </c>
      <c r="J746" s="11">
        <v>-0.52927816431802743</v>
      </c>
      <c r="K746" s="11">
        <v>-1.6748771282123431</v>
      </c>
      <c r="T746" s="47"/>
      <c r="U746" s="36"/>
    </row>
    <row r="747" spans="1:21" x14ac:dyDescent="0.3">
      <c r="A747" s="10">
        <f t="shared" si="14"/>
        <v>735</v>
      </c>
      <c r="B747" s="11">
        <v>-1.08010385622417</v>
      </c>
      <c r="C747" s="11">
        <v>0.55757674614003561</v>
      </c>
      <c r="D747" s="11">
        <v>-2.4710500055512046E-2</v>
      </c>
      <c r="E747" s="11">
        <v>1.073887167311563E-2</v>
      </c>
      <c r="F747" s="11">
        <v>5878.4399098468157</v>
      </c>
      <c r="G747" s="11">
        <v>5669.813049917133</v>
      </c>
      <c r="H747" s="35">
        <v>0.58784399098468154</v>
      </c>
      <c r="I747" s="35">
        <v>0.56698130499171329</v>
      </c>
      <c r="J747" s="11">
        <v>-0.61509916303812595</v>
      </c>
      <c r="K747" s="11">
        <v>-1.6428330754104727</v>
      </c>
      <c r="T747" s="47"/>
      <c r="U747" s="36"/>
    </row>
    <row r="748" spans="1:21" x14ac:dyDescent="0.3">
      <c r="A748" s="10">
        <f t="shared" si="14"/>
        <v>736</v>
      </c>
      <c r="B748" s="11">
        <v>-1.1256377671017852</v>
      </c>
      <c r="C748" s="11">
        <v>0.73352444975651077</v>
      </c>
      <c r="D748" s="11">
        <v>-2.5743112093246465E-2</v>
      </c>
      <c r="E748" s="11">
        <v>1.4174807361969174E-2</v>
      </c>
      <c r="F748" s="11">
        <v>5729.0418088606775</v>
      </c>
      <c r="G748" s="11">
        <v>5750.7538626428423</v>
      </c>
      <c r="H748" s="35">
        <v>0.57290418088606776</v>
      </c>
      <c r="I748" s="35">
        <v>0.57507538626428423</v>
      </c>
      <c r="J748" s="11">
        <v>-0.70227942264309073</v>
      </c>
      <c r="K748" s="11">
        <v>-1.6000060967414942</v>
      </c>
      <c r="T748" s="47"/>
      <c r="U748" s="36"/>
    </row>
    <row r="749" spans="1:21" x14ac:dyDescent="0.3">
      <c r="A749" s="10">
        <f t="shared" si="14"/>
        <v>737</v>
      </c>
      <c r="B749" s="11">
        <v>-2.0760238462032659</v>
      </c>
      <c r="C749" s="11">
        <v>6.2288451722005644E-2</v>
      </c>
      <c r="D749" s="11">
        <v>-4.7295842505820279E-2</v>
      </c>
      <c r="E749" s="11">
        <v>1.0668004151025644E-3</v>
      </c>
      <c r="F749" s="11">
        <v>5464.3897521923527</v>
      </c>
      <c r="G749" s="11">
        <v>5756.8920427750827</v>
      </c>
      <c r="H749" s="35">
        <v>0.54643897521923523</v>
      </c>
      <c r="I749" s="35">
        <v>0.57568920427750825</v>
      </c>
      <c r="J749" s="11">
        <v>-0.85671535491423245</v>
      </c>
      <c r="K749" s="11">
        <v>-1.5967582950363068</v>
      </c>
      <c r="T749" s="47"/>
      <c r="U749" s="36"/>
    </row>
    <row r="750" spans="1:21" x14ac:dyDescent="0.3">
      <c r="A750" s="10">
        <f t="shared" si="14"/>
        <v>738</v>
      </c>
      <c r="B750" s="11">
        <v>-0.47309523789993185</v>
      </c>
      <c r="C750" s="11">
        <v>-0.89561158161586663</v>
      </c>
      <c r="D750" s="11">
        <v>-1.0944838503293261E-2</v>
      </c>
      <c r="E750" s="11">
        <v>-1.7639228951861055E-2</v>
      </c>
      <c r="F750" s="11">
        <v>5404.9089862870314</v>
      </c>
      <c r="G750" s="11">
        <v>5656.2352697825545</v>
      </c>
      <c r="H750" s="35">
        <v>0.54049089862870314</v>
      </c>
      <c r="I750" s="35">
        <v>0.56562352697825546</v>
      </c>
      <c r="J750" s="11">
        <v>-0.89142495683620859</v>
      </c>
      <c r="K750" s="11">
        <v>-1.6500172792825814</v>
      </c>
      <c r="T750" s="47"/>
      <c r="U750" s="36"/>
    </row>
    <row r="751" spans="1:21" x14ac:dyDescent="0.3">
      <c r="A751" s="10">
        <f t="shared" si="14"/>
        <v>739</v>
      </c>
      <c r="B751" s="11">
        <v>-0.80415833638884759</v>
      </c>
      <c r="C751" s="11">
        <v>-1.0861839694544775</v>
      </c>
      <c r="D751" s="11">
        <v>-1.8452643876483155E-2</v>
      </c>
      <c r="E751" s="11">
        <v>-2.1360757879070137E-2</v>
      </c>
      <c r="F751" s="11">
        <v>5306.0886775714107</v>
      </c>
      <c r="G751" s="11">
        <v>5536.6950775311298</v>
      </c>
      <c r="H751" s="35">
        <v>0.53060886775714111</v>
      </c>
      <c r="I751" s="35">
        <v>0.55366950775311297</v>
      </c>
      <c r="J751" s="11">
        <v>-0.94909088505888362</v>
      </c>
      <c r="K751" s="11">
        <v>-1.7132677593708698</v>
      </c>
      <c r="T751" s="47"/>
      <c r="U751" s="36"/>
    </row>
    <row r="752" spans="1:21" x14ac:dyDescent="0.3">
      <c r="A752" s="10">
        <f t="shared" si="14"/>
        <v>740</v>
      </c>
      <c r="B752" s="11">
        <v>0.12017871505547387</v>
      </c>
      <c r="C752" s="11">
        <v>-1.1273331601817647</v>
      </c>
      <c r="D752" s="11">
        <v>2.5093501154401974E-3</v>
      </c>
      <c r="E752" s="11">
        <v>-2.2164326042116558E-2</v>
      </c>
      <c r="F752" s="11">
        <v>5319.4202315797529</v>
      </c>
      <c r="G752" s="11">
        <v>5415.3279415243505</v>
      </c>
      <c r="H752" s="35">
        <v>0.53194202315797534</v>
      </c>
      <c r="I752" s="35">
        <v>0.54153279415243505</v>
      </c>
      <c r="J752" s="11">
        <v>-0.94131134615100465</v>
      </c>
      <c r="K752" s="11">
        <v>-1.7774849023651156</v>
      </c>
      <c r="T752" s="47"/>
      <c r="U752" s="36"/>
    </row>
    <row r="753" spans="1:21" x14ac:dyDescent="0.3">
      <c r="A753" s="10">
        <f t="shared" si="14"/>
        <v>741</v>
      </c>
      <c r="B753" s="11">
        <v>0.90781832758247838</v>
      </c>
      <c r="C753" s="11">
        <v>-0.16221962811949059</v>
      </c>
      <c r="D753" s="11">
        <v>2.0371337579637869E-2</v>
      </c>
      <c r="E753" s="11">
        <v>-3.3174302858836745E-3</v>
      </c>
      <c r="F753" s="11">
        <v>5428.8952269836018</v>
      </c>
      <c r="G753" s="11">
        <v>5397.3927344512995</v>
      </c>
      <c r="H753" s="35">
        <v>0.54288952269836022</v>
      </c>
      <c r="I753" s="35">
        <v>0.53973927344512995</v>
      </c>
      <c r="J753" s="11">
        <v>-0.877427946987548</v>
      </c>
      <c r="K753" s="11">
        <v>-1.7869746851443451</v>
      </c>
      <c r="T753" s="47"/>
      <c r="U753" s="36"/>
    </row>
    <row r="754" spans="1:21" x14ac:dyDescent="0.3">
      <c r="A754" s="10">
        <f t="shared" si="14"/>
        <v>742</v>
      </c>
      <c r="B754" s="11">
        <v>1.1265204881815947</v>
      </c>
      <c r="C754" s="11">
        <v>-0.55671768815918976</v>
      </c>
      <c r="D754" s="11">
        <v>2.533103639224733E-2</v>
      </c>
      <c r="E754" s="11">
        <v>-1.1021253273130489E-2</v>
      </c>
      <c r="F754" s="11">
        <v>5568.1713262558242</v>
      </c>
      <c r="G754" s="11">
        <v>5338.2333064604027</v>
      </c>
      <c r="H754" s="35">
        <v>0.55681713262558241</v>
      </c>
      <c r="I754" s="35">
        <v>0.53382333064604026</v>
      </c>
      <c r="J754" s="11">
        <v>-0.79615431358008049</v>
      </c>
      <c r="K754" s="11">
        <v>-1.8182768116651276</v>
      </c>
      <c r="T754" s="47"/>
      <c r="U754" s="36"/>
    </row>
    <row r="755" spans="1:21" x14ac:dyDescent="0.3">
      <c r="A755" s="10">
        <f t="shared" si="14"/>
        <v>743</v>
      </c>
      <c r="B755" s="11">
        <v>-0.19828882475004808</v>
      </c>
      <c r="C755" s="11">
        <v>1.3082935918496708</v>
      </c>
      <c r="D755" s="11">
        <v>-4.712814835748153E-3</v>
      </c>
      <c r="E755" s="11">
        <v>2.5398993683118196E-2</v>
      </c>
      <c r="F755" s="11">
        <v>5541.9913050737705</v>
      </c>
      <c r="G755" s="11">
        <v>5475.555602312651</v>
      </c>
      <c r="H755" s="35">
        <v>0.55419913050737701</v>
      </c>
      <c r="I755" s="35">
        <v>0.54755556023126506</v>
      </c>
      <c r="J755" s="11">
        <v>-0.81143148931423981</v>
      </c>
      <c r="K755" s="11">
        <v>-1.7456175581045146</v>
      </c>
      <c r="T755" s="47"/>
      <c r="U755" s="36"/>
    </row>
    <row r="756" spans="1:21" x14ac:dyDescent="0.3">
      <c r="A756" s="10">
        <f t="shared" si="14"/>
        <v>744</v>
      </c>
      <c r="B756" s="11">
        <v>0.34011963385386079</v>
      </c>
      <c r="C756" s="11">
        <v>-0.38315970860619519</v>
      </c>
      <c r="D756" s="11">
        <v>7.4971413234480502E-3</v>
      </c>
      <c r="E756" s="11">
        <v>-7.6319845087519751E-3</v>
      </c>
      <c r="F756" s="11">
        <v>5583.6965367650955</v>
      </c>
      <c r="G756" s="11">
        <v>5433.9253097234841</v>
      </c>
      <c r="H756" s="35">
        <v>0.55836965367650959</v>
      </c>
      <c r="I756" s="35">
        <v>0.54339253097234841</v>
      </c>
      <c r="J756" s="11">
        <v>-0.78709468113705772</v>
      </c>
      <c r="K756" s="11">
        <v>-1.7676447603608281</v>
      </c>
      <c r="T756" s="47"/>
      <c r="U756" s="36"/>
    </row>
    <row r="757" spans="1:21" x14ac:dyDescent="0.3">
      <c r="A757" s="10">
        <f t="shared" si="14"/>
        <v>745</v>
      </c>
      <c r="B757" s="11">
        <v>-0.57723578153617394</v>
      </c>
      <c r="C757" s="11">
        <v>-0.84781797466894138</v>
      </c>
      <c r="D757" s="11">
        <v>-1.330652404495526E-2</v>
      </c>
      <c r="E757" s="11">
        <v>-1.6705907536277643E-2</v>
      </c>
      <c r="F757" s="11">
        <v>5509.8890938435034</v>
      </c>
      <c r="G757" s="11">
        <v>5343.9007208859903</v>
      </c>
      <c r="H757" s="35">
        <v>0.5509889093843503</v>
      </c>
      <c r="I757" s="35">
        <v>0.53439007208859901</v>
      </c>
      <c r="J757" s="11">
        <v>-0.83016451932248458</v>
      </c>
      <c r="K757" s="11">
        <v>-1.8152780990436541</v>
      </c>
      <c r="T757" s="47"/>
      <c r="U757" s="36"/>
    </row>
    <row r="758" spans="1:21" x14ac:dyDescent="0.3">
      <c r="A758" s="10">
        <f t="shared" si="14"/>
        <v>746</v>
      </c>
      <c r="B758" s="11">
        <v>-0.49153589469155662</v>
      </c>
      <c r="C758" s="11">
        <v>0.70634320662503192</v>
      </c>
      <c r="D758" s="11">
        <v>-1.136303329086469E-2</v>
      </c>
      <c r="E758" s="11">
        <v>1.364400757644638E-2</v>
      </c>
      <c r="F758" s="11">
        <v>5447.634411506433</v>
      </c>
      <c r="G758" s="11">
        <v>5417.3126202115727</v>
      </c>
      <c r="H758" s="35">
        <v>0.54476344115064335</v>
      </c>
      <c r="I758" s="35">
        <v>0.54173126202115729</v>
      </c>
      <c r="J758" s="11">
        <v>-0.86649282156960605</v>
      </c>
      <c r="K758" s="11">
        <v>-1.7764347795785991</v>
      </c>
      <c r="T758" s="47"/>
      <c r="U758" s="36"/>
    </row>
    <row r="759" spans="1:21" x14ac:dyDescent="0.3">
      <c r="A759" s="10">
        <f t="shared" si="14"/>
        <v>747</v>
      </c>
      <c r="B759" s="11">
        <v>0.82140067302698128</v>
      </c>
      <c r="C759" s="11">
        <v>-6.4879650567474773E-2</v>
      </c>
      <c r="D759" s="11">
        <v>1.8411569383872152E-2</v>
      </c>
      <c r="E759" s="11">
        <v>-1.4165591977778288E-3</v>
      </c>
      <c r="F759" s="11">
        <v>5548.862938909112</v>
      </c>
      <c r="G759" s="11">
        <v>5409.6441089246009</v>
      </c>
      <c r="H759" s="35">
        <v>0.55488629389091115</v>
      </c>
      <c r="I759" s="35">
        <v>0.54096441089246006</v>
      </c>
      <c r="J759" s="11">
        <v>-0.80742159348744535</v>
      </c>
      <c r="K759" s="11">
        <v>-1.7804923020848642</v>
      </c>
      <c r="T759" s="47"/>
      <c r="U759" s="36"/>
    </row>
    <row r="760" spans="1:21" x14ac:dyDescent="0.3">
      <c r="A760" s="10">
        <f t="shared" si="14"/>
        <v>748</v>
      </c>
      <c r="B760" s="11">
        <v>0.21156311680807163</v>
      </c>
      <c r="C760" s="11">
        <v>-0.37991446130673717</v>
      </c>
      <c r="D760" s="11">
        <v>4.5817535504212442E-3</v>
      </c>
      <c r="E760" s="11">
        <v>-7.5686107858435542E-3</v>
      </c>
      <c r="F760" s="11">
        <v>5574.3447925898172</v>
      </c>
      <c r="G760" s="11">
        <v>5368.8551706853341</v>
      </c>
      <c r="H760" s="35">
        <v>0.55743447925898171</v>
      </c>
      <c r="I760" s="35">
        <v>0.53688551706853338</v>
      </c>
      <c r="J760" s="11">
        <v>-0.79255182871509577</v>
      </c>
      <c r="K760" s="11">
        <v>-1.8020743313365732</v>
      </c>
      <c r="T760" s="47"/>
      <c r="U760" s="36"/>
    </row>
    <row r="761" spans="1:21" x14ac:dyDescent="0.3">
      <c r="A761" s="10">
        <f t="shared" si="14"/>
        <v>749</v>
      </c>
      <c r="B761" s="11">
        <v>-0.87656075263164923</v>
      </c>
      <c r="C761" s="11">
        <v>-0.89228205275881467</v>
      </c>
      <c r="D761" s="11">
        <v>-2.0094576342471467E-2</v>
      </c>
      <c r="E761" s="11">
        <v>-1.7574209364836783E-2</v>
      </c>
      <c r="F761" s="11">
        <v>5463.4486328268031</v>
      </c>
      <c r="G761" s="11">
        <v>5275.3260433149017</v>
      </c>
      <c r="H761" s="35">
        <v>0.54634486328268028</v>
      </c>
      <c r="I761" s="35">
        <v>0.52753260433149018</v>
      </c>
      <c r="J761" s="11">
        <v>-0.85726453880657316</v>
      </c>
      <c r="K761" s="11">
        <v>-1.8515619730828414</v>
      </c>
      <c r="T761" s="47"/>
      <c r="U761" s="36"/>
    </row>
    <row r="762" spans="1:21" x14ac:dyDescent="0.3">
      <c r="A762" s="10">
        <f t="shared" si="14"/>
        <v>750</v>
      </c>
      <c r="B762" s="11">
        <v>0.41417804413431186</v>
      </c>
      <c r="C762" s="11">
        <v>-0.72833794906216154</v>
      </c>
      <c r="D762" s="11">
        <v>9.1766282042611592E-3</v>
      </c>
      <c r="E762" s="11">
        <v>-1.4372681949075209E-2</v>
      </c>
      <c r="F762" s="11">
        <v>5513.8154148088643</v>
      </c>
      <c r="G762" s="11">
        <v>5200.0477314079671</v>
      </c>
      <c r="H762" s="35">
        <v>0.55138154148088647</v>
      </c>
      <c r="I762" s="35">
        <v>0.52000477314079674</v>
      </c>
      <c r="J762" s="11">
        <v>-0.82787334106256583</v>
      </c>
      <c r="K762" s="11">
        <v>-1.8913928389922341</v>
      </c>
      <c r="T762" s="47"/>
      <c r="U762" s="36"/>
    </row>
    <row r="763" spans="1:21" x14ac:dyDescent="0.3">
      <c r="A763" s="10">
        <f t="shared" si="14"/>
        <v>751</v>
      </c>
      <c r="B763" s="11">
        <v>-2.0318466412811105E-2</v>
      </c>
      <c r="C763" s="11">
        <v>0.71669214515075863</v>
      </c>
      <c r="D763" s="11">
        <v>-6.7682647373632811E-4</v>
      </c>
      <c r="E763" s="11">
        <v>1.3846103349743908E-2</v>
      </c>
      <c r="F763" s="11">
        <v>5510.0847812030361</v>
      </c>
      <c r="G763" s="11">
        <v>5272.5489007720835</v>
      </c>
      <c r="H763" s="35">
        <v>0.55100847812030362</v>
      </c>
      <c r="I763" s="35">
        <v>0.52725489007720838</v>
      </c>
      <c r="J763" s="11">
        <v>-0.83005032727658268</v>
      </c>
      <c r="K763" s="11">
        <v>-1.8530314001918209</v>
      </c>
      <c r="T763" s="47"/>
      <c r="U763" s="36"/>
    </row>
    <row r="764" spans="1:21" x14ac:dyDescent="0.3">
      <c r="A764" s="10">
        <f t="shared" si="14"/>
        <v>752</v>
      </c>
      <c r="B764" s="11">
        <v>1.0947455759558764</v>
      </c>
      <c r="C764" s="11">
        <v>-0.54995121619594811</v>
      </c>
      <c r="D764" s="11">
        <v>2.4610449114988844E-2</v>
      </c>
      <c r="E764" s="11">
        <v>-1.0889116495961708E-2</v>
      </c>
      <c r="F764" s="11">
        <v>5647.3728738882437</v>
      </c>
      <c r="G764" s="11">
        <v>5215.4469606273506</v>
      </c>
      <c r="H764" s="35">
        <v>0.56473728738882434</v>
      </c>
      <c r="I764" s="35">
        <v>0.52154469606273501</v>
      </c>
      <c r="J764" s="11">
        <v>-0.74993678177658063</v>
      </c>
      <c r="K764" s="11">
        <v>-1.8832448795254551</v>
      </c>
      <c r="T764" s="47"/>
      <c r="U764" s="36"/>
    </row>
    <row r="765" spans="1:21" x14ac:dyDescent="0.3">
      <c r="A765" s="10">
        <f t="shared" si="14"/>
        <v>753</v>
      </c>
      <c r="B765" s="11">
        <v>0.56463996952212547</v>
      </c>
      <c r="C765" s="11">
        <v>-0.25865786027533627</v>
      </c>
      <c r="D765" s="11">
        <v>1.2588783944490676E-2</v>
      </c>
      <c r="E765" s="11">
        <v>-5.2006919416111705E-3</v>
      </c>
      <c r="F765" s="11">
        <v>5718.9158052784787</v>
      </c>
      <c r="G765" s="11">
        <v>5188.3934371449022</v>
      </c>
      <c r="H765" s="35">
        <v>0.57189158052784783</v>
      </c>
      <c r="I765" s="35">
        <v>0.51883934371449025</v>
      </c>
      <c r="J765" s="11">
        <v>-0.70818838410397844</v>
      </c>
      <c r="K765" s="11">
        <v>-1.8975592980998006</v>
      </c>
      <c r="T765" s="47"/>
      <c r="U765" s="36"/>
    </row>
    <row r="766" spans="1:21" x14ac:dyDescent="0.3">
      <c r="A766" s="10">
        <f t="shared" si="14"/>
        <v>754</v>
      </c>
      <c r="B766" s="11">
        <v>-0.12305446881404145</v>
      </c>
      <c r="C766" s="11">
        <v>-6.2932174800475416E-2</v>
      </c>
      <c r="D766" s="11">
        <v>-3.0066600141356713E-3</v>
      </c>
      <c r="E766" s="11">
        <v>-1.3785285707592675E-3</v>
      </c>
      <c r="F766" s="11">
        <v>5701.7467934272408</v>
      </c>
      <c r="G766" s="11">
        <v>5181.2460161493609</v>
      </c>
      <c r="H766" s="35">
        <v>0.57017467934272403</v>
      </c>
      <c r="I766" s="35">
        <v>0.51812460161493612</v>
      </c>
      <c r="J766" s="11">
        <v>-0.71820724579279283</v>
      </c>
      <c r="K766" s="11">
        <v>-1.9013411040417743</v>
      </c>
      <c r="T766" s="47"/>
      <c r="U766" s="36"/>
    </row>
    <row r="767" spans="1:21" x14ac:dyDescent="0.3">
      <c r="A767" s="10">
        <f t="shared" si="14"/>
        <v>755</v>
      </c>
      <c r="B767" s="11">
        <v>-0.47486019814017566</v>
      </c>
      <c r="C767" s="11">
        <v>1.8303788221511441</v>
      </c>
      <c r="D767" s="11">
        <v>-1.098486403931842E-2</v>
      </c>
      <c r="E767" s="11">
        <v>3.5594359911519394E-2</v>
      </c>
      <c r="F767" s="11">
        <v>5639.4566309615548</v>
      </c>
      <c r="G767" s="11">
        <v>5368.9906551276308</v>
      </c>
      <c r="H767" s="35">
        <v>0.56394566309615546</v>
      </c>
      <c r="I767" s="35">
        <v>0.53689906551276312</v>
      </c>
      <c r="J767" s="11">
        <v>-0.75455625223095235</v>
      </c>
      <c r="K767" s="11">
        <v>-1.8020026445184549</v>
      </c>
      <c r="T767" s="47"/>
      <c r="U767" s="36"/>
    </row>
    <row r="768" spans="1:21" x14ac:dyDescent="0.3">
      <c r="A768" s="33">
        <f t="shared" si="14"/>
        <v>756</v>
      </c>
      <c r="B768" s="34">
        <v>0.52540840536835309</v>
      </c>
      <c r="C768" s="34">
        <v>1.2286954026225192</v>
      </c>
      <c r="D768" s="34">
        <v>1.169909569624818E-2</v>
      </c>
      <c r="E768" s="34">
        <v>2.3844587154858859E-2</v>
      </c>
      <c r="F768" s="34">
        <v>5705.8206161402968</v>
      </c>
      <c r="G768" s="34">
        <v>5498.5505331028507</v>
      </c>
      <c r="H768" s="35">
        <v>0.57058206161402969</v>
      </c>
      <c r="I768" s="35">
        <v>0.54985505331028506</v>
      </c>
      <c r="J768" s="34">
        <v>-0.71582999387751056</v>
      </c>
      <c r="K768" s="34">
        <v>-1.7334506008269319</v>
      </c>
      <c r="T768" s="47"/>
      <c r="U768" s="36"/>
    </row>
  </sheetData>
  <mergeCells count="17">
    <mergeCell ref="L21:O21"/>
    <mergeCell ref="O23:O24"/>
    <mergeCell ref="T4:U4"/>
    <mergeCell ref="O10:P10"/>
    <mergeCell ref="N6:N7"/>
    <mergeCell ref="A1:L1"/>
    <mergeCell ref="B11:C11"/>
    <mergeCell ref="H4:I4"/>
    <mergeCell ref="H5:I5"/>
    <mergeCell ref="J11:K11"/>
    <mergeCell ref="E4:G4"/>
    <mergeCell ref="J10:K10"/>
    <mergeCell ref="H11:I11"/>
    <mergeCell ref="F11:G11"/>
    <mergeCell ref="L11:M11"/>
    <mergeCell ref="M6:M7"/>
    <mergeCell ref="L6:L7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simulate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>대한민국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Korean</dc:creator>
  <cp:lastModifiedBy>seong</cp:lastModifiedBy>
  <dcterms:created xsi:type="dcterms:W3CDTF">2012-03-18T05:44:31Z</dcterms:created>
  <dcterms:modified xsi:type="dcterms:W3CDTF">2018-04-05T12:21:55Z</dcterms:modified>
</cp:coreProperties>
</file>