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eong\Desktop\교육자료\(R)퀀트트레이딩\(R)퀀트트레이딩(2017)\실습파일\"/>
    </mc:Choice>
  </mc:AlternateContent>
  <bookViews>
    <workbookView xWindow="360" yWindow="90" windowWidth="19215" windowHeight="9510"/>
  </bookViews>
  <sheets>
    <sheet name="Sheet1" sheetId="1" r:id="rId1"/>
  </sheets>
  <calcPr calcId="162913"/>
</workbook>
</file>

<file path=xl/calcChain.xml><?xml version="1.0" encoding="utf-8"?>
<calcChain xmlns="http://schemas.openxmlformats.org/spreadsheetml/2006/main">
  <c r="N11" i="1" l="1"/>
  <c r="O11" i="1"/>
  <c r="J11" i="1"/>
  <c r="B12" i="1"/>
  <c r="B6" i="1"/>
  <c r="B5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A12" i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C229" i="1" l="1"/>
  <c r="C221" i="1"/>
  <c r="C205" i="1"/>
  <c r="B7" i="1"/>
  <c r="C261" i="1" s="1"/>
  <c r="C243" i="1"/>
  <c r="C235" i="1"/>
  <c r="C227" i="1"/>
  <c r="C219" i="1"/>
  <c r="C203" i="1"/>
  <c r="C249" i="1"/>
  <c r="C241" i="1"/>
  <c r="C233" i="1"/>
  <c r="C225" i="1"/>
  <c r="C209" i="1"/>
  <c r="C201" i="1"/>
  <c r="C255" i="1"/>
  <c r="C247" i="1"/>
  <c r="C239" i="1"/>
  <c r="C231" i="1"/>
  <c r="C215" i="1"/>
  <c r="C207" i="1"/>
  <c r="C13" i="1"/>
  <c r="C15" i="1"/>
  <c r="C17" i="1"/>
  <c r="C19" i="1"/>
  <c r="C23" i="1"/>
  <c r="C25" i="1"/>
  <c r="C29" i="1"/>
  <c r="C31" i="1"/>
  <c r="C33" i="1"/>
  <c r="C35" i="1"/>
  <c r="C39" i="1"/>
  <c r="C41" i="1"/>
  <c r="C45" i="1"/>
  <c r="C47" i="1"/>
  <c r="C49" i="1"/>
  <c r="C51" i="1"/>
  <c r="C55" i="1"/>
  <c r="C57" i="1"/>
  <c r="C61" i="1"/>
  <c r="C63" i="1"/>
  <c r="C65" i="1"/>
  <c r="C67" i="1"/>
  <c r="C71" i="1"/>
  <c r="C73" i="1"/>
  <c r="C75" i="1"/>
  <c r="C77" i="1"/>
  <c r="C79" i="1"/>
  <c r="C81" i="1"/>
  <c r="C83" i="1"/>
  <c r="C85" i="1"/>
  <c r="C87" i="1"/>
  <c r="C89" i="1"/>
  <c r="C91" i="1"/>
  <c r="C93" i="1"/>
  <c r="C95" i="1"/>
  <c r="C97" i="1"/>
  <c r="C99" i="1"/>
  <c r="C101" i="1"/>
  <c r="C103" i="1"/>
  <c r="C105" i="1"/>
  <c r="C107" i="1"/>
  <c r="C109" i="1"/>
  <c r="C111" i="1"/>
  <c r="C113" i="1"/>
  <c r="C115" i="1"/>
  <c r="C117" i="1"/>
  <c r="C119" i="1"/>
  <c r="C121" i="1"/>
  <c r="C123" i="1"/>
  <c r="C125" i="1"/>
  <c r="C127" i="1"/>
  <c r="C129" i="1"/>
  <c r="C131" i="1"/>
  <c r="C133" i="1"/>
  <c r="C135" i="1"/>
  <c r="C137" i="1"/>
  <c r="C139" i="1"/>
  <c r="C141" i="1"/>
  <c r="C143" i="1"/>
  <c r="C145" i="1"/>
  <c r="C147" i="1"/>
  <c r="C149" i="1"/>
  <c r="C151" i="1"/>
  <c r="C153" i="1"/>
  <c r="C155" i="1"/>
  <c r="C157" i="1"/>
  <c r="C12" i="1"/>
  <c r="D12" i="1" s="1"/>
  <c r="C14" i="1"/>
  <c r="C16" i="1"/>
  <c r="C18" i="1"/>
  <c r="C20" i="1"/>
  <c r="C22" i="1"/>
  <c r="C24" i="1"/>
  <c r="C26" i="1"/>
  <c r="C28" i="1"/>
  <c r="C30" i="1"/>
  <c r="C32" i="1"/>
  <c r="C34" i="1"/>
  <c r="C36" i="1"/>
  <c r="C38" i="1"/>
  <c r="C40" i="1"/>
  <c r="C42" i="1"/>
  <c r="C44" i="1"/>
  <c r="C46" i="1"/>
  <c r="C48" i="1"/>
  <c r="C50" i="1"/>
  <c r="C52" i="1"/>
  <c r="C54" i="1"/>
  <c r="C56" i="1"/>
  <c r="C58" i="1"/>
  <c r="C60" i="1"/>
  <c r="C62" i="1"/>
  <c r="C64" i="1"/>
  <c r="C66" i="1"/>
  <c r="C68" i="1"/>
  <c r="C70" i="1"/>
  <c r="C72" i="1"/>
  <c r="C74" i="1"/>
  <c r="C76" i="1"/>
  <c r="C78" i="1"/>
  <c r="C80" i="1"/>
  <c r="C82" i="1"/>
  <c r="C84" i="1"/>
  <c r="C86" i="1"/>
  <c r="C88" i="1"/>
  <c r="C90" i="1"/>
  <c r="C92" i="1"/>
  <c r="C94" i="1"/>
  <c r="C96" i="1"/>
  <c r="C98" i="1"/>
  <c r="C100" i="1"/>
  <c r="C102" i="1"/>
  <c r="C104" i="1"/>
  <c r="C106" i="1"/>
  <c r="C108" i="1"/>
  <c r="C110" i="1"/>
  <c r="C112" i="1"/>
  <c r="C114" i="1"/>
  <c r="C116" i="1"/>
  <c r="C118" i="1"/>
  <c r="C120" i="1"/>
  <c r="C122" i="1"/>
  <c r="C124" i="1"/>
  <c r="C126" i="1"/>
  <c r="C128" i="1"/>
  <c r="C130" i="1"/>
  <c r="C132" i="1"/>
  <c r="C134" i="1"/>
  <c r="C136" i="1"/>
  <c r="C138" i="1"/>
  <c r="C140" i="1"/>
  <c r="C142" i="1"/>
  <c r="C144" i="1"/>
  <c r="C146" i="1"/>
  <c r="C148" i="1"/>
  <c r="C150" i="1"/>
  <c r="C152" i="1"/>
  <c r="C154" i="1"/>
  <c r="C156" i="1"/>
  <c r="C158" i="1"/>
  <c r="C160" i="1"/>
  <c r="C162" i="1"/>
  <c r="C164" i="1"/>
  <c r="C166" i="1"/>
  <c r="C168" i="1"/>
  <c r="C170" i="1"/>
  <c r="C172" i="1"/>
  <c r="C174" i="1"/>
  <c r="C176" i="1"/>
  <c r="C178" i="1"/>
  <c r="C180" i="1"/>
  <c r="C182" i="1"/>
  <c r="C184" i="1"/>
  <c r="C186" i="1"/>
  <c r="C188" i="1"/>
  <c r="C190" i="1"/>
  <c r="C192" i="1"/>
  <c r="C194" i="1"/>
  <c r="C196" i="1"/>
  <c r="C198" i="1"/>
  <c r="C200" i="1"/>
  <c r="C202" i="1"/>
  <c r="C204" i="1"/>
  <c r="C206" i="1"/>
  <c r="C208" i="1"/>
  <c r="C210" i="1"/>
  <c r="C212" i="1"/>
  <c r="C214" i="1"/>
  <c r="C216" i="1"/>
  <c r="C218" i="1"/>
  <c r="C220" i="1"/>
  <c r="C222" i="1"/>
  <c r="C224" i="1"/>
  <c r="C226" i="1"/>
  <c r="C228" i="1"/>
  <c r="C230" i="1"/>
  <c r="C232" i="1"/>
  <c r="C234" i="1"/>
  <c r="C236" i="1"/>
  <c r="C238" i="1"/>
  <c r="C240" i="1"/>
  <c r="C242" i="1"/>
  <c r="C244" i="1"/>
  <c r="C246" i="1"/>
  <c r="C248" i="1"/>
  <c r="C250" i="1"/>
  <c r="C252" i="1"/>
  <c r="C254" i="1"/>
  <c r="C256" i="1"/>
  <c r="C258" i="1"/>
  <c r="C260" i="1"/>
  <c r="C262" i="1"/>
  <c r="C191" i="1"/>
  <c r="C189" i="1"/>
  <c r="C187" i="1"/>
  <c r="C185" i="1"/>
  <c r="C183" i="1"/>
  <c r="C181" i="1"/>
  <c r="C179" i="1"/>
  <c r="C177" i="1"/>
  <c r="C175" i="1"/>
  <c r="C173" i="1"/>
  <c r="C171" i="1"/>
  <c r="C169" i="1"/>
  <c r="C167" i="1"/>
  <c r="C165" i="1"/>
  <c r="C163" i="1"/>
  <c r="C161" i="1"/>
  <c r="C159" i="1"/>
  <c r="C213" i="1" l="1"/>
  <c r="C59" i="1"/>
  <c r="C43" i="1"/>
  <c r="C27" i="1"/>
  <c r="C199" i="1"/>
  <c r="C193" i="1"/>
  <c r="C257" i="1"/>
  <c r="C251" i="1"/>
  <c r="C237" i="1"/>
  <c r="C195" i="1"/>
  <c r="C259" i="1"/>
  <c r="C245" i="1"/>
  <c r="C253" i="1"/>
  <c r="C69" i="1"/>
  <c r="C53" i="1"/>
  <c r="C37" i="1"/>
  <c r="C21" i="1"/>
  <c r="C223" i="1"/>
  <c r="C217" i="1"/>
  <c r="C211" i="1"/>
  <c r="C197" i="1"/>
  <c r="D13" i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2" i="1" s="1"/>
  <c r="D123" i="1" s="1"/>
  <c r="D124" i="1" s="1"/>
  <c r="D125" i="1" s="1"/>
  <c r="D126" i="1" s="1"/>
  <c r="D127" i="1" s="1"/>
  <c r="D128" i="1" s="1"/>
  <c r="D129" i="1" s="1"/>
  <c r="D130" i="1" s="1"/>
  <c r="D131" i="1" s="1"/>
  <c r="D132" i="1" s="1"/>
  <c r="D133" i="1" s="1"/>
  <c r="D134" i="1" s="1"/>
  <c r="D135" i="1" s="1"/>
  <c r="D136" i="1" s="1"/>
  <c r="D137" i="1" s="1"/>
  <c r="D138" i="1" s="1"/>
  <c r="D139" i="1" s="1"/>
  <c r="D140" i="1" s="1"/>
  <c r="D141" i="1" s="1"/>
  <c r="D142" i="1" s="1"/>
  <c r="D143" i="1" s="1"/>
  <c r="D144" i="1" s="1"/>
  <c r="D145" i="1" s="1"/>
  <c r="D146" i="1" s="1"/>
  <c r="D147" i="1" s="1"/>
  <c r="D148" i="1" s="1"/>
  <c r="D149" i="1" s="1"/>
  <c r="D150" i="1" s="1"/>
  <c r="D151" i="1" s="1"/>
  <c r="D152" i="1" s="1"/>
  <c r="D153" i="1" s="1"/>
  <c r="D154" i="1" s="1"/>
  <c r="D155" i="1" s="1"/>
  <c r="D156" i="1" s="1"/>
  <c r="D157" i="1" s="1"/>
  <c r="D158" i="1" s="1"/>
  <c r="D159" i="1" s="1"/>
  <c r="D160" i="1" s="1"/>
  <c r="D161" i="1" s="1"/>
  <c r="D162" i="1" s="1"/>
  <c r="D163" i="1" s="1"/>
  <c r="D164" i="1" s="1"/>
  <c r="D165" i="1" s="1"/>
  <c r="D166" i="1" s="1"/>
  <c r="D167" i="1" s="1"/>
  <c r="D168" i="1" s="1"/>
  <c r="D169" i="1" s="1"/>
  <c r="D170" i="1" s="1"/>
  <c r="D171" i="1" s="1"/>
  <c r="D172" i="1" s="1"/>
  <c r="D173" i="1" s="1"/>
  <c r="D174" i="1" s="1"/>
  <c r="D175" i="1" s="1"/>
  <c r="D176" i="1" s="1"/>
  <c r="D177" i="1" s="1"/>
  <c r="D178" i="1" s="1"/>
  <c r="D179" i="1" s="1"/>
  <c r="D180" i="1" s="1"/>
  <c r="D181" i="1" s="1"/>
  <c r="D182" i="1" s="1"/>
  <c r="D183" i="1" s="1"/>
  <c r="D184" i="1" s="1"/>
  <c r="D185" i="1" s="1"/>
  <c r="D186" i="1" s="1"/>
  <c r="D187" i="1" s="1"/>
  <c r="D188" i="1" s="1"/>
  <c r="D189" i="1" s="1"/>
  <c r="D190" i="1" s="1"/>
  <c r="D191" i="1" s="1"/>
  <c r="D192" i="1" s="1"/>
  <c r="D193" i="1" s="1"/>
  <c r="D194" i="1" s="1"/>
  <c r="D195" i="1" s="1"/>
  <c r="D196" i="1" s="1"/>
  <c r="D197" i="1" s="1"/>
  <c r="D198" i="1" s="1"/>
  <c r="D199" i="1" s="1"/>
  <c r="D200" i="1" s="1"/>
  <c r="D201" i="1" s="1"/>
  <c r="D202" i="1" s="1"/>
  <c r="D203" i="1" s="1"/>
  <c r="D204" i="1" s="1"/>
  <c r="D205" i="1" s="1"/>
  <c r="D206" i="1" s="1"/>
  <c r="D207" i="1" s="1"/>
  <c r="D208" i="1" s="1"/>
  <c r="D209" i="1" s="1"/>
  <c r="D210" i="1" s="1"/>
  <c r="D211" i="1" s="1"/>
  <c r="D212" i="1" s="1"/>
  <c r="D213" i="1" s="1"/>
  <c r="D214" i="1" s="1"/>
  <c r="D215" i="1" s="1"/>
  <c r="D216" i="1" s="1"/>
  <c r="D217" i="1" s="1"/>
  <c r="D218" i="1" s="1"/>
  <c r="D219" i="1" s="1"/>
  <c r="D220" i="1" s="1"/>
  <c r="D221" i="1" s="1"/>
  <c r="D222" i="1" s="1"/>
  <c r="D223" i="1" s="1"/>
  <c r="D224" i="1" s="1"/>
  <c r="D225" i="1" s="1"/>
  <c r="D226" i="1" s="1"/>
  <c r="D227" i="1" s="1"/>
  <c r="D228" i="1" s="1"/>
  <c r="D229" i="1" s="1"/>
  <c r="D230" i="1" s="1"/>
  <c r="D231" i="1" s="1"/>
  <c r="D232" i="1" s="1"/>
  <c r="D233" i="1" s="1"/>
  <c r="D234" i="1" s="1"/>
  <c r="D235" i="1" s="1"/>
  <c r="D236" i="1" s="1"/>
  <c r="D237" i="1" s="1"/>
  <c r="D238" i="1" s="1"/>
  <c r="D239" i="1" s="1"/>
  <c r="D240" i="1" s="1"/>
  <c r="D241" i="1" s="1"/>
  <c r="D242" i="1" s="1"/>
  <c r="D243" i="1" s="1"/>
  <c r="D244" i="1" s="1"/>
  <c r="D245" i="1" s="1"/>
  <c r="D246" i="1" s="1"/>
  <c r="D247" i="1" s="1"/>
  <c r="D248" i="1" s="1"/>
  <c r="D249" i="1" s="1"/>
  <c r="D250" i="1" s="1"/>
  <c r="D251" i="1" s="1"/>
  <c r="D252" i="1" s="1"/>
  <c r="D253" i="1" s="1"/>
  <c r="D254" i="1" s="1"/>
  <c r="D255" i="1" s="1"/>
  <c r="D256" i="1" s="1"/>
  <c r="D257" i="1" s="1"/>
  <c r="D258" i="1" s="1"/>
  <c r="D259" i="1" s="1"/>
  <c r="D260" i="1" s="1"/>
  <c r="D261" i="1" s="1"/>
  <c r="D262" i="1" s="1"/>
</calcChain>
</file>

<file path=xl/sharedStrings.xml><?xml version="1.0" encoding="utf-8"?>
<sst xmlns="http://schemas.openxmlformats.org/spreadsheetml/2006/main" count="30" uniqueCount="27">
  <si>
    <t>영역 A</t>
    <phoneticPr fontId="1" type="noConversion"/>
  </si>
  <si>
    <t>평균수익률</t>
    <phoneticPr fontId="1" type="noConversion"/>
  </si>
  <si>
    <t>구분</t>
    <phoneticPr fontId="1" type="noConversion"/>
  </si>
  <si>
    <t>데이타</t>
    <phoneticPr fontId="1" type="noConversion"/>
  </si>
  <si>
    <t>단위</t>
    <phoneticPr fontId="1" type="noConversion"/>
  </si>
  <si>
    <t>무위험 수익률</t>
    <phoneticPr fontId="1" type="noConversion"/>
  </si>
  <si>
    <t>연</t>
    <phoneticPr fontId="1" type="noConversion"/>
  </si>
  <si>
    <t>변동성</t>
    <phoneticPr fontId="1" type="noConversion"/>
  </si>
  <si>
    <t>일일 수익률</t>
    <phoneticPr fontId="1" type="noConversion"/>
  </si>
  <si>
    <t>일</t>
    <phoneticPr fontId="1" type="noConversion"/>
  </si>
  <si>
    <t>일일 변동성</t>
    <phoneticPr fontId="1" type="noConversion"/>
  </si>
  <si>
    <t>평균수익률</t>
    <phoneticPr fontId="1" type="noConversion"/>
  </si>
  <si>
    <t>시행횟수</t>
    <phoneticPr fontId="1" type="noConversion"/>
  </si>
  <si>
    <t>ELS 투자시</t>
    <phoneticPr fontId="1" type="noConversion"/>
  </si>
  <si>
    <t>날짜</t>
    <phoneticPr fontId="1" type="noConversion"/>
  </si>
  <si>
    <t>N[0,1]</t>
    <phoneticPr fontId="1" type="noConversion"/>
  </si>
  <si>
    <t>수익률</t>
    <phoneticPr fontId="1" type="noConversion"/>
  </si>
  <si>
    <t>주가</t>
    <phoneticPr fontId="1" type="noConversion"/>
  </si>
  <si>
    <t>횟수</t>
    <phoneticPr fontId="1" type="noConversion"/>
  </si>
  <si>
    <t>최대가격</t>
    <phoneticPr fontId="1" type="noConversion"/>
  </si>
  <si>
    <t>만기평가가격</t>
    <phoneticPr fontId="1" type="noConversion"/>
  </si>
  <si>
    <t>만기수익률</t>
    <phoneticPr fontId="1" type="noConversion"/>
  </si>
  <si>
    <t>영역 B</t>
    <phoneticPr fontId="1" type="noConversion"/>
  </si>
  <si>
    <t>영역 C</t>
    <phoneticPr fontId="1" type="noConversion"/>
  </si>
  <si>
    <t>표준편차</t>
    <phoneticPr fontId="1" type="noConversion"/>
  </si>
  <si>
    <t>Knock-Out ELS 평가 몬테카를로 시뮬레이션</t>
    <phoneticPr fontId="1" type="noConversion"/>
  </si>
  <si>
    <t>기댓값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</si>
</sst>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.0000%"/>
    <numFmt numFmtId="177" formatCode="0.0000_ "/>
    <numFmt numFmtId="178" formatCode="0.00_ "/>
    <numFmt numFmtId="179" formatCode="0_ "/>
  </numFmts>
  <fonts count="6" x14ac:knownFonts="1">
    <font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b/>
      <sz val="8"/>
      <color indexed="8"/>
      <name val="돋움"/>
      <family val="3"/>
      <charset val="129"/>
    </font>
    <font>
      <sz val="8"/>
      <color indexed="8"/>
      <name val="돋움"/>
      <family val="3"/>
      <charset val="129"/>
    </font>
    <font>
      <b/>
      <sz val="12"/>
      <color indexed="8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3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1" xfId="0" applyFont="1" applyBorder="1">
      <alignment vertical="center"/>
    </xf>
    <xf numFmtId="10" fontId="3" fillId="0" borderId="1" xfId="0" applyNumberFormat="1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10" fontId="3" fillId="3" borderId="1" xfId="0" applyNumberFormat="1" applyFont="1" applyFill="1" applyBorder="1">
      <alignment vertical="center"/>
    </xf>
    <xf numFmtId="176" fontId="3" fillId="0" borderId="1" xfId="0" applyNumberFormat="1" applyFont="1" applyBorder="1">
      <alignment vertical="center"/>
    </xf>
    <xf numFmtId="0" fontId="3" fillId="0" borderId="0" xfId="0" applyFont="1" applyBorder="1">
      <alignment vertical="center"/>
    </xf>
    <xf numFmtId="0" fontId="3" fillId="3" borderId="1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178" fontId="3" fillId="0" borderId="0" xfId="0" applyNumberFormat="1" applyFont="1" applyBorder="1">
      <alignment vertical="center"/>
    </xf>
    <xf numFmtId="179" fontId="3" fillId="0" borderId="1" xfId="0" applyNumberFormat="1" applyFont="1" applyBorder="1">
      <alignment vertical="center"/>
    </xf>
    <xf numFmtId="178" fontId="3" fillId="0" borderId="1" xfId="0" applyNumberFormat="1" applyFont="1" applyBorder="1">
      <alignment vertical="center"/>
    </xf>
    <xf numFmtId="178" fontId="3" fillId="3" borderId="1" xfId="0" applyNumberFormat="1" applyFont="1" applyFill="1" applyBorder="1">
      <alignment vertical="center"/>
    </xf>
    <xf numFmtId="179" fontId="3" fillId="0" borderId="1" xfId="0" applyNumberFormat="1" applyFont="1" applyBorder="1">
      <alignment vertical="center"/>
    </xf>
    <xf numFmtId="178" fontId="3" fillId="0" borderId="1" xfId="0" applyNumberFormat="1" applyFont="1" applyBorder="1">
      <alignment vertical="center"/>
    </xf>
    <xf numFmtId="10" fontId="3" fillId="0" borderId="1" xfId="0" applyNumberFormat="1" applyFont="1" applyBorder="1">
      <alignment vertical="center"/>
    </xf>
    <xf numFmtId="10" fontId="2" fillId="3" borderId="2" xfId="0" applyNumberFormat="1" applyFont="1" applyFill="1" applyBorder="1" applyAlignment="1">
      <alignment horizontal="center" vertical="center"/>
    </xf>
    <xf numFmtId="177" fontId="3" fillId="0" borderId="1" xfId="0" applyNumberFormat="1" applyFont="1" applyBorder="1">
      <alignment vertical="center"/>
    </xf>
    <xf numFmtId="0" fontId="3" fillId="2" borderId="2" xfId="0" applyFont="1" applyFill="1" applyBorder="1" applyAlignment="1">
      <alignment horizontal="center" vertical="center"/>
    </xf>
    <xf numFmtId="178" fontId="3" fillId="0" borderId="0" xfId="0" applyNumberFormat="1" applyFont="1">
      <alignment vertical="center"/>
    </xf>
    <xf numFmtId="177" fontId="3" fillId="0" borderId="3" xfId="0" applyNumberFormat="1" applyFont="1" applyBorder="1">
      <alignment vertical="center"/>
    </xf>
    <xf numFmtId="10" fontId="3" fillId="0" borderId="3" xfId="0" applyNumberFormat="1" applyFont="1" applyBorder="1">
      <alignment vertical="center"/>
    </xf>
    <xf numFmtId="179" fontId="3" fillId="0" borderId="0" xfId="0" applyNumberFormat="1" applyFont="1" applyBorder="1">
      <alignment vertical="center"/>
    </xf>
    <xf numFmtId="179" fontId="3" fillId="0" borderId="0" xfId="0" applyNumberFormat="1" applyFont="1">
      <alignment vertical="center"/>
    </xf>
    <xf numFmtId="10" fontId="3" fillId="0" borderId="0" xfId="0" applyNumberFormat="1" applyFont="1">
      <alignment vertical="center"/>
    </xf>
    <xf numFmtId="0" fontId="3" fillId="4" borderId="1" xfId="0" applyFont="1" applyFill="1" applyBorder="1" applyAlignment="1">
      <alignment horizontal="center" vertical="center"/>
    </xf>
    <xf numFmtId="178" fontId="3" fillId="4" borderId="1" xfId="0" applyNumberFormat="1" applyFont="1" applyFill="1" applyBorder="1" applyAlignment="1">
      <alignment horizontal="center" vertical="center"/>
    </xf>
    <xf numFmtId="178" fontId="3" fillId="4" borderId="1" xfId="0" applyNumberFormat="1" applyFont="1" applyFill="1" applyBorder="1">
      <alignment vertical="center"/>
    </xf>
    <xf numFmtId="0" fontId="3" fillId="4" borderId="1" xfId="0" applyFont="1" applyFill="1" applyBorder="1" applyAlignment="1">
      <alignment horizontal="center" vertical="center"/>
    </xf>
    <xf numFmtId="10" fontId="2" fillId="3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28575</xdr:colOff>
      <xdr:row>11</xdr:row>
      <xdr:rowOff>28575</xdr:rowOff>
    </xdr:from>
    <xdr:to>
      <xdr:col>15</xdr:col>
      <xdr:colOff>0</xdr:colOff>
      <xdr:row>29</xdr:row>
      <xdr:rowOff>27828</xdr:rowOff>
    </xdr:to>
    <xdr:pic>
      <xdr:nvPicPr>
        <xdr:cNvPr id="1026" name="Picture 2" descr="Untitled-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838700" y="1543050"/>
          <a:ext cx="3352800" cy="2399553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4</xdr:row>
          <xdr:rowOff>123825</xdr:rowOff>
        </xdr:from>
        <xdr:to>
          <xdr:col>12</xdr:col>
          <xdr:colOff>171450</xdr:colOff>
          <xdr:row>6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4010"/>
  <sheetViews>
    <sheetView tabSelected="1" workbookViewId="0">
      <selection activeCell="D12" sqref="D12"/>
    </sheetView>
  </sheetViews>
  <sheetFormatPr defaultRowHeight="10.5" x14ac:dyDescent="0.3"/>
  <cols>
    <col min="1" max="1" width="10.25" style="24" bestFit="1" customWidth="1"/>
    <col min="2" max="2" width="6.75" style="1" bestFit="1" customWidth="1"/>
    <col min="3" max="3" width="6" style="1" bestFit="1" customWidth="1"/>
    <col min="4" max="4" width="6.75" style="1" bestFit="1" customWidth="1"/>
    <col min="5" max="5" width="1.25" style="1" customWidth="1"/>
    <col min="6" max="6" width="7" style="24" bestFit="1" customWidth="1"/>
    <col min="7" max="7" width="7" style="20" bestFit="1" customWidth="1"/>
    <col min="8" max="8" width="9.75" style="20" bestFit="1" customWidth="1"/>
    <col min="9" max="9" width="8.375" style="25" bestFit="1" customWidth="1"/>
    <col min="10" max="10" width="8.375" style="1" bestFit="1" customWidth="1"/>
    <col min="11" max="13" width="6" style="1" bestFit="1" customWidth="1"/>
    <col min="14" max="16384" width="9" style="1"/>
  </cols>
  <sheetData>
    <row r="1" spans="1:15" ht="14.25" x14ac:dyDescent="0.3">
      <c r="A1" s="31" t="s">
        <v>25</v>
      </c>
      <c r="B1" s="31"/>
      <c r="C1" s="31"/>
      <c r="D1" s="31"/>
      <c r="E1" s="31"/>
      <c r="F1" s="31"/>
      <c r="G1" s="31"/>
      <c r="H1" s="31"/>
      <c r="I1" s="31"/>
      <c r="J1" s="31"/>
    </row>
    <row r="2" spans="1:15" x14ac:dyDescent="0.3">
      <c r="A2" s="26" t="s">
        <v>2</v>
      </c>
      <c r="B2" s="26" t="s">
        <v>3</v>
      </c>
      <c r="C2" s="26" t="s">
        <v>4</v>
      </c>
      <c r="F2" s="1"/>
      <c r="G2" s="1"/>
      <c r="H2" s="1"/>
      <c r="I2" s="1"/>
    </row>
    <row r="3" spans="1:15" x14ac:dyDescent="0.3">
      <c r="A3" s="2" t="s">
        <v>5</v>
      </c>
      <c r="B3" s="3">
        <v>2.75E-2</v>
      </c>
      <c r="C3" s="4" t="s">
        <v>6</v>
      </c>
      <c r="F3" s="1"/>
      <c r="G3" s="1"/>
      <c r="H3" s="1"/>
      <c r="I3" s="1"/>
    </row>
    <row r="4" spans="1:15" x14ac:dyDescent="0.3">
      <c r="A4" s="2" t="s">
        <v>7</v>
      </c>
      <c r="B4" s="5">
        <v>0.2</v>
      </c>
      <c r="C4" s="4" t="s">
        <v>6</v>
      </c>
      <c r="F4" s="1"/>
      <c r="G4" s="1"/>
      <c r="H4" s="1"/>
      <c r="I4" s="1"/>
    </row>
    <row r="5" spans="1:15" x14ac:dyDescent="0.3">
      <c r="A5" s="2" t="s">
        <v>8</v>
      </c>
      <c r="B5" s="3">
        <f>B3/(252)</f>
        <v>1.0912698412698413E-4</v>
      </c>
      <c r="C5" s="4" t="s">
        <v>9</v>
      </c>
      <c r="F5" s="1"/>
      <c r="G5" s="1"/>
      <c r="H5" s="1"/>
      <c r="I5" s="1"/>
    </row>
    <row r="6" spans="1:15" x14ac:dyDescent="0.3">
      <c r="A6" s="2" t="s">
        <v>10</v>
      </c>
      <c r="B6" s="3">
        <f>B4/SQRT(252)</f>
        <v>1.259881576697424E-2</v>
      </c>
      <c r="C6" s="4" t="s">
        <v>9</v>
      </c>
      <c r="F6" s="1"/>
      <c r="G6" s="1"/>
      <c r="H6" s="1"/>
      <c r="I6" s="1"/>
    </row>
    <row r="7" spans="1:15" x14ac:dyDescent="0.3">
      <c r="A7" s="2" t="s">
        <v>11</v>
      </c>
      <c r="B7" s="6">
        <f>B5-0.5*B6^2</f>
        <v>2.9761904761904762E-5</v>
      </c>
      <c r="C7" s="4" t="s">
        <v>9</v>
      </c>
      <c r="F7" s="1"/>
      <c r="G7" s="1"/>
      <c r="H7" s="1"/>
      <c r="I7" s="1"/>
    </row>
    <row r="8" spans="1:15" x14ac:dyDescent="0.3">
      <c r="A8" s="7"/>
      <c r="B8" s="7"/>
      <c r="F8" s="1"/>
      <c r="G8" s="1"/>
      <c r="H8" s="1"/>
      <c r="I8" s="1"/>
    </row>
    <row r="9" spans="1:15" x14ac:dyDescent="0.3">
      <c r="A9" s="1"/>
      <c r="F9" s="8" t="s">
        <v>12</v>
      </c>
      <c r="G9" s="9">
        <v>1000</v>
      </c>
      <c r="H9" s="9">
        <v>1000</v>
      </c>
      <c r="I9" s="32" t="s">
        <v>13</v>
      </c>
      <c r="J9" s="32"/>
    </row>
    <row r="10" spans="1:15" x14ac:dyDescent="0.3">
      <c r="A10" s="26" t="s">
        <v>14</v>
      </c>
      <c r="B10" s="27" t="s">
        <v>15</v>
      </c>
      <c r="C10" s="27" t="s">
        <v>16</v>
      </c>
      <c r="D10" s="27" t="s">
        <v>17</v>
      </c>
      <c r="E10" s="10"/>
      <c r="F10" s="27" t="s">
        <v>18</v>
      </c>
      <c r="G10" s="27" t="s">
        <v>19</v>
      </c>
      <c r="H10" s="27" t="s">
        <v>20</v>
      </c>
      <c r="I10" s="28" t="s">
        <v>21</v>
      </c>
      <c r="J10" s="28" t="s">
        <v>1</v>
      </c>
      <c r="K10" s="26" t="s">
        <v>0</v>
      </c>
      <c r="L10" s="26" t="s">
        <v>22</v>
      </c>
      <c r="M10" s="26" t="s">
        <v>23</v>
      </c>
      <c r="N10" s="29" t="s">
        <v>26</v>
      </c>
      <c r="O10" s="19" t="s">
        <v>24</v>
      </c>
    </row>
    <row r="11" spans="1:15" x14ac:dyDescent="0.3">
      <c r="A11" s="11">
        <v>1</v>
      </c>
      <c r="B11" s="12"/>
      <c r="C11" s="12"/>
      <c r="D11" s="13">
        <v>2011.25</v>
      </c>
      <c r="E11" s="10"/>
      <c r="F11" s="14">
        <v>1</v>
      </c>
      <c r="G11" s="15">
        <v>2014.8203482596675</v>
      </c>
      <c r="H11" s="15">
        <v>1464.2009855658741</v>
      </c>
      <c r="I11" s="16">
        <v>0</v>
      </c>
      <c r="J11" s="17">
        <f>AVERAGE(I11:I4010)</f>
        <v>1.9287873613641763E-2</v>
      </c>
      <c r="K11" s="16">
        <v>0.40899999999999997</v>
      </c>
      <c r="L11" s="16">
        <v>0.108</v>
      </c>
      <c r="M11" s="16">
        <v>0.48299999999999998</v>
      </c>
      <c r="N11" s="30">
        <f>(0.138 / 2) * 0.92 * L11 + 0.03 * M11</f>
        <v>2.1345840000000001E-2</v>
      </c>
      <c r="O11" s="17">
        <f>STDEV(I11:I4010)</f>
        <v>1.9895006938588023E-2</v>
      </c>
    </row>
    <row r="12" spans="1:15" x14ac:dyDescent="0.3">
      <c r="A12" s="11">
        <f>A11+1</f>
        <v>2</v>
      </c>
      <c r="B12" s="18">
        <f ca="1">NORMSINV(RAND())</f>
        <v>1.2242204560891734</v>
      </c>
      <c r="C12" s="3">
        <f ca="1">$B$7+$B$6*B12</f>
        <v>1.5453489889190578E-2</v>
      </c>
      <c r="D12" s="12">
        <f ca="1">D11*EXP(C12)</f>
        <v>2042.5722270623899</v>
      </c>
      <c r="F12" s="14">
        <v>2</v>
      </c>
      <c r="G12" s="15">
        <v>2128.9743469927844</v>
      </c>
      <c r="H12" s="15">
        <v>1283.1963837648427</v>
      </c>
      <c r="I12" s="16">
        <v>0</v>
      </c>
    </row>
    <row r="13" spans="1:15" x14ac:dyDescent="0.3">
      <c r="A13" s="11">
        <f t="shared" ref="A13:A76" si="0">A12+1</f>
        <v>3</v>
      </c>
      <c r="B13" s="18">
        <f t="shared" ref="B13:B76" ca="1" si="1">NORMSINV(RAND())</f>
        <v>0.35013743904170708</v>
      </c>
      <c r="C13" s="3">
        <f t="shared" ref="C13:C76" ca="1" si="2">$B$7+$B$6*B13</f>
        <v>4.4410789923685461E-3</v>
      </c>
      <c r="D13" s="12">
        <f t="shared" ref="D13:D76" ca="1" si="3">D12*EXP(C13)</f>
        <v>2051.6636245349523</v>
      </c>
      <c r="F13" s="14">
        <v>3</v>
      </c>
      <c r="G13" s="15">
        <v>2296.6420622872729</v>
      </c>
      <c r="H13" s="15">
        <v>2240.0084984940477</v>
      </c>
      <c r="I13" s="16">
        <v>0.10464030757714052</v>
      </c>
    </row>
    <row r="14" spans="1:15" x14ac:dyDescent="0.3">
      <c r="A14" s="11">
        <f t="shared" si="0"/>
        <v>4</v>
      </c>
      <c r="B14" s="18">
        <f t="shared" ca="1" si="1"/>
        <v>-0.3904051990259359</v>
      </c>
      <c r="C14" s="3">
        <f t="shared" ca="1" si="2"/>
        <v>-4.8888812722347724E-3</v>
      </c>
      <c r="D14" s="12">
        <f t="shared" ca="1" si="3"/>
        <v>2041.6577633270736</v>
      </c>
      <c r="F14" s="14">
        <v>4</v>
      </c>
      <c r="G14" s="15">
        <v>2187.6203817827354</v>
      </c>
      <c r="H14" s="15">
        <v>1878.4127195846911</v>
      </c>
      <c r="I14" s="16">
        <v>0</v>
      </c>
    </row>
    <row r="15" spans="1:15" x14ac:dyDescent="0.3">
      <c r="A15" s="11">
        <f t="shared" si="0"/>
        <v>5</v>
      </c>
      <c r="B15" s="18">
        <f t="shared" ca="1" si="1"/>
        <v>-0.70993707597282296</v>
      </c>
      <c r="C15" s="3">
        <f t="shared" ca="1" si="2"/>
        <v>-8.9146045215640866E-3</v>
      </c>
      <c r="D15" s="12">
        <f t="shared" ca="1" si="3"/>
        <v>2023.5380767164538</v>
      </c>
      <c r="F15" s="14">
        <v>5</v>
      </c>
      <c r="G15" s="15">
        <v>2065.1651242576518</v>
      </c>
      <c r="H15" s="15">
        <v>1859.4621224836931</v>
      </c>
      <c r="I15" s="16">
        <v>0</v>
      </c>
    </row>
    <row r="16" spans="1:15" x14ac:dyDescent="0.3">
      <c r="A16" s="11">
        <f t="shared" si="0"/>
        <v>6</v>
      </c>
      <c r="B16" s="18">
        <f t="shared" ca="1" si="1"/>
        <v>1.6510966646054595</v>
      </c>
      <c r="C16" s="3">
        <f t="shared" ca="1" si="2"/>
        <v>2.0831624595591746E-2</v>
      </c>
      <c r="D16" s="12">
        <f t="shared" ca="1" si="3"/>
        <v>2066.1337908690602</v>
      </c>
      <c r="F16" s="14">
        <v>6</v>
      </c>
      <c r="G16" s="15">
        <v>2149.5677529566751</v>
      </c>
      <c r="H16" s="15">
        <v>1317.5399368425753</v>
      </c>
      <c r="I16" s="16">
        <v>0</v>
      </c>
    </row>
    <row r="17" spans="1:10" x14ac:dyDescent="0.3">
      <c r="A17" s="11">
        <f t="shared" si="0"/>
        <v>7</v>
      </c>
      <c r="B17" s="18">
        <f t="shared" ca="1" si="1"/>
        <v>-0.99298220466297493</v>
      </c>
      <c r="C17" s="3">
        <f t="shared" ca="1" si="2"/>
        <v>-1.2480637951670826E-2</v>
      </c>
      <c r="D17" s="12">
        <f t="shared" ca="1" si="3"/>
        <v>2040.5073727324393</v>
      </c>
      <c r="F17" s="14">
        <v>7</v>
      </c>
      <c r="G17" s="15">
        <v>2817.9702571605735</v>
      </c>
      <c r="H17" s="15">
        <v>2777.8193430635806</v>
      </c>
      <c r="I17" s="16">
        <v>0.03</v>
      </c>
    </row>
    <row r="18" spans="1:10" x14ac:dyDescent="0.3">
      <c r="A18" s="11">
        <f t="shared" si="0"/>
        <v>8</v>
      </c>
      <c r="B18" s="18">
        <f t="shared" ca="1" si="1"/>
        <v>1.4806152279214309</v>
      </c>
      <c r="C18" s="3">
        <f t="shared" ca="1" si="2"/>
        <v>1.8683760383120585E-2</v>
      </c>
      <c r="D18" s="12">
        <f t="shared" ca="1" si="3"/>
        <v>2078.9901051548172</v>
      </c>
      <c r="F18" s="14">
        <v>8</v>
      </c>
      <c r="G18" s="15">
        <v>2265.6640692002402</v>
      </c>
      <c r="H18" s="15">
        <v>1900.3542323767956</v>
      </c>
      <c r="I18" s="16">
        <v>0</v>
      </c>
    </row>
    <row r="19" spans="1:10" x14ac:dyDescent="0.3">
      <c r="A19" s="11">
        <f t="shared" si="0"/>
        <v>9</v>
      </c>
      <c r="B19" s="18">
        <f t="shared" ca="1" si="1"/>
        <v>-1.4682234814322066</v>
      </c>
      <c r="C19" s="3">
        <f t="shared" ca="1" si="2"/>
        <v>-1.8468115242547992E-2</v>
      </c>
      <c r="D19" s="12">
        <f t="shared" ca="1" si="3"/>
        <v>2040.9474456797625</v>
      </c>
      <c r="F19" s="14">
        <v>9</v>
      </c>
      <c r="G19" s="15">
        <v>2346.1991181103867</v>
      </c>
      <c r="H19" s="15">
        <v>2150.4401649205543</v>
      </c>
      <c r="I19" s="16">
        <v>0.03</v>
      </c>
    </row>
    <row r="20" spans="1:10" x14ac:dyDescent="0.3">
      <c r="A20" s="11">
        <f t="shared" si="0"/>
        <v>10</v>
      </c>
      <c r="B20" s="18">
        <f t="shared" ca="1" si="1"/>
        <v>1.8898111934997603</v>
      </c>
      <c r="C20" s="3">
        <f t="shared" ca="1" si="2"/>
        <v>2.3839144966031092E-2</v>
      </c>
      <c r="D20" s="12">
        <f t="shared" ca="1" si="3"/>
        <v>2090.1864638761785</v>
      </c>
      <c r="F20" s="14">
        <v>10</v>
      </c>
      <c r="G20" s="15">
        <v>2077.7303177736503</v>
      </c>
      <c r="H20" s="15">
        <v>1417.6599203517812</v>
      </c>
      <c r="I20" s="16">
        <v>0</v>
      </c>
      <c r="J20" s="20"/>
    </row>
    <row r="21" spans="1:10" x14ac:dyDescent="0.3">
      <c r="A21" s="11">
        <f t="shared" si="0"/>
        <v>11</v>
      </c>
      <c r="B21" s="18">
        <f t="shared" ca="1" si="1"/>
        <v>-1.1602025795871054</v>
      </c>
      <c r="C21" s="3">
        <f t="shared" ca="1" si="2"/>
        <v>-1.4587416647824305E-2</v>
      </c>
      <c r="D21" s="12">
        <f t="shared" ca="1" si="3"/>
        <v>2059.9173538675632</v>
      </c>
      <c r="F21" s="14">
        <v>11</v>
      </c>
      <c r="G21" s="15">
        <v>2143.3514785100542</v>
      </c>
      <c r="H21" s="15">
        <v>1824.3216699244122</v>
      </c>
      <c r="I21" s="16">
        <v>0</v>
      </c>
    </row>
    <row r="22" spans="1:10" x14ac:dyDescent="0.3">
      <c r="A22" s="11">
        <f t="shared" si="0"/>
        <v>12</v>
      </c>
      <c r="B22" s="18">
        <f t="shared" ca="1" si="1"/>
        <v>-0.34984979367093555</v>
      </c>
      <c r="C22" s="3">
        <f t="shared" ca="1" si="2"/>
        <v>-4.3779311918121632E-3</v>
      </c>
      <c r="D22" s="12">
        <f t="shared" ca="1" si="3"/>
        <v>2050.9188891334848</v>
      </c>
      <c r="F22" s="14">
        <v>12</v>
      </c>
      <c r="G22" s="15">
        <v>2383.1640292399288</v>
      </c>
      <c r="H22" s="15">
        <v>2065.3186728917835</v>
      </c>
      <c r="I22" s="16">
        <v>0.03</v>
      </c>
    </row>
    <row r="23" spans="1:10" x14ac:dyDescent="0.3">
      <c r="A23" s="11">
        <f t="shared" si="0"/>
        <v>13</v>
      </c>
      <c r="B23" s="18">
        <f t="shared" ca="1" si="1"/>
        <v>-1.2970040214482501</v>
      </c>
      <c r="C23" s="3">
        <f t="shared" ca="1" si="2"/>
        <v>-1.6310952810489304E-2</v>
      </c>
      <c r="D23" s="12">
        <f t="shared" ca="1" si="3"/>
        <v>2017.7377912173788</v>
      </c>
      <c r="F23" s="14">
        <v>13</v>
      </c>
      <c r="G23" s="15">
        <v>2074.3745453719498</v>
      </c>
      <c r="H23" s="15">
        <v>1819.5507403389015</v>
      </c>
      <c r="I23" s="16">
        <v>0</v>
      </c>
    </row>
    <row r="24" spans="1:10" x14ac:dyDescent="0.3">
      <c r="A24" s="11">
        <f t="shared" si="0"/>
        <v>14</v>
      </c>
      <c r="B24" s="18">
        <f t="shared" ca="1" si="1"/>
        <v>3.3154176444106211E-2</v>
      </c>
      <c r="C24" s="3">
        <f t="shared" ca="1" si="2"/>
        <v>4.4746526568695608E-4</v>
      </c>
      <c r="D24" s="12">
        <f t="shared" ca="1" si="3"/>
        <v>2018.6408608252855</v>
      </c>
      <c r="F24" s="14">
        <v>14</v>
      </c>
      <c r="G24" s="15">
        <v>2184.4235978966612</v>
      </c>
      <c r="H24" s="15">
        <v>2131.1001968330838</v>
      </c>
      <c r="I24" s="16">
        <v>5.4822712783809575E-2</v>
      </c>
    </row>
    <row r="25" spans="1:10" x14ac:dyDescent="0.3">
      <c r="A25" s="11">
        <f t="shared" si="0"/>
        <v>15</v>
      </c>
      <c r="B25" s="18">
        <f t="shared" ca="1" si="1"/>
        <v>-0.69358360552396081</v>
      </c>
      <c r="C25" s="3">
        <f t="shared" ca="1" si="2"/>
        <v>-8.7085701602282149E-3</v>
      </c>
      <c r="D25" s="12">
        <f t="shared" ca="1" si="3"/>
        <v>2001.1377095893672</v>
      </c>
      <c r="F25" s="14">
        <v>15</v>
      </c>
      <c r="G25" s="15">
        <v>2606.905900408693</v>
      </c>
      <c r="H25" s="15">
        <v>2365.7876262514487</v>
      </c>
      <c r="I25" s="16">
        <v>0.03</v>
      </c>
    </row>
    <row r="26" spans="1:10" x14ac:dyDescent="0.3">
      <c r="A26" s="11">
        <f t="shared" si="0"/>
        <v>16</v>
      </c>
      <c r="B26" s="18">
        <f t="shared" ca="1" si="1"/>
        <v>-1.2895425354554784</v>
      </c>
      <c r="C26" s="3">
        <f t="shared" ca="1" si="2"/>
        <v>-1.6216946923118515E-2</v>
      </c>
      <c r="D26" s="12">
        <f t="shared" ca="1" si="3"/>
        <v>1968.9470878487127</v>
      </c>
      <c r="F26" s="14">
        <v>16</v>
      </c>
      <c r="G26" s="15">
        <v>2114.301625881079</v>
      </c>
      <c r="H26" s="15">
        <v>1863.0340717968277</v>
      </c>
      <c r="I26" s="16">
        <v>0</v>
      </c>
    </row>
    <row r="27" spans="1:10" x14ac:dyDescent="0.3">
      <c r="A27" s="11">
        <f t="shared" si="0"/>
        <v>17</v>
      </c>
      <c r="B27" s="18">
        <f t="shared" ca="1" si="1"/>
        <v>0.15600732355177416</v>
      </c>
      <c r="C27" s="3">
        <f t="shared" ca="1" si="2"/>
        <v>1.9952694324894488E-3</v>
      </c>
      <c r="D27" s="12">
        <f t="shared" ca="1" si="3"/>
        <v>1972.8795896829979</v>
      </c>
      <c r="F27" s="14">
        <v>17</v>
      </c>
      <c r="G27" s="15">
        <v>2160.0465672405421</v>
      </c>
      <c r="H27" s="15">
        <v>1628.7896458151417</v>
      </c>
      <c r="I27" s="16">
        <v>0</v>
      </c>
    </row>
    <row r="28" spans="1:10" x14ac:dyDescent="0.3">
      <c r="A28" s="11">
        <f t="shared" si="0"/>
        <v>18</v>
      </c>
      <c r="B28" s="18">
        <f t="shared" ca="1" si="1"/>
        <v>-0.14887968252286346</v>
      </c>
      <c r="C28" s="3">
        <f t="shared" ca="1" si="2"/>
        <v>-1.8459457867892666E-3</v>
      </c>
      <c r="D28" s="12">
        <f t="shared" ca="1" si="3"/>
        <v>1969.241120158503</v>
      </c>
      <c r="F28" s="14">
        <v>18</v>
      </c>
      <c r="G28" s="15">
        <v>2011.25</v>
      </c>
      <c r="H28" s="15">
        <v>1773.2125644661223</v>
      </c>
      <c r="I28" s="16">
        <v>0</v>
      </c>
    </row>
    <row r="29" spans="1:10" x14ac:dyDescent="0.3">
      <c r="A29" s="11">
        <f t="shared" si="0"/>
        <v>19</v>
      </c>
      <c r="B29" s="18">
        <f t="shared" ca="1" si="1"/>
        <v>-0.4627888397445305</v>
      </c>
      <c r="C29" s="3">
        <f t="shared" ca="1" si="2"/>
        <v>-5.8008294261912008E-3</v>
      </c>
      <c r="D29" s="12">
        <f t="shared" ca="1" si="3"/>
        <v>1957.8509564593403</v>
      </c>
      <c r="F29" s="14">
        <v>19</v>
      </c>
      <c r="G29" s="15">
        <v>2229.6920445882151</v>
      </c>
      <c r="H29" s="15">
        <v>2045.5499478577412</v>
      </c>
      <c r="I29" s="16">
        <v>1.5689721332068043E-2</v>
      </c>
    </row>
    <row r="30" spans="1:10" x14ac:dyDescent="0.3">
      <c r="A30" s="11">
        <f t="shared" si="0"/>
        <v>20</v>
      </c>
      <c r="B30" s="18">
        <f t="shared" ca="1" si="1"/>
        <v>1.0015480676799986</v>
      </c>
      <c r="C30" s="3">
        <f t="shared" ca="1" si="2"/>
        <v>1.2648081491231254E-2</v>
      </c>
      <c r="D30" s="12">
        <f t="shared" ca="1" si="3"/>
        <v>1982.7712798286782</v>
      </c>
      <c r="F30" s="14">
        <v>20</v>
      </c>
      <c r="G30" s="15">
        <v>2011.25</v>
      </c>
      <c r="H30" s="15">
        <v>1734.6399049112199</v>
      </c>
      <c r="I30" s="16">
        <v>0</v>
      </c>
    </row>
    <row r="31" spans="1:10" x14ac:dyDescent="0.3">
      <c r="A31" s="11">
        <f t="shared" si="0"/>
        <v>21</v>
      </c>
      <c r="B31" s="18">
        <f t="shared" ca="1" si="1"/>
        <v>0.272160216442556</v>
      </c>
      <c r="C31" s="3">
        <f t="shared" ca="1" si="2"/>
        <v>3.4586583308215011E-3</v>
      </c>
      <c r="D31" s="12">
        <f t="shared" ca="1" si="3"/>
        <v>1989.6408811877282</v>
      </c>
      <c r="F31" s="14">
        <v>21</v>
      </c>
      <c r="G31" s="15">
        <v>2802.1298071496385</v>
      </c>
      <c r="H31" s="15">
        <v>2800.7316553865198</v>
      </c>
      <c r="I31" s="16">
        <v>0.03</v>
      </c>
    </row>
    <row r="32" spans="1:10" x14ac:dyDescent="0.3">
      <c r="A32" s="11">
        <f t="shared" si="0"/>
        <v>22</v>
      </c>
      <c r="B32" s="21">
        <f t="shared" ca="1" si="1"/>
        <v>0.3001747229873995</v>
      </c>
      <c r="C32" s="22">
        <f t="shared" ca="1" si="2"/>
        <v>3.8116079375826784E-3</v>
      </c>
      <c r="D32" s="12">
        <f t="shared" ca="1" si="3"/>
        <v>1997.2390836486952</v>
      </c>
      <c r="F32" s="14">
        <v>22</v>
      </c>
      <c r="G32" s="15">
        <v>2518.3872063347071</v>
      </c>
      <c r="H32" s="15">
        <v>2451.4615784199341</v>
      </c>
      <c r="I32" s="16">
        <v>0.03</v>
      </c>
    </row>
    <row r="33" spans="1:9" x14ac:dyDescent="0.3">
      <c r="A33" s="11">
        <f t="shared" si="0"/>
        <v>23</v>
      </c>
      <c r="B33" s="18">
        <f t="shared" ca="1" si="1"/>
        <v>-0.94660813610798367</v>
      </c>
      <c r="C33" s="3">
        <f t="shared" ca="1" si="2"/>
        <v>-1.1896379605581459E-2</v>
      </c>
      <c r="D33" s="12">
        <f t="shared" ca="1" si="3"/>
        <v>1973.6199390568797</v>
      </c>
      <c r="F33" s="14">
        <v>23</v>
      </c>
      <c r="G33" s="15">
        <v>2285.5668895068343</v>
      </c>
      <c r="H33" s="15">
        <v>1496.5756915949639</v>
      </c>
      <c r="I33" s="16">
        <v>0</v>
      </c>
    </row>
    <row r="34" spans="1:9" x14ac:dyDescent="0.3">
      <c r="A34" s="11">
        <f t="shared" si="0"/>
        <v>24</v>
      </c>
      <c r="B34" s="18">
        <f t="shared" ca="1" si="1"/>
        <v>-2.30208540700652</v>
      </c>
      <c r="C34" s="3">
        <f t="shared" ca="1" si="2"/>
        <v>-2.897378801795315E-2</v>
      </c>
      <c r="D34" s="12">
        <f t="shared" ca="1" si="3"/>
        <v>1917.2571578509937</v>
      </c>
      <c r="F34" s="14">
        <v>24</v>
      </c>
      <c r="G34" s="15">
        <v>2418.3661108941515</v>
      </c>
      <c r="H34" s="15">
        <v>2057.1701033311283</v>
      </c>
      <c r="I34" s="16">
        <v>0.03</v>
      </c>
    </row>
    <row r="35" spans="1:9" x14ac:dyDescent="0.3">
      <c r="A35" s="11">
        <f t="shared" si="0"/>
        <v>25</v>
      </c>
      <c r="B35" s="18">
        <f t="shared" ca="1" si="1"/>
        <v>2.1134806213673025</v>
      </c>
      <c r="C35" s="3">
        <f t="shared" ca="1" si="2"/>
        <v>2.665711488043879E-2</v>
      </c>
      <c r="D35" s="12">
        <f t="shared" ca="1" si="3"/>
        <v>1969.0529988567989</v>
      </c>
      <c r="F35" s="14">
        <v>25</v>
      </c>
      <c r="G35" s="15">
        <v>2199.3072241522223</v>
      </c>
      <c r="H35" s="15">
        <v>1892.916190756303</v>
      </c>
      <c r="I35" s="16">
        <v>0</v>
      </c>
    </row>
    <row r="36" spans="1:9" x14ac:dyDescent="0.3">
      <c r="A36" s="11">
        <f t="shared" si="0"/>
        <v>26</v>
      </c>
      <c r="B36" s="18">
        <f t="shared" ca="1" si="1"/>
        <v>-0.1262450224791476</v>
      </c>
      <c r="C36" s="3">
        <f t="shared" ca="1" si="2"/>
        <v>-1.5607758749503972E-3</v>
      </c>
      <c r="D36" s="12">
        <f t="shared" ca="1" si="3"/>
        <v>1965.9821455199751</v>
      </c>
      <c r="F36" s="14">
        <v>26</v>
      </c>
      <c r="G36" s="15">
        <v>2374.3484008324422</v>
      </c>
      <c r="H36" s="15">
        <v>2255.8451269142452</v>
      </c>
      <c r="I36" s="16">
        <v>0.03</v>
      </c>
    </row>
    <row r="37" spans="1:9" x14ac:dyDescent="0.3">
      <c r="A37" s="11">
        <f t="shared" si="0"/>
        <v>27</v>
      </c>
      <c r="B37" s="18">
        <f t="shared" ca="1" si="1"/>
        <v>0.65612641435838737</v>
      </c>
      <c r="C37" s="3">
        <f t="shared" ca="1" si="2"/>
        <v>8.2961777191086286E-3</v>
      </c>
      <c r="D37" s="12">
        <f t="shared" ca="1" si="3"/>
        <v>1982.3601261743268</v>
      </c>
      <c r="F37" s="14">
        <v>27</v>
      </c>
      <c r="G37" s="15">
        <v>2934.008812254393</v>
      </c>
      <c r="H37" s="15">
        <v>2875.5522756708997</v>
      </c>
      <c r="I37" s="16">
        <v>0.03</v>
      </c>
    </row>
    <row r="38" spans="1:9" x14ac:dyDescent="0.3">
      <c r="A38" s="11">
        <f t="shared" si="0"/>
        <v>28</v>
      </c>
      <c r="B38" s="18">
        <f t="shared" ca="1" si="1"/>
        <v>-1.2399723997062511</v>
      </c>
      <c r="C38" s="3">
        <f t="shared" ca="1" si="2"/>
        <v>-1.5592421915270096E-2</v>
      </c>
      <c r="D38" s="12">
        <f t="shared" ca="1" si="3"/>
        <v>1951.6900623687509</v>
      </c>
      <c r="F38" s="14">
        <v>28</v>
      </c>
      <c r="G38" s="15">
        <v>2322.2061206799599</v>
      </c>
      <c r="H38" s="15">
        <v>1693.5555289745216</v>
      </c>
      <c r="I38" s="16">
        <v>0.03</v>
      </c>
    </row>
    <row r="39" spans="1:9" x14ac:dyDescent="0.3">
      <c r="A39" s="11">
        <f t="shared" si="0"/>
        <v>29</v>
      </c>
      <c r="B39" s="18">
        <f t="shared" ca="1" si="1"/>
        <v>-1.7805650109785356</v>
      </c>
      <c r="C39" s="3">
        <f t="shared" ca="1" si="2"/>
        <v>-2.240324862967713E-2</v>
      </c>
      <c r="D39" s="12">
        <f t="shared" ca="1" si="3"/>
        <v>1908.4520095140447</v>
      </c>
      <c r="F39" s="14">
        <v>29</v>
      </c>
      <c r="G39" s="15">
        <v>2065.8045524833524</v>
      </c>
      <c r="H39" s="15">
        <v>1946.3162705410289</v>
      </c>
      <c r="I39" s="16">
        <v>0</v>
      </c>
    </row>
    <row r="40" spans="1:9" x14ac:dyDescent="0.3">
      <c r="A40" s="11">
        <f t="shared" si="0"/>
        <v>30</v>
      </c>
      <c r="B40" s="18">
        <f t="shared" ca="1" si="1"/>
        <v>9.755861822553781E-2</v>
      </c>
      <c r="C40" s="3">
        <f t="shared" ca="1" si="2"/>
        <v>1.258884962266031E-3</v>
      </c>
      <c r="D40" s="12">
        <f t="shared" ca="1" si="3"/>
        <v>1910.8560439339271</v>
      </c>
      <c r="F40" s="14">
        <v>30</v>
      </c>
      <c r="G40" s="15">
        <v>2553.9996913255341</v>
      </c>
      <c r="H40" s="15">
        <v>2553.9996913255341</v>
      </c>
      <c r="I40" s="16">
        <v>0.03</v>
      </c>
    </row>
    <row r="41" spans="1:9" x14ac:dyDescent="0.3">
      <c r="A41" s="11">
        <f t="shared" si="0"/>
        <v>31</v>
      </c>
      <c r="B41" s="18">
        <f t="shared" ca="1" si="1"/>
        <v>0.55047578336726422</v>
      </c>
      <c r="C41" s="3">
        <f t="shared" ca="1" si="2"/>
        <v>6.9651048835868892E-3</v>
      </c>
      <c r="D41" s="12">
        <f t="shared" ca="1" si="3"/>
        <v>1924.2118148764207</v>
      </c>
      <c r="F41" s="14">
        <v>31</v>
      </c>
      <c r="G41" s="15">
        <v>2264.5147555679987</v>
      </c>
      <c r="H41" s="15">
        <v>1849.7592403742167</v>
      </c>
      <c r="I41" s="16">
        <v>0</v>
      </c>
    </row>
    <row r="42" spans="1:9" x14ac:dyDescent="0.3">
      <c r="A42" s="11">
        <f t="shared" si="0"/>
        <v>32</v>
      </c>
      <c r="B42" s="18">
        <f t="shared" ca="1" si="1"/>
        <v>-0.73263768779862937</v>
      </c>
      <c r="C42" s="3">
        <f t="shared" ca="1" si="2"/>
        <v>-9.2006053477550181E-3</v>
      </c>
      <c r="D42" s="12">
        <f t="shared" ca="1" si="3"/>
        <v>1906.5890955203265</v>
      </c>
      <c r="F42" s="14">
        <v>32</v>
      </c>
      <c r="G42" s="15">
        <v>2484.8267377703405</v>
      </c>
      <c r="H42" s="15">
        <v>2484.8267377703405</v>
      </c>
      <c r="I42" s="16">
        <v>0.03</v>
      </c>
    </row>
    <row r="43" spans="1:9" x14ac:dyDescent="0.3">
      <c r="A43" s="11">
        <f t="shared" si="0"/>
        <v>33</v>
      </c>
      <c r="B43" s="18">
        <f t="shared" ca="1" si="1"/>
        <v>-0.51469889938240776</v>
      </c>
      <c r="C43" s="3">
        <f t="shared" ca="1" si="2"/>
        <v>-6.4548347040214622E-3</v>
      </c>
      <c r="D43" s="12">
        <f t="shared" ca="1" si="3"/>
        <v>1894.3220116517855</v>
      </c>
      <c r="F43" s="14">
        <v>33</v>
      </c>
      <c r="G43" s="15">
        <v>2712.4460068768635</v>
      </c>
      <c r="H43" s="15">
        <v>2598.0840271071329</v>
      </c>
      <c r="I43" s="16">
        <v>0.03</v>
      </c>
    </row>
    <row r="44" spans="1:9" x14ac:dyDescent="0.3">
      <c r="A44" s="11">
        <f t="shared" si="0"/>
        <v>34</v>
      </c>
      <c r="B44" s="18">
        <f t="shared" ca="1" si="1"/>
        <v>-0.10414336292489149</v>
      </c>
      <c r="C44" s="3">
        <f t="shared" ca="1" si="2"/>
        <v>-1.2823211380819386E-3</v>
      </c>
      <c r="D44" s="12">
        <f t="shared" ca="1" si="3"/>
        <v>1891.8944392902349</v>
      </c>
      <c r="F44" s="14">
        <v>34</v>
      </c>
      <c r="G44" s="15">
        <v>2426.485564960476</v>
      </c>
      <c r="H44" s="15">
        <v>2057.581410943902</v>
      </c>
      <c r="I44" s="16">
        <v>0.03</v>
      </c>
    </row>
    <row r="45" spans="1:9" x14ac:dyDescent="0.3">
      <c r="A45" s="11">
        <f t="shared" si="0"/>
        <v>35</v>
      </c>
      <c r="B45" s="18">
        <f t="shared" ca="1" si="1"/>
        <v>0.27782584064945515</v>
      </c>
      <c r="C45" s="3">
        <f t="shared" ca="1" si="2"/>
        <v>3.5300384864091331E-3</v>
      </c>
      <c r="D45" s="12">
        <f t="shared" ca="1" si="3"/>
        <v>1898.5847009663798</v>
      </c>
      <c r="F45" s="14">
        <v>35</v>
      </c>
      <c r="G45" s="15">
        <v>2829.5581504167417</v>
      </c>
      <c r="H45" s="15">
        <v>2829.5581504167417</v>
      </c>
      <c r="I45" s="16">
        <v>0.03</v>
      </c>
    </row>
    <row r="46" spans="1:9" x14ac:dyDescent="0.3">
      <c r="A46" s="11">
        <f t="shared" si="0"/>
        <v>36</v>
      </c>
      <c r="B46" s="18">
        <f t="shared" ca="1" si="1"/>
        <v>-0.76116044527980697</v>
      </c>
      <c r="C46" s="3">
        <f t="shared" ca="1" si="2"/>
        <v>-9.5599583144264609E-3</v>
      </c>
      <c r="D46" s="12">
        <f t="shared" ca="1" si="3"/>
        <v>1880.5207930478039</v>
      </c>
      <c r="F46" s="14">
        <v>36</v>
      </c>
      <c r="G46" s="15">
        <v>2209.7108795189492</v>
      </c>
      <c r="H46" s="15">
        <v>1923.9221488539449</v>
      </c>
      <c r="I46" s="16">
        <v>0</v>
      </c>
    </row>
    <row r="47" spans="1:9" x14ac:dyDescent="0.3">
      <c r="A47" s="11">
        <f t="shared" si="0"/>
        <v>37</v>
      </c>
      <c r="B47" s="18">
        <f t="shared" ca="1" si="1"/>
        <v>-0.67191141049320346</v>
      </c>
      <c r="C47" s="3">
        <f t="shared" ca="1" si="2"/>
        <v>-8.435526167769769E-3</v>
      </c>
      <c r="D47" s="12">
        <f t="shared" ca="1" si="3"/>
        <v>1864.7243300977161</v>
      </c>
      <c r="F47" s="14">
        <v>37</v>
      </c>
      <c r="G47" s="15">
        <v>2011.25</v>
      </c>
      <c r="H47" s="15">
        <v>1624.1333698601647</v>
      </c>
      <c r="I47" s="16">
        <v>0</v>
      </c>
    </row>
    <row r="48" spans="1:9" x14ac:dyDescent="0.3">
      <c r="A48" s="11">
        <f t="shared" si="0"/>
        <v>38</v>
      </c>
      <c r="B48" s="18">
        <f t="shared" ca="1" si="1"/>
        <v>-1.2113672215783355</v>
      </c>
      <c r="C48" s="3">
        <f t="shared" ca="1" si="2"/>
        <v>-1.5232030546055007E-2</v>
      </c>
      <c r="D48" s="12">
        <f t="shared" ca="1" si="3"/>
        <v>1836.5360197503733</v>
      </c>
      <c r="F48" s="14">
        <v>38</v>
      </c>
      <c r="G48" s="15">
        <v>2066.7643430654516</v>
      </c>
      <c r="H48" s="15">
        <v>1577.7514862063235</v>
      </c>
      <c r="I48" s="16">
        <v>0</v>
      </c>
    </row>
    <row r="49" spans="1:9" x14ac:dyDescent="0.3">
      <c r="A49" s="11">
        <f t="shared" si="0"/>
        <v>39</v>
      </c>
      <c r="B49" s="18">
        <f t="shared" ca="1" si="1"/>
        <v>-0.93162293208988312</v>
      </c>
      <c r="C49" s="3">
        <f t="shared" ca="1" si="2"/>
        <v>-1.1707583780926888E-2</v>
      </c>
      <c r="D49" s="12">
        <f t="shared" ca="1" si="3"/>
        <v>1815.1599953931477</v>
      </c>
      <c r="F49" s="14">
        <v>39</v>
      </c>
      <c r="G49" s="15">
        <v>2378.6281793937546</v>
      </c>
      <c r="H49" s="15">
        <v>2231.0123078514698</v>
      </c>
      <c r="I49" s="16">
        <v>0.03</v>
      </c>
    </row>
    <row r="50" spans="1:9" x14ac:dyDescent="0.3">
      <c r="A50" s="11">
        <f t="shared" si="0"/>
        <v>40</v>
      </c>
      <c r="B50" s="18">
        <f t="shared" ca="1" si="1"/>
        <v>0.59684780608602528</v>
      </c>
      <c r="C50" s="3">
        <f t="shared" ca="1" si="2"/>
        <v>7.5493374545625037E-3</v>
      </c>
      <c r="D50" s="12">
        <f t="shared" ca="1" si="3"/>
        <v>1828.9151063916049</v>
      </c>
      <c r="F50" s="14">
        <v>40</v>
      </c>
      <c r="G50" s="15">
        <v>2114.9338665664732</v>
      </c>
      <c r="H50" s="15">
        <v>1717.7151871862932</v>
      </c>
      <c r="I50" s="16">
        <v>0</v>
      </c>
    </row>
    <row r="51" spans="1:9" x14ac:dyDescent="0.3">
      <c r="A51" s="11">
        <f t="shared" si="0"/>
        <v>41</v>
      </c>
      <c r="B51" s="18">
        <f t="shared" ca="1" si="1"/>
        <v>-0.45329668246667465</v>
      </c>
      <c r="C51" s="3">
        <f t="shared" ca="1" si="2"/>
        <v>-5.6812394854163515E-3</v>
      </c>
      <c r="D51" s="12">
        <f t="shared" ca="1" si="3"/>
        <v>1818.5540613310113</v>
      </c>
      <c r="F51" s="14">
        <v>41</v>
      </c>
      <c r="G51" s="15">
        <v>2243.1924259771358</v>
      </c>
      <c r="H51" s="15">
        <v>1774.0688898805352</v>
      </c>
      <c r="I51" s="16">
        <v>0</v>
      </c>
    </row>
    <row r="52" spans="1:9" x14ac:dyDescent="0.3">
      <c r="A52" s="11">
        <f t="shared" si="0"/>
        <v>42</v>
      </c>
      <c r="B52" s="18">
        <f t="shared" ca="1" si="1"/>
        <v>-5.7329715443126657E-2</v>
      </c>
      <c r="C52" s="3">
        <f t="shared" ca="1" si="2"/>
        <v>-6.9252461807910604E-4</v>
      </c>
      <c r="D52" s="12">
        <f t="shared" ca="1" si="3"/>
        <v>1817.29510385407</v>
      </c>
      <c r="F52" s="14">
        <v>42</v>
      </c>
      <c r="G52" s="15">
        <v>2570.1171190477726</v>
      </c>
      <c r="H52" s="15">
        <v>1877.6447078573906</v>
      </c>
      <c r="I52" s="16">
        <v>0.03</v>
      </c>
    </row>
    <row r="53" spans="1:9" x14ac:dyDescent="0.3">
      <c r="A53" s="11">
        <f t="shared" si="0"/>
        <v>43</v>
      </c>
      <c r="B53" s="18">
        <f t="shared" ca="1" si="1"/>
        <v>-1.0932398947026363</v>
      </c>
      <c r="C53" s="3">
        <f t="shared" ca="1" si="2"/>
        <v>-1.3743766117702928E-2</v>
      </c>
      <c r="D53" s="12">
        <f t="shared" ca="1" si="3"/>
        <v>1792.4894768103989</v>
      </c>
      <c r="F53" s="14">
        <v>43</v>
      </c>
      <c r="G53" s="15">
        <v>2784.8661501544352</v>
      </c>
      <c r="H53" s="15">
        <v>2753.6988603327527</v>
      </c>
      <c r="I53" s="16">
        <v>0.03</v>
      </c>
    </row>
    <row r="54" spans="1:9" x14ac:dyDescent="0.3">
      <c r="A54" s="11">
        <f t="shared" si="0"/>
        <v>44</v>
      </c>
      <c r="B54" s="18">
        <f t="shared" ca="1" si="1"/>
        <v>-0.48178702413229224</v>
      </c>
      <c r="C54" s="3">
        <f t="shared" ca="1" si="2"/>
        <v>-6.0401840511996171E-3</v>
      </c>
      <c r="D54" s="12">
        <f t="shared" ca="1" si="3"/>
        <v>1781.6951431597988</v>
      </c>
      <c r="F54" s="14">
        <v>44</v>
      </c>
      <c r="G54" s="15">
        <v>2542.9312035501162</v>
      </c>
      <c r="H54" s="15">
        <v>2268.6531013494177</v>
      </c>
      <c r="I54" s="16">
        <v>0.03</v>
      </c>
    </row>
    <row r="55" spans="1:9" x14ac:dyDescent="0.3">
      <c r="A55" s="11">
        <f t="shared" si="0"/>
        <v>45</v>
      </c>
      <c r="B55" s="18">
        <f t="shared" ca="1" si="1"/>
        <v>0.33142724223032233</v>
      </c>
      <c r="C55" s="3">
        <f t="shared" ca="1" si="2"/>
        <v>4.205352669778081E-3</v>
      </c>
      <c r="D55" s="12">
        <f t="shared" ca="1" si="3"/>
        <v>1789.2035763260026</v>
      </c>
      <c r="F55" s="14">
        <v>45</v>
      </c>
      <c r="G55" s="15">
        <v>2194.4189016437563</v>
      </c>
      <c r="H55" s="15">
        <v>1902.2799835009373</v>
      </c>
      <c r="I55" s="16">
        <v>0</v>
      </c>
    </row>
    <row r="56" spans="1:9" x14ac:dyDescent="0.3">
      <c r="A56" s="11">
        <f t="shared" si="0"/>
        <v>46</v>
      </c>
      <c r="B56" s="18">
        <f t="shared" ca="1" si="1"/>
        <v>-0.29747908626060277</v>
      </c>
      <c r="C56" s="3">
        <f t="shared" ca="1" si="2"/>
        <v>-3.7181222975632673E-3</v>
      </c>
      <c r="D56" s="12">
        <f t="shared" ca="1" si="3"/>
        <v>1782.5634506632905</v>
      </c>
      <c r="F56" s="14">
        <v>46</v>
      </c>
      <c r="G56" s="15">
        <v>2280.0365015106431</v>
      </c>
      <c r="H56" s="15">
        <v>2117.5620085162204</v>
      </c>
      <c r="I56" s="16">
        <v>4.8629980278395393E-2</v>
      </c>
    </row>
    <row r="57" spans="1:9" x14ac:dyDescent="0.3">
      <c r="A57" s="11">
        <f t="shared" si="0"/>
        <v>47</v>
      </c>
      <c r="B57" s="18">
        <f t="shared" ca="1" si="1"/>
        <v>-0.85241995916853852</v>
      </c>
      <c r="C57" s="3">
        <f t="shared" ca="1" si="2"/>
        <v>-1.0709720116894217E-2</v>
      </c>
      <c r="D57" s="12">
        <f t="shared" ca="1" si="3"/>
        <v>1763.5745593704269</v>
      </c>
      <c r="F57" s="14">
        <v>47</v>
      </c>
      <c r="G57" s="15">
        <v>2574.630867350681</v>
      </c>
      <c r="H57" s="15">
        <v>2554.5401354441933</v>
      </c>
      <c r="I57" s="16">
        <v>0.03</v>
      </c>
    </row>
    <row r="58" spans="1:9" x14ac:dyDescent="0.3">
      <c r="A58" s="11">
        <f t="shared" si="0"/>
        <v>48</v>
      </c>
      <c r="B58" s="18">
        <f t="shared" ca="1" si="1"/>
        <v>-0.30002092468819697</v>
      </c>
      <c r="C58" s="3">
        <f t="shared" ca="1" si="2"/>
        <v>-3.7501464516219423E-3</v>
      </c>
      <c r="D58" s="12">
        <f t="shared" ca="1" si="3"/>
        <v>1756.9732821091561</v>
      </c>
      <c r="F58" s="14">
        <v>48</v>
      </c>
      <c r="G58" s="15">
        <v>2287.5834519896189</v>
      </c>
      <c r="H58" s="15">
        <v>1860.5742567856917</v>
      </c>
      <c r="I58" s="16">
        <v>0</v>
      </c>
    </row>
    <row r="59" spans="1:9" x14ac:dyDescent="0.3">
      <c r="A59" s="11">
        <f t="shared" si="0"/>
        <v>49</v>
      </c>
      <c r="B59" s="18">
        <f t="shared" ca="1" si="1"/>
        <v>-1.5348600987138146</v>
      </c>
      <c r="C59" s="3">
        <f t="shared" ca="1" si="2"/>
        <v>-1.9307657707013343E-2</v>
      </c>
      <c r="D59" s="12">
        <f t="shared" ca="1" si="3"/>
        <v>1723.3756330519941</v>
      </c>
      <c r="F59" s="14">
        <v>49</v>
      </c>
      <c r="G59" s="15">
        <v>2265.5106034431224</v>
      </c>
      <c r="H59" s="15">
        <v>1730.0267353758738</v>
      </c>
      <c r="I59" s="16">
        <v>0</v>
      </c>
    </row>
    <row r="60" spans="1:9" x14ac:dyDescent="0.3">
      <c r="A60" s="11">
        <f t="shared" si="0"/>
        <v>50</v>
      </c>
      <c r="B60" s="18">
        <f t="shared" ca="1" si="1"/>
        <v>0.61242106551295772</v>
      </c>
      <c r="C60" s="3">
        <f t="shared" ca="1" si="2"/>
        <v>7.745542080973721E-3</v>
      </c>
      <c r="D60" s="12">
        <f t="shared" ca="1" si="3"/>
        <v>1736.775940869044</v>
      </c>
      <c r="F60" s="14">
        <v>50</v>
      </c>
      <c r="G60" s="15">
        <v>2051.5442498635025</v>
      </c>
      <c r="H60" s="15">
        <v>1777.4773515893526</v>
      </c>
      <c r="I60" s="16">
        <v>0</v>
      </c>
    </row>
    <row r="61" spans="1:9" x14ac:dyDescent="0.3">
      <c r="A61" s="11">
        <f t="shared" si="0"/>
        <v>51</v>
      </c>
      <c r="B61" s="18">
        <f t="shared" ca="1" si="1"/>
        <v>0.52062287619419589</v>
      </c>
      <c r="C61" s="3">
        <f t="shared" ca="1" si="2"/>
        <v>6.588993606004818E-3</v>
      </c>
      <c r="D61" s="12">
        <f t="shared" ca="1" si="3"/>
        <v>1748.2573303007459</v>
      </c>
      <c r="F61" s="14">
        <v>51</v>
      </c>
      <c r="G61" s="15">
        <v>2922.39758018474</v>
      </c>
      <c r="H61" s="15">
        <v>2877.6750411249218</v>
      </c>
      <c r="I61" s="16">
        <v>0.03</v>
      </c>
    </row>
    <row r="62" spans="1:9" x14ac:dyDescent="0.3">
      <c r="A62" s="11">
        <f t="shared" si="0"/>
        <v>52</v>
      </c>
      <c r="B62" s="18">
        <f t="shared" ca="1" si="1"/>
        <v>0.72577666521702477</v>
      </c>
      <c r="C62" s="3">
        <f t="shared" ca="1" si="2"/>
        <v>9.1736883978001411E-3</v>
      </c>
      <c r="D62" s="12">
        <f t="shared" ca="1" si="3"/>
        <v>1764.3690874154061</v>
      </c>
      <c r="F62" s="14">
        <v>52</v>
      </c>
      <c r="G62" s="15">
        <v>2553.4091542577939</v>
      </c>
      <c r="H62" s="15">
        <v>2265.8751152849222</v>
      </c>
      <c r="I62" s="16">
        <v>0.03</v>
      </c>
    </row>
    <row r="63" spans="1:9" x14ac:dyDescent="0.3">
      <c r="A63" s="11">
        <f t="shared" si="0"/>
        <v>53</v>
      </c>
      <c r="B63" s="18">
        <f t="shared" ca="1" si="1"/>
        <v>-0.1120976778849562</v>
      </c>
      <c r="C63" s="3">
        <f t="shared" ca="1" si="2"/>
        <v>-1.3825360868162809E-3</v>
      </c>
      <c r="D63" s="12">
        <f t="shared" ca="1" si="3"/>
        <v>1761.931468917634</v>
      </c>
      <c r="F63" s="14">
        <v>53</v>
      </c>
      <c r="G63" s="15">
        <v>2253.1639652684526</v>
      </c>
      <c r="H63" s="15">
        <v>1675.9281704721413</v>
      </c>
      <c r="I63" s="16">
        <v>0</v>
      </c>
    </row>
    <row r="64" spans="1:9" x14ac:dyDescent="0.3">
      <c r="A64" s="11">
        <f t="shared" si="0"/>
        <v>54</v>
      </c>
      <c r="B64" s="18">
        <f t="shared" ca="1" si="1"/>
        <v>1.7408877956696016</v>
      </c>
      <c r="C64" s="3">
        <f t="shared" ca="1" si="2"/>
        <v>2.1962886513377109E-2</v>
      </c>
      <c r="D64" s="12">
        <f t="shared" ca="1" si="3"/>
        <v>1801.0566480316936</v>
      </c>
      <c r="F64" s="14">
        <v>54</v>
      </c>
      <c r="G64" s="15">
        <v>2409.4854734517176</v>
      </c>
      <c r="H64" s="15">
        <v>2206.9725588976362</v>
      </c>
      <c r="I64" s="16">
        <v>0.03</v>
      </c>
    </row>
    <row r="65" spans="1:9" x14ac:dyDescent="0.3">
      <c r="A65" s="11">
        <f t="shared" si="0"/>
        <v>55</v>
      </c>
      <c r="B65" s="18">
        <f t="shared" ca="1" si="1"/>
        <v>1.2755905556424409</v>
      </c>
      <c r="C65" s="3">
        <f t="shared" ca="1" si="2"/>
        <v>1.610069230939332E-2</v>
      </c>
      <c r="D65" s="12">
        <f t="shared" ca="1" si="3"/>
        <v>1830.2896109158464</v>
      </c>
      <c r="F65" s="14">
        <v>55</v>
      </c>
      <c r="G65" s="15">
        <v>2035.0865338423025</v>
      </c>
      <c r="H65" s="15">
        <v>1708.0789583380317</v>
      </c>
      <c r="I65" s="16">
        <v>0</v>
      </c>
    </row>
    <row r="66" spans="1:9" x14ac:dyDescent="0.3">
      <c r="A66" s="11">
        <f t="shared" si="0"/>
        <v>56</v>
      </c>
      <c r="B66" s="18">
        <f t="shared" ca="1" si="1"/>
        <v>0.42912656392079357</v>
      </c>
      <c r="C66" s="3">
        <f t="shared" ca="1" si="2"/>
        <v>5.4362484243146783E-3</v>
      </c>
      <c r="D66" s="12">
        <f t="shared" ca="1" si="3"/>
        <v>1840.2666140924428</v>
      </c>
      <c r="F66" s="14">
        <v>56</v>
      </c>
      <c r="G66" s="15">
        <v>2996.4481904468157</v>
      </c>
      <c r="H66" s="15">
        <v>2796.6852417709838</v>
      </c>
      <c r="I66" s="16">
        <v>0.03</v>
      </c>
    </row>
    <row r="67" spans="1:9" x14ac:dyDescent="0.3">
      <c r="A67" s="11">
        <f t="shared" si="0"/>
        <v>57</v>
      </c>
      <c r="B67" s="18">
        <f t="shared" ca="1" si="1"/>
        <v>-1.0799396247325173</v>
      </c>
      <c r="C67" s="3">
        <f t="shared" ca="1" si="2"/>
        <v>-1.3576198466698379E-2</v>
      </c>
      <c r="D67" s="12">
        <f t="shared" ca="1" si="3"/>
        <v>1815.4516171129053</v>
      </c>
      <c r="F67" s="14">
        <v>57</v>
      </c>
      <c r="G67" s="15">
        <v>2993.1914738181408</v>
      </c>
      <c r="H67" s="15">
        <v>2700.0930611346384</v>
      </c>
      <c r="I67" s="16">
        <v>0.03</v>
      </c>
    </row>
    <row r="68" spans="1:9" x14ac:dyDescent="0.3">
      <c r="A68" s="11">
        <f t="shared" si="0"/>
        <v>58</v>
      </c>
      <c r="B68" s="18">
        <f t="shared" ca="1" si="1"/>
        <v>-1.2593604456049283</v>
      </c>
      <c r="C68" s="3">
        <f t="shared" ca="1" si="2"/>
        <v>-1.5836688333629171E-2</v>
      </c>
      <c r="D68" s="12">
        <f t="shared" ca="1" si="3"/>
        <v>1786.9273368924239</v>
      </c>
      <c r="F68" s="14">
        <v>58</v>
      </c>
      <c r="G68" s="15">
        <v>2184.3957630341683</v>
      </c>
      <c r="H68" s="15">
        <v>2030.6195240798177</v>
      </c>
      <c r="I68" s="16">
        <v>8.860142773614443E-3</v>
      </c>
    </row>
    <row r="69" spans="1:9" x14ac:dyDescent="0.3">
      <c r="A69" s="11">
        <f t="shared" si="0"/>
        <v>59</v>
      </c>
      <c r="B69" s="18">
        <f t="shared" ca="1" si="1"/>
        <v>-1.1520007704822401</v>
      </c>
      <c r="C69" s="3">
        <f t="shared" ca="1" si="2"/>
        <v>-1.4484083565956216E-2</v>
      </c>
      <c r="D69" s="12">
        <f t="shared" ca="1" si="3"/>
        <v>1761.231868888118</v>
      </c>
      <c r="F69" s="14">
        <v>59</v>
      </c>
      <c r="G69" s="15">
        <v>2377.0715511927287</v>
      </c>
      <c r="H69" s="15">
        <v>2000.034794825569</v>
      </c>
      <c r="I69" s="16">
        <v>0.03</v>
      </c>
    </row>
    <row r="70" spans="1:9" x14ac:dyDescent="0.3">
      <c r="A70" s="11">
        <f t="shared" si="0"/>
        <v>60</v>
      </c>
      <c r="B70" s="18">
        <f t="shared" ca="1" si="1"/>
        <v>9.7844271652235637E-2</v>
      </c>
      <c r="C70" s="3">
        <f t="shared" ca="1" si="2"/>
        <v>1.2624838571622019E-3</v>
      </c>
      <c r="D70" s="12">
        <f t="shared" ca="1" si="3"/>
        <v>1763.4567998655102</v>
      </c>
      <c r="F70" s="14">
        <v>60</v>
      </c>
      <c r="G70" s="15">
        <v>2565.2241422391153</v>
      </c>
      <c r="H70" s="15">
        <v>2548.655347728416</v>
      </c>
      <c r="I70" s="16">
        <v>0.03</v>
      </c>
    </row>
    <row r="71" spans="1:9" x14ac:dyDescent="0.3">
      <c r="A71" s="11">
        <f t="shared" si="0"/>
        <v>61</v>
      </c>
      <c r="B71" s="18">
        <f t="shared" ca="1" si="1"/>
        <v>-0.70496801417483879</v>
      </c>
      <c r="C71" s="3">
        <f t="shared" ca="1" si="2"/>
        <v>-8.8520002274365753E-3</v>
      </c>
      <c r="D71" s="12">
        <f t="shared" ca="1" si="3"/>
        <v>1747.9155668525186</v>
      </c>
      <c r="F71" s="14">
        <v>61</v>
      </c>
      <c r="G71" s="15">
        <v>2034.9414862822364</v>
      </c>
      <c r="H71" s="15">
        <v>1445.2578785712985</v>
      </c>
      <c r="I71" s="16">
        <v>0</v>
      </c>
    </row>
    <row r="72" spans="1:9" x14ac:dyDescent="0.3">
      <c r="A72" s="11">
        <f t="shared" si="0"/>
        <v>62</v>
      </c>
      <c r="B72" s="18">
        <f t="shared" ca="1" si="1"/>
        <v>0.68424806947620453</v>
      </c>
      <c r="C72" s="3">
        <f t="shared" ca="1" si="2"/>
        <v>8.6504772710003959E-3</v>
      </c>
      <c r="D72" s="12">
        <f t="shared" ca="1" si="3"/>
        <v>1763.1014586435631</v>
      </c>
      <c r="F72" s="14">
        <v>62</v>
      </c>
      <c r="G72" s="15">
        <v>2011.25</v>
      </c>
      <c r="H72" s="15">
        <v>1511.3659455115471</v>
      </c>
      <c r="I72" s="16">
        <v>0</v>
      </c>
    </row>
    <row r="73" spans="1:9" x14ac:dyDescent="0.3">
      <c r="A73" s="11">
        <f t="shared" si="0"/>
        <v>63</v>
      </c>
      <c r="B73" s="18">
        <f t="shared" ca="1" si="1"/>
        <v>-1.1417972198911945</v>
      </c>
      <c r="C73" s="3">
        <f t="shared" ca="1" si="2"/>
        <v>-1.4355530911890631E-2</v>
      </c>
      <c r="D73" s="12">
        <f t="shared" ca="1" si="3"/>
        <v>1737.9720060277573</v>
      </c>
      <c r="F73" s="14">
        <v>63</v>
      </c>
      <c r="G73" s="15">
        <v>2694.8589960960676</v>
      </c>
      <c r="H73" s="15">
        <v>2694.8589960960676</v>
      </c>
      <c r="I73" s="16">
        <v>0.03</v>
      </c>
    </row>
    <row r="74" spans="1:9" x14ac:dyDescent="0.3">
      <c r="A74" s="11">
        <f t="shared" si="0"/>
        <v>64</v>
      </c>
      <c r="B74" s="18">
        <f t="shared" ca="1" si="1"/>
        <v>-1.5173465567177047</v>
      </c>
      <c r="C74" s="3">
        <f t="shared" ca="1" si="2"/>
        <v>-1.9087007817977189E-2</v>
      </c>
      <c r="D74" s="12">
        <f t="shared" ca="1" si="3"/>
        <v>1705.1138997759924</v>
      </c>
      <c r="F74" s="14">
        <v>64</v>
      </c>
      <c r="G74" s="15">
        <v>2242.283008704138</v>
      </c>
      <c r="H74" s="15">
        <v>2242.283008704138</v>
      </c>
      <c r="I74" s="16">
        <v>0.1056807298982259</v>
      </c>
    </row>
    <row r="75" spans="1:9" x14ac:dyDescent="0.3">
      <c r="A75" s="11">
        <f t="shared" si="0"/>
        <v>65</v>
      </c>
      <c r="B75" s="18">
        <f t="shared" ca="1" si="1"/>
        <v>-1.1179761003888071</v>
      </c>
      <c r="C75" s="3">
        <f t="shared" ca="1" si="2"/>
        <v>-1.4055413015916975E-2</v>
      </c>
      <c r="D75" s="12">
        <f t="shared" ca="1" si="3"/>
        <v>1681.3154599158627</v>
      </c>
      <c r="F75" s="14">
        <v>65</v>
      </c>
      <c r="G75" s="15">
        <v>2350.1572412246564</v>
      </c>
      <c r="H75" s="15">
        <v>2284.311281510385</v>
      </c>
      <c r="I75" s="16">
        <v>0.03</v>
      </c>
    </row>
    <row r="76" spans="1:9" x14ac:dyDescent="0.3">
      <c r="A76" s="11">
        <f t="shared" si="0"/>
        <v>66</v>
      </c>
      <c r="B76" s="18">
        <f t="shared" ca="1" si="1"/>
        <v>2.6442172326900213</v>
      </c>
      <c r="C76" s="3">
        <f t="shared" ca="1" si="2"/>
        <v>3.3343767667281941E-2</v>
      </c>
      <c r="D76" s="12">
        <f t="shared" ca="1" si="3"/>
        <v>1738.3219764192202</v>
      </c>
      <c r="F76" s="14">
        <v>66</v>
      </c>
      <c r="G76" s="15">
        <v>2096.2210391323115</v>
      </c>
      <c r="H76" s="15">
        <v>1625.2374952268701</v>
      </c>
      <c r="I76" s="16">
        <v>0</v>
      </c>
    </row>
    <row r="77" spans="1:9" x14ac:dyDescent="0.3">
      <c r="A77" s="11">
        <f t="shared" ref="A77:A140" si="4">A76+1</f>
        <v>67</v>
      </c>
      <c r="B77" s="18">
        <f t="shared" ref="B77:B140" ca="1" si="5">NORMSINV(RAND())</f>
        <v>1.177112817977938</v>
      </c>
      <c r="C77" s="3">
        <f t="shared" ref="C77:C140" ca="1" si="6">$B$7+$B$6*B77</f>
        <v>1.4859989435409829E-2</v>
      </c>
      <c r="D77" s="12">
        <f t="shared" ref="D77:D111" ca="1" si="7">D76*EXP(C77)</f>
        <v>1764.3463043555523</v>
      </c>
      <c r="F77" s="14">
        <v>67</v>
      </c>
      <c r="G77" s="15">
        <v>2329.6005484697944</v>
      </c>
      <c r="H77" s="15">
        <v>2117.7130541008719</v>
      </c>
      <c r="I77" s="16">
        <v>0.03</v>
      </c>
    </row>
    <row r="78" spans="1:9" x14ac:dyDescent="0.3">
      <c r="A78" s="11">
        <f t="shared" si="4"/>
        <v>68</v>
      </c>
      <c r="B78" s="18">
        <f t="shared" ca="1" si="5"/>
        <v>1.2902017429025323</v>
      </c>
      <c r="C78" s="3">
        <f t="shared" ca="1" si="6"/>
        <v>1.6284775965819974E-2</v>
      </c>
      <c r="D78" s="12">
        <f t="shared" ca="1" si="7"/>
        <v>1793.3135107233579</v>
      </c>
      <c r="F78" s="14">
        <v>68</v>
      </c>
      <c r="G78" s="15">
        <v>2347.8292333045392</v>
      </c>
      <c r="H78" s="15">
        <v>1938.0788094736731</v>
      </c>
      <c r="I78" s="16">
        <v>0.03</v>
      </c>
    </row>
    <row r="79" spans="1:9" x14ac:dyDescent="0.3">
      <c r="A79" s="11">
        <f t="shared" si="4"/>
        <v>69</v>
      </c>
      <c r="B79" s="18">
        <f t="shared" ca="1" si="5"/>
        <v>0.74540256563346297</v>
      </c>
      <c r="C79" s="3">
        <f t="shared" ca="1" si="6"/>
        <v>9.4209515014078288E-3</v>
      </c>
      <c r="D79" s="12">
        <f t="shared" ca="1" si="7"/>
        <v>1810.2880630047075</v>
      </c>
      <c r="F79" s="14">
        <v>69</v>
      </c>
      <c r="G79" s="15">
        <v>2011.25</v>
      </c>
      <c r="H79" s="15">
        <v>1761.4175341553919</v>
      </c>
      <c r="I79" s="16">
        <v>0</v>
      </c>
    </row>
    <row r="80" spans="1:9" x14ac:dyDescent="0.3">
      <c r="A80" s="11">
        <f t="shared" si="4"/>
        <v>70</v>
      </c>
      <c r="B80" s="18">
        <f t="shared" ca="1" si="5"/>
        <v>-0.34830940929987664</v>
      </c>
      <c r="C80" s="3">
        <f t="shared" ca="1" si="6"/>
        <v>-4.3585241729108652E-3</v>
      </c>
      <c r="D80" s="12">
        <f t="shared" ca="1" si="7"/>
        <v>1802.4150485475409</v>
      </c>
      <c r="F80" s="14">
        <v>70</v>
      </c>
      <c r="G80" s="15">
        <v>2169.1586262515207</v>
      </c>
      <c r="H80" s="15">
        <v>2008.304656401561</v>
      </c>
      <c r="I80" s="16">
        <v>0</v>
      </c>
    </row>
    <row r="81" spans="1:9" x14ac:dyDescent="0.3">
      <c r="A81" s="11">
        <f t="shared" si="4"/>
        <v>71</v>
      </c>
      <c r="B81" s="18">
        <f t="shared" ca="1" si="5"/>
        <v>-0.21275958080989843</v>
      </c>
      <c r="C81" s="3">
        <f t="shared" ca="1" si="6"/>
        <v>-2.6507568565206736E-3</v>
      </c>
      <c r="D81" s="12">
        <f t="shared" ca="1" si="7"/>
        <v>1797.643611253249</v>
      </c>
      <c r="F81" s="14">
        <v>71</v>
      </c>
      <c r="G81" s="15">
        <v>2789.7836685204929</v>
      </c>
      <c r="H81" s="15">
        <v>2470.4751452436167</v>
      </c>
      <c r="I81" s="16">
        <v>0.03</v>
      </c>
    </row>
    <row r="82" spans="1:9" x14ac:dyDescent="0.3">
      <c r="A82" s="11">
        <f t="shared" si="4"/>
        <v>72</v>
      </c>
      <c r="B82" s="18">
        <f t="shared" ca="1" si="5"/>
        <v>-0.96608501116691259</v>
      </c>
      <c r="C82" s="3">
        <f t="shared" ca="1" si="6"/>
        <v>-1.214176516616528E-2</v>
      </c>
      <c r="D82" s="12">
        <f t="shared" ca="1" si="7"/>
        <v>1775.9490165320856</v>
      </c>
      <c r="F82" s="14">
        <v>72</v>
      </c>
      <c r="G82" s="15">
        <v>2562.8463102306241</v>
      </c>
      <c r="H82" s="15">
        <v>2562.8463102306241</v>
      </c>
      <c r="I82" s="16">
        <v>0.03</v>
      </c>
    </row>
    <row r="83" spans="1:9" x14ac:dyDescent="0.3">
      <c r="A83" s="11">
        <f t="shared" si="4"/>
        <v>73</v>
      </c>
      <c r="B83" s="18">
        <f t="shared" ca="1" si="5"/>
        <v>0.91764389710149341</v>
      </c>
      <c r="C83" s="3">
        <f t="shared" ca="1" si="6"/>
        <v>1.1590988304031886E-2</v>
      </c>
      <c r="D83" s="12">
        <f t="shared" ca="1" si="7"/>
        <v>1796.6537833579823</v>
      </c>
      <c r="F83" s="14">
        <v>73</v>
      </c>
      <c r="G83" s="15">
        <v>2521.0811159950572</v>
      </c>
      <c r="H83" s="15">
        <v>1941.6480928195938</v>
      </c>
      <c r="I83" s="16">
        <v>0.03</v>
      </c>
    </row>
    <row r="84" spans="1:9" x14ac:dyDescent="0.3">
      <c r="A84" s="11">
        <f t="shared" si="4"/>
        <v>74</v>
      </c>
      <c r="B84" s="18">
        <f t="shared" ca="1" si="5"/>
        <v>-0.90033731540597883</v>
      </c>
      <c r="C84" s="3">
        <f t="shared" ca="1" si="6"/>
        <v>-1.1313422060170202E-2</v>
      </c>
      <c r="D84" s="12">
        <f t="shared" ca="1" si="7"/>
        <v>1776.4420284484618</v>
      </c>
      <c r="F84" s="14">
        <v>74</v>
      </c>
      <c r="G84" s="15">
        <v>2630.2225876691127</v>
      </c>
      <c r="H84" s="15">
        <v>2259.3534937524373</v>
      </c>
      <c r="I84" s="16">
        <v>0.03</v>
      </c>
    </row>
    <row r="85" spans="1:9" x14ac:dyDescent="0.3">
      <c r="A85" s="11">
        <f t="shared" si="4"/>
        <v>75</v>
      </c>
      <c r="B85" s="18">
        <f t="shared" ca="1" si="5"/>
        <v>-0.45517236062681649</v>
      </c>
      <c r="C85" s="3">
        <f t="shared" ca="1" si="6"/>
        <v>-5.7048708089941155E-3</v>
      </c>
      <c r="D85" s="12">
        <f t="shared" ca="1" si="7"/>
        <v>1766.3365089256238</v>
      </c>
      <c r="F85" s="14">
        <v>75</v>
      </c>
      <c r="G85" s="15">
        <v>2461.6921597451292</v>
      </c>
      <c r="H85" s="15">
        <v>2193.3599494179139</v>
      </c>
      <c r="I85" s="16">
        <v>0.03</v>
      </c>
    </row>
    <row r="86" spans="1:9" x14ac:dyDescent="0.3">
      <c r="A86" s="11">
        <f t="shared" si="4"/>
        <v>76</v>
      </c>
      <c r="B86" s="18">
        <f t="shared" ca="1" si="5"/>
        <v>0.26115475223556861</v>
      </c>
      <c r="C86" s="3">
        <f t="shared" ca="1" si="6"/>
        <v>3.3200025148476379E-3</v>
      </c>
      <c r="D86" s="12">
        <f t="shared" ca="1" si="7"/>
        <v>1772.2104960078063</v>
      </c>
      <c r="F86" s="14">
        <v>76</v>
      </c>
      <c r="G86" s="15">
        <v>2288.7342634925644</v>
      </c>
      <c r="H86" s="15">
        <v>1970.1902770898087</v>
      </c>
      <c r="I86" s="16">
        <v>0</v>
      </c>
    </row>
    <row r="87" spans="1:9" x14ac:dyDescent="0.3">
      <c r="A87" s="11">
        <f t="shared" si="4"/>
        <v>77</v>
      </c>
      <c r="B87" s="18">
        <f t="shared" ca="1" si="5"/>
        <v>-1.3073923810442871</v>
      </c>
      <c r="C87" s="3">
        <f t="shared" ca="1" si="6"/>
        <v>-1.6441833839160855E-2</v>
      </c>
      <c r="D87" s="12">
        <f t="shared" ca="1" si="7"/>
        <v>1743.3103423215186</v>
      </c>
      <c r="F87" s="14">
        <v>77</v>
      </c>
      <c r="G87" s="15">
        <v>2211.8405353573576</v>
      </c>
      <c r="H87" s="15">
        <v>2125.9711825911518</v>
      </c>
      <c r="I87" s="16">
        <v>5.2476563323236677E-2</v>
      </c>
    </row>
    <row r="88" spans="1:9" x14ac:dyDescent="0.3">
      <c r="A88" s="11">
        <f t="shared" si="4"/>
        <v>78</v>
      </c>
      <c r="B88" s="18">
        <f t="shared" ca="1" si="5"/>
        <v>-0.85246374653312051</v>
      </c>
      <c r="C88" s="3">
        <f t="shared" ca="1" si="6"/>
        <v>-1.0710271785833508E-2</v>
      </c>
      <c r="D88" s="12">
        <f t="shared" ca="1" si="7"/>
        <v>1724.7386462339891</v>
      </c>
      <c r="F88" s="14">
        <v>78</v>
      </c>
      <c r="G88" s="15">
        <v>2373.0924487416096</v>
      </c>
      <c r="H88" s="15">
        <v>2039.5343224578899</v>
      </c>
      <c r="I88" s="16">
        <v>0.03</v>
      </c>
    </row>
    <row r="89" spans="1:9" x14ac:dyDescent="0.3">
      <c r="A89" s="11">
        <f t="shared" si="4"/>
        <v>79</v>
      </c>
      <c r="B89" s="18">
        <f t="shared" ca="1" si="5"/>
        <v>-1.1564483083605657</v>
      </c>
      <c r="C89" s="3">
        <f t="shared" ca="1" si="6"/>
        <v>-1.4540117276301879E-2</v>
      </c>
      <c r="D89" s="12">
        <f t="shared" ca="1" si="7"/>
        <v>1699.8421814281166</v>
      </c>
      <c r="F89" s="14">
        <v>79</v>
      </c>
      <c r="G89" s="15">
        <v>2106.6238119196405</v>
      </c>
      <c r="H89" s="15">
        <v>1691.7879845027219</v>
      </c>
      <c r="I89" s="16">
        <v>0</v>
      </c>
    </row>
    <row r="90" spans="1:9" x14ac:dyDescent="0.3">
      <c r="A90" s="11">
        <f t="shared" si="4"/>
        <v>80</v>
      </c>
      <c r="B90" s="18">
        <f t="shared" ca="1" si="5"/>
        <v>1.083010655245932</v>
      </c>
      <c r="C90" s="3">
        <f t="shared" ca="1" si="6"/>
        <v>1.3674413623875455E-2</v>
      </c>
      <c r="D90" s="12">
        <f t="shared" ca="1" si="7"/>
        <v>1723.2461797984954</v>
      </c>
      <c r="F90" s="14">
        <v>80</v>
      </c>
      <c r="G90" s="15">
        <v>2195.515239201698</v>
      </c>
      <c r="H90" s="15">
        <v>2195.515239201698</v>
      </c>
      <c r="I90" s="16">
        <v>8.4287890647886651E-2</v>
      </c>
    </row>
    <row r="91" spans="1:9" x14ac:dyDescent="0.3">
      <c r="A91" s="11">
        <f t="shared" si="4"/>
        <v>81</v>
      </c>
      <c r="B91" s="18">
        <f t="shared" ca="1" si="5"/>
        <v>0.15972991094781142</v>
      </c>
      <c r="C91" s="3">
        <f t="shared" ca="1" si="6"/>
        <v>2.0421696252685825E-3</v>
      </c>
      <c r="D91" s="12">
        <f t="shared" ca="1" si="7"/>
        <v>1726.7689366129298</v>
      </c>
      <c r="F91" s="14">
        <v>81</v>
      </c>
      <c r="G91" s="15">
        <v>2322.8357103322351</v>
      </c>
      <c r="H91" s="15">
        <v>2052.0287313214399</v>
      </c>
      <c r="I91" s="16">
        <v>0.03</v>
      </c>
    </row>
    <row r="92" spans="1:9" x14ac:dyDescent="0.3">
      <c r="A92" s="11">
        <f t="shared" si="4"/>
        <v>82</v>
      </c>
      <c r="B92" s="18">
        <f t="shared" ca="1" si="5"/>
        <v>0.42907681636129846</v>
      </c>
      <c r="C92" s="3">
        <f t="shared" ca="1" si="6"/>
        <v>5.4356216639777424E-3</v>
      </c>
      <c r="D92" s="12">
        <f t="shared" ca="1" si="7"/>
        <v>1736.1805550791325</v>
      </c>
      <c r="F92" s="14">
        <v>82</v>
      </c>
      <c r="G92" s="15">
        <v>2556.7760641092127</v>
      </c>
      <c r="H92" s="15">
        <v>2555.1737296669048</v>
      </c>
      <c r="I92" s="16">
        <v>0.03</v>
      </c>
    </row>
    <row r="93" spans="1:9" x14ac:dyDescent="0.3">
      <c r="A93" s="11">
        <f t="shared" si="4"/>
        <v>83</v>
      </c>
      <c r="B93" s="18">
        <f t="shared" ca="1" si="5"/>
        <v>-1.0337994037433293</v>
      </c>
      <c r="C93" s="3">
        <f t="shared" ca="1" si="6"/>
        <v>-1.2994886323008123E-2</v>
      </c>
      <c r="D93" s="12">
        <f t="shared" ca="1" si="7"/>
        <v>1713.7650450678016</v>
      </c>
      <c r="F93" s="14">
        <v>83</v>
      </c>
      <c r="G93" s="15">
        <v>3061.5395068263524</v>
      </c>
      <c r="H93" s="15">
        <v>2948.494158000753</v>
      </c>
      <c r="I93" s="16">
        <v>0.03</v>
      </c>
    </row>
    <row r="94" spans="1:9" x14ac:dyDescent="0.3">
      <c r="A94" s="11">
        <f t="shared" si="4"/>
        <v>84</v>
      </c>
      <c r="B94" s="18">
        <f t="shared" ca="1" si="5"/>
        <v>-0.20206710401171404</v>
      </c>
      <c r="C94" s="3">
        <f t="shared" ca="1" si="6"/>
        <v>-2.5160443112477019E-3</v>
      </c>
      <c r="D94" s="12">
        <f t="shared" ca="1" si="7"/>
        <v>1709.4585562055897</v>
      </c>
      <c r="F94" s="14">
        <v>84</v>
      </c>
      <c r="G94" s="15">
        <v>2355.3930755783285</v>
      </c>
      <c r="H94" s="15">
        <v>1948.0436699259199</v>
      </c>
      <c r="I94" s="16">
        <v>0.03</v>
      </c>
    </row>
    <row r="95" spans="1:9" x14ac:dyDescent="0.3">
      <c r="A95" s="11">
        <f t="shared" si="4"/>
        <v>85</v>
      </c>
      <c r="B95" s="18">
        <f t="shared" ca="1" si="5"/>
        <v>-0.32622346705062133</v>
      </c>
      <c r="C95" s="3">
        <f t="shared" ca="1" si="6"/>
        <v>-4.0802674554724647E-3</v>
      </c>
      <c r="D95" s="12">
        <f t="shared" ca="1" si="7"/>
        <v>1702.4977187887494</v>
      </c>
      <c r="F95" s="14">
        <v>85</v>
      </c>
      <c r="G95" s="15">
        <v>2581.2508375259072</v>
      </c>
      <c r="H95" s="15">
        <v>2425.2739167917007</v>
      </c>
      <c r="I95" s="16">
        <v>0.03</v>
      </c>
    </row>
    <row r="96" spans="1:9" x14ac:dyDescent="0.3">
      <c r="A96" s="11">
        <f t="shared" si="4"/>
        <v>86</v>
      </c>
      <c r="B96" s="18">
        <f t="shared" ca="1" si="5"/>
        <v>1.6143872274372981</v>
      </c>
      <c r="C96" s="3">
        <f t="shared" ca="1" si="6"/>
        <v>2.0369129159800766E-2</v>
      </c>
      <c r="D96" s="12">
        <f t="shared" ca="1" si="7"/>
        <v>1737.5317093604917</v>
      </c>
      <c r="F96" s="14">
        <v>86</v>
      </c>
      <c r="G96" s="15">
        <v>2075.7725015040969</v>
      </c>
      <c r="H96" s="15">
        <v>2066.5207657474953</v>
      </c>
      <c r="I96" s="16">
        <v>2.5282339086486243E-2</v>
      </c>
    </row>
    <row r="97" spans="1:9" x14ac:dyDescent="0.3">
      <c r="A97" s="11">
        <f t="shared" si="4"/>
        <v>87</v>
      </c>
      <c r="B97" s="18">
        <f t="shared" ca="1" si="5"/>
        <v>-0.22517191735122691</v>
      </c>
      <c r="C97" s="3">
        <f t="shared" ca="1" si="6"/>
        <v>-2.8071375978425532E-3</v>
      </c>
      <c r="D97" s="12">
        <f t="shared" ca="1" si="7"/>
        <v>1732.6610582640142</v>
      </c>
      <c r="F97" s="14">
        <v>87</v>
      </c>
      <c r="G97" s="15">
        <v>2059.9162275286121</v>
      </c>
      <c r="H97" s="15">
        <v>1724.4555991479676</v>
      </c>
      <c r="I97" s="16">
        <v>0</v>
      </c>
    </row>
    <row r="98" spans="1:9" x14ac:dyDescent="0.3">
      <c r="A98" s="11">
        <f t="shared" si="4"/>
        <v>88</v>
      </c>
      <c r="B98" s="18">
        <f t="shared" ca="1" si="5"/>
        <v>1.0241992602025096</v>
      </c>
      <c r="C98" s="3">
        <f t="shared" ca="1" si="6"/>
        <v>1.2933459692724634E-2</v>
      </c>
      <c r="D98" s="12">
        <f t="shared" ca="1" si="7"/>
        <v>1755.2159018996642</v>
      </c>
      <c r="F98" s="14">
        <v>88</v>
      </c>
      <c r="G98" s="15">
        <v>2347.2928542045765</v>
      </c>
      <c r="H98" s="15">
        <v>1921.4728206784189</v>
      </c>
      <c r="I98" s="16">
        <v>0.03</v>
      </c>
    </row>
    <row r="99" spans="1:9" x14ac:dyDescent="0.3">
      <c r="A99" s="11">
        <f t="shared" si="4"/>
        <v>89</v>
      </c>
      <c r="B99" s="18">
        <f t="shared" ca="1" si="5"/>
        <v>0.1685991805977175</v>
      </c>
      <c r="C99" s="3">
        <f t="shared" ca="1" si="6"/>
        <v>2.1539119195753656E-3</v>
      </c>
      <c r="D99" s="12">
        <f t="shared" ca="1" si="7"/>
        <v>1759.0005567956496</v>
      </c>
      <c r="F99" s="14">
        <v>89</v>
      </c>
      <c r="G99" s="15">
        <v>2041.4028398414187</v>
      </c>
      <c r="H99" s="15">
        <v>1880.5155664145207</v>
      </c>
      <c r="I99" s="16">
        <v>0</v>
      </c>
    </row>
    <row r="100" spans="1:9" x14ac:dyDescent="0.3">
      <c r="A100" s="11">
        <f t="shared" si="4"/>
        <v>90</v>
      </c>
      <c r="B100" s="18">
        <f t="shared" ca="1" si="5"/>
        <v>-0.12677497970026436</v>
      </c>
      <c r="C100" s="3">
        <f t="shared" ca="1" si="6"/>
        <v>-1.5674527083436251E-3</v>
      </c>
      <c r="D100" s="12">
        <f t="shared" ca="1" si="7"/>
        <v>1756.2455663316175</v>
      </c>
      <c r="F100" s="14">
        <v>90</v>
      </c>
      <c r="G100" s="15">
        <v>2826.6861193079121</v>
      </c>
      <c r="H100" s="15">
        <v>2826.6861193079121</v>
      </c>
      <c r="I100" s="16">
        <v>0.03</v>
      </c>
    </row>
    <row r="101" spans="1:9" x14ac:dyDescent="0.3">
      <c r="A101" s="11">
        <f t="shared" si="4"/>
        <v>91</v>
      </c>
      <c r="B101" s="18">
        <f t="shared" ca="1" si="5"/>
        <v>-0.94724632271220488</v>
      </c>
      <c r="C101" s="3">
        <f t="shared" ca="1" si="6"/>
        <v>-1.1904420001032992E-2</v>
      </c>
      <c r="D101" s="12">
        <f t="shared" ca="1" si="7"/>
        <v>1735.4624325020209</v>
      </c>
      <c r="F101" s="14">
        <v>91</v>
      </c>
      <c r="G101" s="15">
        <v>2347.6238417732411</v>
      </c>
      <c r="H101" s="15">
        <v>2278.9423039961775</v>
      </c>
      <c r="I101" s="16">
        <v>0.03</v>
      </c>
    </row>
    <row r="102" spans="1:9" x14ac:dyDescent="0.3">
      <c r="A102" s="11">
        <f t="shared" si="4"/>
        <v>92</v>
      </c>
      <c r="B102" s="18">
        <f t="shared" ca="1" si="5"/>
        <v>-0.317733335294485</v>
      </c>
      <c r="C102" s="3">
        <f t="shared" ca="1" si="6"/>
        <v>-3.9733018496395656E-3</v>
      </c>
      <c r="D102" s="12">
        <f t="shared" ca="1" si="7"/>
        <v>1728.5805972670132</v>
      </c>
      <c r="F102" s="14">
        <v>92</v>
      </c>
      <c r="G102" s="15">
        <v>2179.4787758090679</v>
      </c>
      <c r="H102" s="15">
        <v>1755.3604923306925</v>
      </c>
      <c r="I102" s="16">
        <v>0</v>
      </c>
    </row>
    <row r="103" spans="1:9" x14ac:dyDescent="0.3">
      <c r="A103" s="11">
        <f t="shared" si="4"/>
        <v>93</v>
      </c>
      <c r="B103" s="18">
        <f t="shared" ca="1" si="5"/>
        <v>-1.3622251540673238</v>
      </c>
      <c r="C103" s="3">
        <f t="shared" ca="1" si="6"/>
        <v>-1.7132661844470411E-2</v>
      </c>
      <c r="D103" s="12">
        <f t="shared" ca="1" si="7"/>
        <v>1699.2176612833343</v>
      </c>
      <c r="F103" s="14">
        <v>93</v>
      </c>
      <c r="G103" s="15">
        <v>2315.2631760730728</v>
      </c>
      <c r="H103" s="15">
        <v>2227.736994054836</v>
      </c>
      <c r="I103" s="16">
        <v>0.03</v>
      </c>
    </row>
    <row r="104" spans="1:9" x14ac:dyDescent="0.3">
      <c r="A104" s="11">
        <f t="shared" si="4"/>
        <v>94</v>
      </c>
      <c r="B104" s="18">
        <f t="shared" ca="1" si="5"/>
        <v>0.21430312836345852</v>
      </c>
      <c r="C104" s="3">
        <f t="shared" ca="1" si="6"/>
        <v>2.7297275372993508E-3</v>
      </c>
      <c r="D104" s="12">
        <f t="shared" ca="1" si="7"/>
        <v>1703.8623990753777</v>
      </c>
      <c r="F104" s="14">
        <v>94</v>
      </c>
      <c r="G104" s="15">
        <v>2148.518185392792</v>
      </c>
      <c r="H104" s="15">
        <v>1903.8362450248078</v>
      </c>
      <c r="I104" s="16">
        <v>0</v>
      </c>
    </row>
    <row r="105" spans="1:9" x14ac:dyDescent="0.3">
      <c r="A105" s="11">
        <f t="shared" si="4"/>
        <v>95</v>
      </c>
      <c r="B105" s="18">
        <f t="shared" ca="1" si="5"/>
        <v>-0.69950805956973283</v>
      </c>
      <c r="C105" s="3">
        <f t="shared" ca="1" si="6"/>
        <v>-8.7832112652708027E-3</v>
      </c>
      <c r="D105" s="12">
        <f t="shared" ca="1" si="7"/>
        <v>1688.9625457243103</v>
      </c>
      <c r="F105" s="14">
        <v>95</v>
      </c>
      <c r="G105" s="15">
        <v>2479.6106141175296</v>
      </c>
      <c r="H105" s="15">
        <v>2436.1720417687534</v>
      </c>
      <c r="I105" s="16">
        <v>0.03</v>
      </c>
    </row>
    <row r="106" spans="1:9" x14ac:dyDescent="0.3">
      <c r="A106" s="11">
        <f t="shared" si="4"/>
        <v>96</v>
      </c>
      <c r="B106" s="18">
        <f t="shared" ca="1" si="5"/>
        <v>0.76789100958206491</v>
      </c>
      <c r="C106" s="3">
        <f t="shared" ca="1" si="6"/>
        <v>9.7042792636021901E-3</v>
      </c>
      <c r="D106" s="12">
        <f t="shared" ca="1" si="7"/>
        <v>1705.4324951763613</v>
      </c>
      <c r="F106" s="14">
        <v>96</v>
      </c>
      <c r="G106" s="15">
        <v>3709.1228584238424</v>
      </c>
      <c r="H106" s="15">
        <v>3665.7183510971136</v>
      </c>
      <c r="I106" s="16">
        <v>0.03</v>
      </c>
    </row>
    <row r="107" spans="1:9" x14ac:dyDescent="0.3">
      <c r="A107" s="11">
        <f t="shared" si="4"/>
        <v>97</v>
      </c>
      <c r="B107" s="18">
        <f t="shared" ca="1" si="5"/>
        <v>8.3738914094496325E-2</v>
      </c>
      <c r="C107" s="3">
        <f t="shared" ca="1" si="6"/>
        <v>1.0847730559649467E-3</v>
      </c>
      <c r="D107" s="12">
        <f t="shared" ca="1" si="7"/>
        <v>1707.2835061778139</v>
      </c>
      <c r="F107" s="14">
        <v>97</v>
      </c>
      <c r="G107" s="15">
        <v>2451.5854147230352</v>
      </c>
      <c r="H107" s="15">
        <v>2283.2207251663422</v>
      </c>
      <c r="I107" s="16">
        <v>0.03</v>
      </c>
    </row>
    <row r="108" spans="1:9" x14ac:dyDescent="0.3">
      <c r="A108" s="11">
        <f t="shared" si="4"/>
        <v>98</v>
      </c>
      <c r="B108" s="18">
        <f t="shared" ca="1" si="5"/>
        <v>3.8671466596178192E-2</v>
      </c>
      <c r="C108" s="3">
        <f t="shared" ca="1" si="6"/>
        <v>5.1697658784585223E-4</v>
      </c>
      <c r="D108" s="12">
        <f t="shared" ca="1" si="7"/>
        <v>1708.1663599670301</v>
      </c>
      <c r="F108" s="14">
        <v>98</v>
      </c>
      <c r="G108" s="15">
        <v>2096.8356268094763</v>
      </c>
      <c r="H108" s="15">
        <v>1470.7489211922978</v>
      </c>
      <c r="I108" s="16">
        <v>0</v>
      </c>
    </row>
    <row r="109" spans="1:9" x14ac:dyDescent="0.3">
      <c r="A109" s="11">
        <f t="shared" si="4"/>
        <v>99</v>
      </c>
      <c r="B109" s="18">
        <f t="shared" ca="1" si="5"/>
        <v>-0.83895923252556348</v>
      </c>
      <c r="C109" s="3">
        <f t="shared" ca="1" si="6"/>
        <v>-1.0540130901829774E-2</v>
      </c>
      <c r="D109" s="12">
        <f t="shared" ca="1" si="7"/>
        <v>1690.2566142685857</v>
      </c>
      <c r="F109" s="14">
        <v>99</v>
      </c>
      <c r="G109" s="15">
        <v>2397.0502356540533</v>
      </c>
      <c r="H109" s="15">
        <v>2353.7080006807732</v>
      </c>
      <c r="I109" s="16">
        <v>0.03</v>
      </c>
    </row>
    <row r="110" spans="1:9" x14ac:dyDescent="0.3">
      <c r="A110" s="11">
        <f t="shared" si="4"/>
        <v>100</v>
      </c>
      <c r="B110" s="18">
        <f t="shared" ca="1" si="5"/>
        <v>-0.3383380605371798</v>
      </c>
      <c r="C110" s="3">
        <f t="shared" ca="1" si="6"/>
        <v>-4.2328969869014008E-3</v>
      </c>
      <c r="D110" s="12">
        <f t="shared" ca="1" si="7"/>
        <v>1683.1170533121924</v>
      </c>
      <c r="F110" s="14">
        <v>100</v>
      </c>
      <c r="G110" s="15">
        <v>2924.6491669094485</v>
      </c>
      <c r="H110" s="15">
        <v>2396.5035487510631</v>
      </c>
      <c r="I110" s="16">
        <v>0.03</v>
      </c>
    </row>
    <row r="111" spans="1:9" x14ac:dyDescent="0.3">
      <c r="A111" s="11">
        <f t="shared" si="4"/>
        <v>101</v>
      </c>
      <c r="B111" s="18">
        <f t="shared" ca="1" si="5"/>
        <v>0.33269565481749264</v>
      </c>
      <c r="C111" s="3">
        <f t="shared" ca="1" si="6"/>
        <v>4.2213331662803505E-3</v>
      </c>
      <c r="D111" s="12">
        <f t="shared" ca="1" si="7"/>
        <v>1690.2370685573064</v>
      </c>
      <c r="F111" s="14">
        <v>101</v>
      </c>
      <c r="G111" s="15">
        <v>2385.5148059986695</v>
      </c>
      <c r="H111" s="15">
        <v>2200.8910571484284</v>
      </c>
      <c r="I111" s="16">
        <v>0.03</v>
      </c>
    </row>
    <row r="112" spans="1:9" x14ac:dyDescent="0.3">
      <c r="A112" s="11">
        <f t="shared" si="4"/>
        <v>102</v>
      </c>
      <c r="B112" s="18">
        <f t="shared" ca="1" si="5"/>
        <v>1.1223266896408162</v>
      </c>
      <c r="C112" s="3">
        <f t="shared" ca="1" si="6"/>
        <v>1.4169749097904624E-2</v>
      </c>
      <c r="D112" s="12">
        <f t="shared" ref="D112:D175" ca="1" si="8">D111*EXP(C112)</f>
        <v>1714.3577924554309</v>
      </c>
      <c r="F112" s="14">
        <v>102</v>
      </c>
      <c r="G112" s="15">
        <v>2164.3544319323287</v>
      </c>
      <c r="H112" s="15">
        <v>1952.339505696114</v>
      </c>
      <c r="I112" s="16">
        <v>0</v>
      </c>
    </row>
    <row r="113" spans="1:9" x14ac:dyDescent="0.3">
      <c r="A113" s="11">
        <f t="shared" si="4"/>
        <v>103</v>
      </c>
      <c r="B113" s="18">
        <f t="shared" ca="1" si="5"/>
        <v>1.5725271835543639</v>
      </c>
      <c r="C113" s="3">
        <f t="shared" ca="1" si="6"/>
        <v>1.984174217892222E-2</v>
      </c>
      <c r="D113" s="12">
        <f t="shared" ca="1" si="8"/>
        <v>1748.713347684359</v>
      </c>
      <c r="F113" s="14">
        <v>103</v>
      </c>
      <c r="G113" s="15">
        <v>2228.3504268103657</v>
      </c>
      <c r="H113" s="15">
        <v>1855.517287313181</v>
      </c>
      <c r="I113" s="16">
        <v>0</v>
      </c>
    </row>
    <row r="114" spans="1:9" x14ac:dyDescent="0.3">
      <c r="A114" s="11">
        <f t="shared" si="4"/>
        <v>104</v>
      </c>
      <c r="B114" s="18">
        <f t="shared" ca="1" si="5"/>
        <v>1.880907599669674</v>
      </c>
      <c r="C114" s="3">
        <f t="shared" ca="1" si="6"/>
        <v>2.3726970227701864E-2</v>
      </c>
      <c r="D114" s="12">
        <f t="shared" ca="1" si="8"/>
        <v>1790.7011693164586</v>
      </c>
      <c r="F114" s="14">
        <v>104</v>
      </c>
      <c r="G114" s="15">
        <v>2973.6646748046737</v>
      </c>
      <c r="H114" s="15">
        <v>2958.6004790144775</v>
      </c>
      <c r="I114" s="16">
        <v>0.03</v>
      </c>
    </row>
    <row r="115" spans="1:9" x14ac:dyDescent="0.3">
      <c r="A115" s="11">
        <f t="shared" si="4"/>
        <v>105</v>
      </c>
      <c r="B115" s="18">
        <f t="shared" ca="1" si="5"/>
        <v>1.353640655525906</v>
      </c>
      <c r="C115" s="3">
        <f t="shared" ca="1" si="6"/>
        <v>1.7084031138419033E-2</v>
      </c>
      <c r="D115" s="12">
        <f t="shared" ca="1" si="8"/>
        <v>1821.5563790777671</v>
      </c>
      <c r="F115" s="14">
        <v>105</v>
      </c>
      <c r="G115" s="15">
        <v>2236.7296401063113</v>
      </c>
      <c r="H115" s="15">
        <v>1879.6379305570176</v>
      </c>
      <c r="I115" s="16">
        <v>0</v>
      </c>
    </row>
    <row r="116" spans="1:9" x14ac:dyDescent="0.3">
      <c r="A116" s="11">
        <f t="shared" si="4"/>
        <v>106</v>
      </c>
      <c r="B116" s="18">
        <f t="shared" ca="1" si="5"/>
        <v>1.0313430343902288</v>
      </c>
      <c r="C116" s="3">
        <f t="shared" ca="1" si="6"/>
        <v>1.3023462787596574E-2</v>
      </c>
      <c r="D116" s="12">
        <f t="shared" ca="1" si="8"/>
        <v>1845.4345012161853</v>
      </c>
      <c r="F116" s="14">
        <v>106</v>
      </c>
      <c r="G116" s="15">
        <v>2075.6638399883259</v>
      </c>
      <c r="H116" s="15">
        <v>1571.3429913687978</v>
      </c>
      <c r="I116" s="16">
        <v>0</v>
      </c>
    </row>
    <row r="117" spans="1:9" x14ac:dyDescent="0.3">
      <c r="A117" s="11">
        <f t="shared" si="4"/>
        <v>107</v>
      </c>
      <c r="B117" s="18">
        <f t="shared" ca="1" si="5"/>
        <v>0.37078868537651194</v>
      </c>
      <c r="C117" s="3">
        <f t="shared" ca="1" si="6"/>
        <v>4.7012602402991543E-3</v>
      </c>
      <c r="D117" s="12">
        <f t="shared" ca="1" si="8"/>
        <v>1854.1307948154902</v>
      </c>
      <c r="F117" s="14">
        <v>107</v>
      </c>
      <c r="G117" s="15">
        <v>2074.4772463268264</v>
      </c>
      <c r="H117" s="15">
        <v>1531.9373674652065</v>
      </c>
      <c r="I117" s="16">
        <v>0</v>
      </c>
    </row>
    <row r="118" spans="1:9" x14ac:dyDescent="0.3">
      <c r="A118" s="11">
        <f t="shared" si="4"/>
        <v>108</v>
      </c>
      <c r="B118" s="18">
        <f t="shared" ca="1" si="5"/>
        <v>-0.36295911241887779</v>
      </c>
      <c r="C118" s="3">
        <f t="shared" ca="1" si="6"/>
        <v>-4.5430930835480285E-3</v>
      </c>
      <c r="D118" s="12">
        <f t="shared" ca="1" si="8"/>
        <v>1845.7264114289087</v>
      </c>
      <c r="F118" s="14">
        <v>108</v>
      </c>
      <c r="G118" s="15">
        <v>2870.2586778110303</v>
      </c>
      <c r="H118" s="15">
        <v>2795.7109923246039</v>
      </c>
      <c r="I118" s="16">
        <v>0.03</v>
      </c>
    </row>
    <row r="119" spans="1:9" x14ac:dyDescent="0.3">
      <c r="A119" s="11">
        <f t="shared" si="4"/>
        <v>109</v>
      </c>
      <c r="B119" s="18">
        <f t="shared" ca="1" si="5"/>
        <v>1.0587754374194429</v>
      </c>
      <c r="C119" s="3">
        <f t="shared" ca="1" si="6"/>
        <v>1.3369078579407029E-2</v>
      </c>
      <c r="D119" s="12">
        <f t="shared" ca="1" si="8"/>
        <v>1870.5677558071902</v>
      </c>
      <c r="F119" s="14">
        <v>109</v>
      </c>
      <c r="G119" s="15">
        <v>2070.0647971680942</v>
      </c>
      <c r="H119" s="15">
        <v>1562.7840864127506</v>
      </c>
      <c r="I119" s="16">
        <v>0</v>
      </c>
    </row>
    <row r="120" spans="1:9" x14ac:dyDescent="0.3">
      <c r="A120" s="11">
        <f t="shared" si="4"/>
        <v>110</v>
      </c>
      <c r="B120" s="18">
        <f t="shared" ca="1" si="5"/>
        <v>0.5449924111984823</v>
      </c>
      <c r="C120" s="3">
        <f t="shared" ca="1" si="6"/>
        <v>6.8960208878506525E-3</v>
      </c>
      <c r="D120" s="12">
        <f t="shared" ca="1" si="8"/>
        <v>1883.5118100613518</v>
      </c>
      <c r="F120" s="14">
        <v>110</v>
      </c>
      <c r="G120" s="15">
        <v>2258.5959965587685</v>
      </c>
      <c r="H120" s="15">
        <v>1755.0815748425894</v>
      </c>
      <c r="I120" s="16">
        <v>0</v>
      </c>
    </row>
    <row r="121" spans="1:9" x14ac:dyDescent="0.3">
      <c r="A121" s="11">
        <f t="shared" si="4"/>
        <v>111</v>
      </c>
      <c r="B121" s="18">
        <f t="shared" ca="1" si="5"/>
        <v>-0.11609083491882102</v>
      </c>
      <c r="C121" s="3">
        <f t="shared" ca="1" si="6"/>
        <v>-1.4328451366145412E-3</v>
      </c>
      <c r="D121" s="12">
        <f t="shared" ca="1" si="8"/>
        <v>1880.8149618688537</v>
      </c>
      <c r="F121" s="14">
        <v>111</v>
      </c>
      <c r="G121" s="15">
        <v>2063.6677810621104</v>
      </c>
      <c r="H121" s="15">
        <v>1863.5267039083035</v>
      </c>
      <c r="I121" s="16">
        <v>0</v>
      </c>
    </row>
    <row r="122" spans="1:9" x14ac:dyDescent="0.3">
      <c r="A122" s="11">
        <f t="shared" si="4"/>
        <v>112</v>
      </c>
      <c r="B122" s="18">
        <f t="shared" ca="1" si="5"/>
        <v>1.725322579967481</v>
      </c>
      <c r="C122" s="3">
        <f t="shared" ca="1" si="6"/>
        <v>2.1766783228372878E-2</v>
      </c>
      <c r="D122" s="12">
        <f t="shared" ca="1" si="8"/>
        <v>1922.2030622384166</v>
      </c>
      <c r="F122" s="14">
        <v>112</v>
      </c>
      <c r="G122" s="15">
        <v>2026.9493992315302</v>
      </c>
      <c r="H122" s="15">
        <v>1295.4431961719063</v>
      </c>
      <c r="I122" s="16">
        <v>0</v>
      </c>
    </row>
    <row r="123" spans="1:9" x14ac:dyDescent="0.3">
      <c r="A123" s="11">
        <f t="shared" si="4"/>
        <v>113</v>
      </c>
      <c r="B123" s="18">
        <f t="shared" ca="1" si="5"/>
        <v>-1.891182452063769</v>
      </c>
      <c r="C123" s="3">
        <f t="shared" ca="1" si="6"/>
        <v>-2.3796897390524114E-2</v>
      </c>
      <c r="D123" s="12">
        <f t="shared" ca="1" si="8"/>
        <v>1877.0005659180404</v>
      </c>
      <c r="F123" s="14">
        <v>113</v>
      </c>
      <c r="G123" s="15">
        <v>2548.0432461409951</v>
      </c>
      <c r="H123" s="15">
        <v>2313.510222155347</v>
      </c>
      <c r="I123" s="16">
        <v>0.03</v>
      </c>
    </row>
    <row r="124" spans="1:9" x14ac:dyDescent="0.3">
      <c r="A124" s="11">
        <f t="shared" si="4"/>
        <v>114</v>
      </c>
      <c r="B124" s="18">
        <f t="shared" ca="1" si="5"/>
        <v>-1.2021477823533109</v>
      </c>
      <c r="C124" s="3">
        <f t="shared" ca="1" si="6"/>
        <v>-1.5115876529784106E-2</v>
      </c>
      <c r="D124" s="12">
        <f t="shared" ca="1" si="8"/>
        <v>1848.8414183868647</v>
      </c>
      <c r="F124" s="14">
        <v>114</v>
      </c>
      <c r="G124" s="15">
        <v>2536.3864584423682</v>
      </c>
      <c r="H124" s="15">
        <v>2379.9906882583095</v>
      </c>
      <c r="I124" s="16">
        <v>0.03</v>
      </c>
    </row>
    <row r="125" spans="1:9" x14ac:dyDescent="0.3">
      <c r="A125" s="11">
        <f t="shared" si="4"/>
        <v>115</v>
      </c>
      <c r="B125" s="18">
        <f t="shared" ca="1" si="5"/>
        <v>0.49141200834158849</v>
      </c>
      <c r="C125" s="3">
        <f t="shared" ca="1" si="6"/>
        <v>6.2209712635363868E-3</v>
      </c>
      <c r="D125" s="12">
        <f t="shared" ca="1" si="8"/>
        <v>1860.3788575515523</v>
      </c>
      <c r="F125" s="14">
        <v>115</v>
      </c>
      <c r="G125" s="15">
        <v>2127.8607425060763</v>
      </c>
      <c r="H125" s="15">
        <v>2124.6194462861408</v>
      </c>
      <c r="I125" s="16">
        <v>5.1858242676569098E-2</v>
      </c>
    </row>
    <row r="126" spans="1:9" x14ac:dyDescent="0.3">
      <c r="A126" s="11">
        <f t="shared" si="4"/>
        <v>116</v>
      </c>
      <c r="B126" s="18">
        <f t="shared" ca="1" si="5"/>
        <v>-0.4015250520111035</v>
      </c>
      <c r="C126" s="3">
        <f t="shared" ca="1" si="6"/>
        <v>-5.0289782513507379E-3</v>
      </c>
      <c r="D126" s="12">
        <f t="shared" ca="1" si="8"/>
        <v>1851.0465384209622</v>
      </c>
      <c r="F126" s="14">
        <v>116</v>
      </c>
      <c r="G126" s="15">
        <v>2095.812751827189</v>
      </c>
      <c r="H126" s="15">
        <v>1907.810635259337</v>
      </c>
      <c r="I126" s="16">
        <v>0</v>
      </c>
    </row>
    <row r="127" spans="1:9" x14ac:dyDescent="0.3">
      <c r="A127" s="11">
        <f t="shared" si="4"/>
        <v>117</v>
      </c>
      <c r="B127" s="18">
        <f t="shared" ca="1" si="5"/>
        <v>-0.37668363583611897</v>
      </c>
      <c r="C127" s="3">
        <f t="shared" ca="1" si="6"/>
        <v>-4.716005825571374E-3</v>
      </c>
      <c r="D127" s="12">
        <f t="shared" ca="1" si="8"/>
        <v>1842.3375441374326</v>
      </c>
      <c r="F127" s="14">
        <v>117</v>
      </c>
      <c r="G127" s="15">
        <v>2222.5648902554194</v>
      </c>
      <c r="H127" s="15">
        <v>1790.1337079204072</v>
      </c>
      <c r="I127" s="16">
        <v>0</v>
      </c>
    </row>
    <row r="128" spans="1:9" x14ac:dyDescent="0.3">
      <c r="A128" s="11">
        <f t="shared" si="4"/>
        <v>118</v>
      </c>
      <c r="B128" s="18">
        <f t="shared" ca="1" si="5"/>
        <v>-0.78567970631635775</v>
      </c>
      <c r="C128" s="3">
        <f t="shared" ca="1" si="6"/>
        <v>-9.868871966968314E-3</v>
      </c>
      <c r="D128" s="12">
        <f t="shared" ca="1" si="8"/>
        <v>1824.2451732815937</v>
      </c>
      <c r="F128" s="14">
        <v>118</v>
      </c>
      <c r="G128" s="15">
        <v>2309.3569481957034</v>
      </c>
      <c r="H128" s="15">
        <v>2172.0180337470824</v>
      </c>
      <c r="I128" s="16">
        <v>7.3539635076353443E-2</v>
      </c>
    </row>
    <row r="129" spans="1:9" x14ac:dyDescent="0.3">
      <c r="A129" s="11">
        <f t="shared" si="4"/>
        <v>119</v>
      </c>
      <c r="B129" s="18">
        <f t="shared" ca="1" si="5"/>
        <v>-0.63214217545973939</v>
      </c>
      <c r="C129" s="3">
        <f t="shared" ca="1" si="6"/>
        <v>-7.9344809023896568E-3</v>
      </c>
      <c r="D129" s="12">
        <f t="shared" ca="1" si="8"/>
        <v>1809.8280067961534</v>
      </c>
      <c r="F129" s="14">
        <v>119</v>
      </c>
      <c r="G129" s="15">
        <v>2105.838741631705</v>
      </c>
      <c r="H129" s="15">
        <v>1492.3770254474341</v>
      </c>
      <c r="I129" s="16">
        <v>0</v>
      </c>
    </row>
    <row r="130" spans="1:9" x14ac:dyDescent="0.3">
      <c r="A130" s="11">
        <f t="shared" si="4"/>
        <v>120</v>
      </c>
      <c r="B130" s="18">
        <f t="shared" ca="1" si="5"/>
        <v>0.33499799854987949</v>
      </c>
      <c r="C130" s="3">
        <f t="shared" ca="1" si="6"/>
        <v>4.2503399707969399E-3</v>
      </c>
      <c r="D130" s="12">
        <f t="shared" ca="1" si="8"/>
        <v>1817.5367619235931</v>
      </c>
      <c r="F130" s="14">
        <v>120</v>
      </c>
      <c r="G130" s="15">
        <v>2059.9042043548125</v>
      </c>
      <c r="H130" s="15">
        <v>1877.3882319334637</v>
      </c>
      <c r="I130" s="16">
        <v>0</v>
      </c>
    </row>
    <row r="131" spans="1:9" x14ac:dyDescent="0.3">
      <c r="A131" s="11">
        <f t="shared" si="4"/>
        <v>121</v>
      </c>
      <c r="B131" s="18">
        <f t="shared" ca="1" si="5"/>
        <v>-0.73745614952253069</v>
      </c>
      <c r="C131" s="3">
        <f t="shared" ca="1" si="6"/>
        <v>-9.261312259294668E-3</v>
      </c>
      <c r="D131" s="12">
        <f t="shared" ca="1" si="8"/>
        <v>1800.7816931499333</v>
      </c>
      <c r="F131" s="14">
        <v>121</v>
      </c>
      <c r="G131" s="15">
        <v>2637.7850828526493</v>
      </c>
      <c r="H131" s="15">
        <v>2505.1767996923004</v>
      </c>
      <c r="I131" s="16">
        <v>0.03</v>
      </c>
    </row>
    <row r="132" spans="1:9" x14ac:dyDescent="0.3">
      <c r="A132" s="11">
        <f t="shared" si="4"/>
        <v>122</v>
      </c>
      <c r="B132" s="18">
        <f t="shared" ca="1" si="5"/>
        <v>-1.5176667788954334</v>
      </c>
      <c r="C132" s="3">
        <f t="shared" ca="1" si="6"/>
        <v>-1.909104223819889E-2</v>
      </c>
      <c r="D132" s="12">
        <f t="shared" ca="1" si="8"/>
        <v>1766.7289789406825</v>
      </c>
      <c r="F132" s="14">
        <v>122</v>
      </c>
      <c r="G132" s="15">
        <v>2032.3895532082529</v>
      </c>
      <c r="H132" s="15">
        <v>1889.6323496623968</v>
      </c>
      <c r="I132" s="16">
        <v>0</v>
      </c>
    </row>
    <row r="133" spans="1:9" x14ac:dyDescent="0.3">
      <c r="A133" s="11">
        <f t="shared" si="4"/>
        <v>123</v>
      </c>
      <c r="B133" s="18">
        <f t="shared" ca="1" si="5"/>
        <v>0.4066908973015233</v>
      </c>
      <c r="C133" s="3">
        <f t="shared" ca="1" si="6"/>
        <v>5.153585593969238E-3</v>
      </c>
      <c r="D133" s="12">
        <f t="shared" ca="1" si="8"/>
        <v>1775.8574699809974</v>
      </c>
      <c r="F133" s="14">
        <v>123</v>
      </c>
      <c r="G133" s="15">
        <v>2317.7969167679653</v>
      </c>
      <c r="H133" s="15">
        <v>1756.8548883261433</v>
      </c>
      <c r="I133" s="16">
        <v>0.03</v>
      </c>
    </row>
    <row r="134" spans="1:9" x14ac:dyDescent="0.3">
      <c r="A134" s="11">
        <f t="shared" si="4"/>
        <v>124</v>
      </c>
      <c r="B134" s="18">
        <f t="shared" ca="1" si="5"/>
        <v>-0.49814362351633534</v>
      </c>
      <c r="C134" s="3">
        <f t="shared" ca="1" si="6"/>
        <v>-6.2462578334133807E-3</v>
      </c>
      <c r="D134" s="12">
        <f t="shared" ca="1" si="8"/>
        <v>1764.7995775244203</v>
      </c>
      <c r="F134" s="14">
        <v>124</v>
      </c>
      <c r="G134" s="15">
        <v>2607.1100516633715</v>
      </c>
      <c r="H134" s="15">
        <v>1988.390471466487</v>
      </c>
      <c r="I134" s="16">
        <v>0.03</v>
      </c>
    </row>
    <row r="135" spans="1:9" x14ac:dyDescent="0.3">
      <c r="A135" s="11">
        <f t="shared" si="4"/>
        <v>125</v>
      </c>
      <c r="B135" s="18">
        <f t="shared" ca="1" si="5"/>
        <v>0.94839606511397534</v>
      </c>
      <c r="C135" s="3">
        <f t="shared" ca="1" si="6"/>
        <v>1.1978429203256185E-2</v>
      </c>
      <c r="D135" s="12">
        <f t="shared" ca="1" si="8"/>
        <v>1786.0662205280823</v>
      </c>
      <c r="F135" s="14">
        <v>125</v>
      </c>
      <c r="G135" s="15">
        <v>2091.9317364230951</v>
      </c>
      <c r="H135" s="15">
        <v>1678.0329261186107</v>
      </c>
      <c r="I135" s="16">
        <v>0</v>
      </c>
    </row>
    <row r="136" spans="1:9" x14ac:dyDescent="0.3">
      <c r="A136" s="11">
        <f t="shared" si="4"/>
        <v>126</v>
      </c>
      <c r="B136" s="18">
        <f t="shared" ca="1" si="5"/>
        <v>-6.9975009419409762E-2</v>
      </c>
      <c r="C136" s="3">
        <f t="shared" ca="1" si="6"/>
        <v>-8.5184034720552592E-4</v>
      </c>
      <c r="D136" s="12">
        <f t="shared" ca="1" si="8"/>
        <v>1784.545425088075</v>
      </c>
      <c r="F136" s="14">
        <v>126</v>
      </c>
      <c r="G136" s="15">
        <v>2287.8283510154652</v>
      </c>
      <c r="H136" s="15">
        <v>1993.812105559613</v>
      </c>
      <c r="I136" s="16">
        <v>0</v>
      </c>
    </row>
    <row r="137" spans="1:9" x14ac:dyDescent="0.3">
      <c r="A137" s="11">
        <f t="shared" si="4"/>
        <v>127</v>
      </c>
      <c r="B137" s="18">
        <f t="shared" ca="1" si="5"/>
        <v>-0.3379987481447671</v>
      </c>
      <c r="C137" s="3">
        <f t="shared" ca="1" si="6"/>
        <v>-4.2286220525819419E-3</v>
      </c>
      <c r="D137" s="12">
        <f t="shared" ca="1" si="8"/>
        <v>1777.0151894308228</v>
      </c>
      <c r="F137" s="14">
        <v>127</v>
      </c>
      <c r="G137" s="15">
        <v>2011.25</v>
      </c>
      <c r="H137" s="15">
        <v>1540.6240747619252</v>
      </c>
      <c r="I137" s="16">
        <v>0</v>
      </c>
    </row>
    <row r="138" spans="1:9" x14ac:dyDescent="0.3">
      <c r="A138" s="11">
        <f t="shared" si="4"/>
        <v>128</v>
      </c>
      <c r="B138" s="18">
        <f t="shared" ca="1" si="5"/>
        <v>1.4470208360524595</v>
      </c>
      <c r="C138" s="3">
        <f t="shared" ca="1" si="6"/>
        <v>1.8260510829159877E-2</v>
      </c>
      <c r="D138" s="12">
        <f t="shared" ca="1" si="8"/>
        <v>1809.7624756786413</v>
      </c>
      <c r="F138" s="14">
        <v>128</v>
      </c>
      <c r="G138" s="15">
        <v>3252.3168769084555</v>
      </c>
      <c r="H138" s="15">
        <v>3094.8061622661166</v>
      </c>
      <c r="I138" s="16">
        <v>0.03</v>
      </c>
    </row>
    <row r="139" spans="1:9" x14ac:dyDescent="0.3">
      <c r="A139" s="11">
        <f t="shared" si="4"/>
        <v>129</v>
      </c>
      <c r="B139" s="18">
        <f t="shared" ca="1" si="5"/>
        <v>-0.90751760251726665</v>
      </c>
      <c r="C139" s="3">
        <f t="shared" ca="1" si="6"/>
        <v>-1.1403885174639297E-2</v>
      </c>
      <c r="D139" s="12">
        <f t="shared" ca="1" si="8"/>
        <v>1789.2413846897216</v>
      </c>
      <c r="F139" s="14">
        <v>129</v>
      </c>
      <c r="G139" s="15">
        <v>2260.9637766299684</v>
      </c>
      <c r="H139" s="15">
        <v>2026.6536755861689</v>
      </c>
      <c r="I139" s="16">
        <v>7.0460567006962729E-3</v>
      </c>
    </row>
    <row r="140" spans="1:9" x14ac:dyDescent="0.3">
      <c r="A140" s="11">
        <f t="shared" si="4"/>
        <v>130</v>
      </c>
      <c r="B140" s="18">
        <f t="shared" ca="1" si="5"/>
        <v>-1.0733016320878239</v>
      </c>
      <c r="C140" s="3">
        <f t="shared" ca="1" si="6"/>
        <v>-1.3492567620305358E-2</v>
      </c>
      <c r="D140" s="12">
        <f t="shared" ca="1" si="8"/>
        <v>1765.2620594354939</v>
      </c>
      <c r="F140" s="14">
        <v>130</v>
      </c>
      <c r="G140" s="15">
        <v>2270.8424706132423</v>
      </c>
      <c r="H140" s="15">
        <v>2134.8826868486594</v>
      </c>
      <c r="I140" s="16">
        <v>5.6552925743078568E-2</v>
      </c>
    </row>
    <row r="141" spans="1:9" x14ac:dyDescent="0.3">
      <c r="A141" s="11">
        <f t="shared" ref="A141:A204" si="9">A140+1</f>
        <v>131</v>
      </c>
      <c r="B141" s="18">
        <f t="shared" ref="B141:B204" ca="1" si="10">NORMSINV(RAND())</f>
        <v>-1.1259281251336084</v>
      </c>
      <c r="C141" s="3">
        <f t="shared" ref="C141:C204" ca="1" si="11">$B$7+$B$6*B141</f>
        <v>-1.4155599110651148E-2</v>
      </c>
      <c r="D141" s="12">
        <f t="shared" ca="1" si="8"/>
        <v>1740.4497482865966</v>
      </c>
      <c r="F141" s="14">
        <v>131</v>
      </c>
      <c r="G141" s="15">
        <v>2523.4987519561569</v>
      </c>
      <c r="H141" s="15">
        <v>2298.0588143002769</v>
      </c>
      <c r="I141" s="16">
        <v>0.03</v>
      </c>
    </row>
    <row r="142" spans="1:9" x14ac:dyDescent="0.3">
      <c r="A142" s="11">
        <f t="shared" si="9"/>
        <v>132</v>
      </c>
      <c r="B142" s="18">
        <f t="shared" ca="1" si="10"/>
        <v>0.39381382972886769</v>
      </c>
      <c r="C142" s="3">
        <f t="shared" ca="1" si="11"/>
        <v>4.9913497920024722E-3</v>
      </c>
      <c r="D142" s="12">
        <f t="shared" ca="1" si="8"/>
        <v>1749.1586583029659</v>
      </c>
      <c r="F142" s="14">
        <v>132</v>
      </c>
      <c r="G142" s="15">
        <v>2946.2831523524874</v>
      </c>
      <c r="H142" s="15">
        <v>2541.451657110591</v>
      </c>
      <c r="I142" s="16">
        <v>0.03</v>
      </c>
    </row>
    <row r="143" spans="1:9" x14ac:dyDescent="0.3">
      <c r="A143" s="11">
        <f t="shared" si="9"/>
        <v>133</v>
      </c>
      <c r="B143" s="18">
        <f t="shared" ca="1" si="10"/>
        <v>-2.0205416162259011</v>
      </c>
      <c r="C143" s="3">
        <f t="shared" ca="1" si="11"/>
        <v>-2.5426669667572593E-2</v>
      </c>
      <c r="D143" s="12">
        <f t="shared" ca="1" si="8"/>
        <v>1705.24404600346</v>
      </c>
      <c r="F143" s="14">
        <v>133</v>
      </c>
      <c r="G143" s="15">
        <v>2737.1511594086319</v>
      </c>
      <c r="H143" s="15">
        <v>2400.7168208037406</v>
      </c>
      <c r="I143" s="16">
        <v>0.03</v>
      </c>
    </row>
    <row r="144" spans="1:9" x14ac:dyDescent="0.3">
      <c r="A144" s="11">
        <f t="shared" si="9"/>
        <v>134</v>
      </c>
      <c r="B144" s="18">
        <f t="shared" ca="1" si="10"/>
        <v>0.75830050214783007</v>
      </c>
      <c r="C144" s="3">
        <f t="shared" ca="1" si="11"/>
        <v>9.5834502273264687E-3</v>
      </c>
      <c r="D144" s="12">
        <f t="shared" ca="1" si="8"/>
        <v>1721.6647251482357</v>
      </c>
      <c r="F144" s="14">
        <v>134</v>
      </c>
      <c r="G144" s="15">
        <v>2738.8826109377233</v>
      </c>
      <c r="H144" s="15">
        <v>2605.4013450034686</v>
      </c>
      <c r="I144" s="16">
        <v>0.03</v>
      </c>
    </row>
    <row r="145" spans="1:9" x14ac:dyDescent="0.3">
      <c r="A145" s="11">
        <f t="shared" si="9"/>
        <v>135</v>
      </c>
      <c r="B145" s="18">
        <f t="shared" ca="1" si="10"/>
        <v>-0.89158854830551715</v>
      </c>
      <c r="C145" s="3">
        <f t="shared" ca="1" si="11"/>
        <v>-1.1203197955283319E-2</v>
      </c>
      <c r="D145" s="12">
        <f t="shared" ca="1" si="8"/>
        <v>1702.4842165514629</v>
      </c>
      <c r="F145" s="14">
        <v>135</v>
      </c>
      <c r="G145" s="15">
        <v>2868.2375956526835</v>
      </c>
      <c r="H145" s="15">
        <v>2589.1448243907789</v>
      </c>
      <c r="I145" s="16">
        <v>0.03</v>
      </c>
    </row>
    <row r="146" spans="1:9" x14ac:dyDescent="0.3">
      <c r="A146" s="11">
        <f t="shared" si="9"/>
        <v>136</v>
      </c>
      <c r="B146" s="18">
        <f t="shared" ca="1" si="10"/>
        <v>0.11050938453461151</v>
      </c>
      <c r="C146" s="3">
        <f t="shared" ca="1" si="11"/>
        <v>1.4220492810351876E-3</v>
      </c>
      <c r="D146" s="12">
        <f t="shared" ca="1" si="8"/>
        <v>1704.9069552262022</v>
      </c>
      <c r="F146" s="14">
        <v>136</v>
      </c>
      <c r="G146" s="15">
        <v>3349.4454166994537</v>
      </c>
      <c r="H146" s="15">
        <v>3349.4454166994537</v>
      </c>
      <c r="I146" s="16">
        <v>0.03</v>
      </c>
    </row>
    <row r="147" spans="1:9" x14ac:dyDescent="0.3">
      <c r="A147" s="11">
        <f t="shared" si="9"/>
        <v>137</v>
      </c>
      <c r="B147" s="18">
        <f t="shared" ca="1" si="10"/>
        <v>1.212654646028724</v>
      </c>
      <c r="C147" s="3">
        <f t="shared" ca="1" si="11"/>
        <v>1.5307774379043158E-2</v>
      </c>
      <c r="D147" s="12">
        <f t="shared" ca="1" si="8"/>
        <v>1731.2060630894928</v>
      </c>
      <c r="F147" s="14">
        <v>137</v>
      </c>
      <c r="G147" s="15">
        <v>2294.5698683771366</v>
      </c>
      <c r="H147" s="15">
        <v>2257.6703471728579</v>
      </c>
      <c r="I147" s="16">
        <v>0.11271931356073558</v>
      </c>
    </row>
    <row r="148" spans="1:9" x14ac:dyDescent="0.3">
      <c r="A148" s="11">
        <f t="shared" si="9"/>
        <v>138</v>
      </c>
      <c r="B148" s="18">
        <f t="shared" ca="1" si="10"/>
        <v>-0.33761690443727532</v>
      </c>
      <c r="C148" s="3">
        <f t="shared" ca="1" si="11"/>
        <v>-4.2238112740594748E-3</v>
      </c>
      <c r="D148" s="12">
        <f t="shared" ca="1" si="8"/>
        <v>1723.9091965444431</v>
      </c>
      <c r="F148" s="14">
        <v>138</v>
      </c>
      <c r="G148" s="15">
        <v>2462.3725464612367</v>
      </c>
      <c r="H148" s="15">
        <v>2037.2844518391857</v>
      </c>
      <c r="I148" s="16">
        <v>0.03</v>
      </c>
    </row>
    <row r="149" spans="1:9" x14ac:dyDescent="0.3">
      <c r="A149" s="11">
        <f t="shared" si="9"/>
        <v>139</v>
      </c>
      <c r="B149" s="18">
        <f t="shared" ca="1" si="10"/>
        <v>0.88633919601624278</v>
      </c>
      <c r="C149" s="3">
        <f t="shared" ca="1" si="11"/>
        <v>1.1196586142418615E-2</v>
      </c>
      <c r="D149" s="12">
        <f t="shared" ca="1" si="8"/>
        <v>1743.3195564698765</v>
      </c>
      <c r="F149" s="14">
        <v>139</v>
      </c>
      <c r="G149" s="15">
        <v>2186.1191671966235</v>
      </c>
      <c r="H149" s="15">
        <v>1474.7638630372512</v>
      </c>
      <c r="I149" s="16">
        <v>0</v>
      </c>
    </row>
    <row r="150" spans="1:9" x14ac:dyDescent="0.3">
      <c r="A150" s="11">
        <f t="shared" si="9"/>
        <v>140</v>
      </c>
      <c r="B150" s="18">
        <f t="shared" ca="1" si="10"/>
        <v>-1.1998413591310084</v>
      </c>
      <c r="C150" s="3">
        <f t="shared" ca="1" si="11"/>
        <v>-1.5086818328525648E-2</v>
      </c>
      <c r="D150" s="12">
        <f t="shared" ca="1" si="8"/>
        <v>1717.2158173431337</v>
      </c>
      <c r="F150" s="14">
        <v>140</v>
      </c>
      <c r="G150" s="15">
        <v>2407.7367660158047</v>
      </c>
      <c r="H150" s="15">
        <v>1422.8251336674482</v>
      </c>
      <c r="I150" s="16">
        <v>0.03</v>
      </c>
    </row>
    <row r="151" spans="1:9" x14ac:dyDescent="0.3">
      <c r="A151" s="11">
        <f t="shared" si="9"/>
        <v>141</v>
      </c>
      <c r="B151" s="18">
        <f t="shared" ca="1" si="10"/>
        <v>-0.82666780996934408</v>
      </c>
      <c r="C151" s="3">
        <f t="shared" ca="1" si="11"/>
        <v>-1.0385273533529934E-2</v>
      </c>
      <c r="D151" s="12">
        <f t="shared" ca="1" si="8"/>
        <v>1699.4743458381183</v>
      </c>
      <c r="F151" s="14">
        <v>141</v>
      </c>
      <c r="G151" s="15">
        <v>2021.6953345383274</v>
      </c>
      <c r="H151" s="15">
        <v>1680.9187766533412</v>
      </c>
      <c r="I151" s="16">
        <v>0</v>
      </c>
    </row>
    <row r="152" spans="1:9" x14ac:dyDescent="0.3">
      <c r="A152" s="11">
        <f t="shared" si="9"/>
        <v>142</v>
      </c>
      <c r="B152" s="18">
        <f t="shared" ca="1" si="10"/>
        <v>-0.94253064978610335</v>
      </c>
      <c r="C152" s="3">
        <f t="shared" ca="1" si="11"/>
        <v>-1.1845008106619731E-2</v>
      </c>
      <c r="D152" s="12">
        <f t="shared" ca="1" si="8"/>
        <v>1679.4628108066927</v>
      </c>
      <c r="F152" s="14">
        <v>142</v>
      </c>
      <c r="G152" s="15">
        <v>2408.8115079397417</v>
      </c>
      <c r="H152" s="15">
        <v>1956.7042635069843</v>
      </c>
      <c r="I152" s="16">
        <v>0.03</v>
      </c>
    </row>
    <row r="153" spans="1:9" x14ac:dyDescent="0.3">
      <c r="A153" s="11">
        <f t="shared" si="9"/>
        <v>143</v>
      </c>
      <c r="B153" s="18">
        <f t="shared" ca="1" si="10"/>
        <v>3.2970839662858373</v>
      </c>
      <c r="C153" s="3">
        <f t="shared" ca="1" si="11"/>
        <v>4.1569115364241876E-2</v>
      </c>
      <c r="D153" s="12">
        <f t="shared" ca="1" si="8"/>
        <v>1750.7479597139595</v>
      </c>
      <c r="F153" s="14">
        <v>143</v>
      </c>
      <c r="G153" s="15">
        <v>2535.2712119049638</v>
      </c>
      <c r="H153" s="15">
        <v>2018.0466973649934</v>
      </c>
      <c r="I153" s="16">
        <v>0.03</v>
      </c>
    </row>
    <row r="154" spans="1:9" x14ac:dyDescent="0.3">
      <c r="A154" s="11">
        <f t="shared" si="9"/>
        <v>144</v>
      </c>
      <c r="B154" s="18">
        <f t="shared" ca="1" si="10"/>
        <v>-1.1841776268005229</v>
      </c>
      <c r="C154" s="3">
        <f t="shared" ca="1" si="11"/>
        <v>-1.4889473850670661E-2</v>
      </c>
      <c r="D154" s="12">
        <f t="shared" ca="1" si="8"/>
        <v>1724.8733514243731</v>
      </c>
      <c r="F154" s="14">
        <v>144</v>
      </c>
      <c r="G154" s="15">
        <v>2335.2428834786688</v>
      </c>
      <c r="H154" s="15">
        <v>2267.3360131283457</v>
      </c>
      <c r="I154" s="16">
        <v>0.03</v>
      </c>
    </row>
    <row r="155" spans="1:9" x14ac:dyDescent="0.3">
      <c r="A155" s="11">
        <f t="shared" si="9"/>
        <v>145</v>
      </c>
      <c r="B155" s="18">
        <f t="shared" ca="1" si="10"/>
        <v>-0.91260122910713271</v>
      </c>
      <c r="C155" s="3">
        <f t="shared" ca="1" si="11"/>
        <v>-1.146793284947311E-2</v>
      </c>
      <c r="D155" s="12">
        <f t="shared" ca="1" si="8"/>
        <v>1705.2056093762476</v>
      </c>
      <c r="F155" s="14">
        <v>145</v>
      </c>
      <c r="G155" s="15">
        <v>2537.0938767786279</v>
      </c>
      <c r="H155" s="15">
        <v>2519.704442979229</v>
      </c>
      <c r="I155" s="16">
        <v>0.03</v>
      </c>
    </row>
    <row r="156" spans="1:9" x14ac:dyDescent="0.3">
      <c r="A156" s="11">
        <f t="shared" si="9"/>
        <v>146</v>
      </c>
      <c r="B156" s="18">
        <f t="shared" ca="1" si="10"/>
        <v>-0.35237065942141366</v>
      </c>
      <c r="C156" s="3">
        <f t="shared" ca="1" si="11"/>
        <v>-4.4096911149757115E-3</v>
      </c>
      <c r="D156" s="12">
        <f t="shared" ca="1" si="8"/>
        <v>1697.7027341904113</v>
      </c>
      <c r="F156" s="14">
        <v>146</v>
      </c>
      <c r="G156" s="15">
        <v>2107.3981939874288</v>
      </c>
      <c r="H156" s="15">
        <v>2045.9687137011506</v>
      </c>
      <c r="I156" s="16">
        <v>1.5881276124329879E-2</v>
      </c>
    </row>
    <row r="157" spans="1:9" x14ac:dyDescent="0.3">
      <c r="A157" s="11">
        <f t="shared" si="9"/>
        <v>147</v>
      </c>
      <c r="B157" s="18">
        <f t="shared" ca="1" si="10"/>
        <v>0.60004725382890034</v>
      </c>
      <c r="C157" s="3">
        <f t="shared" ca="1" si="11"/>
        <v>7.5896467072310483E-3</v>
      </c>
      <c r="D157" s="12">
        <f t="shared" ca="1" si="8"/>
        <v>1710.6367182555884</v>
      </c>
      <c r="F157" s="14">
        <v>147</v>
      </c>
      <c r="G157" s="15">
        <v>2308.118618319133</v>
      </c>
      <c r="H157" s="15">
        <v>1674.9828626344904</v>
      </c>
      <c r="I157" s="16">
        <v>0</v>
      </c>
    </row>
    <row r="158" spans="1:9" x14ac:dyDescent="0.3">
      <c r="A158" s="11">
        <f t="shared" si="9"/>
        <v>148</v>
      </c>
      <c r="B158" s="18">
        <f t="shared" ca="1" si="10"/>
        <v>0.99883446050470548</v>
      </c>
      <c r="C158" s="3">
        <f t="shared" ca="1" si="11"/>
        <v>1.2613893254365797E-2</v>
      </c>
      <c r="D158" s="12">
        <f t="shared" ca="1" si="8"/>
        <v>1732.351171197068</v>
      </c>
      <c r="F158" s="14">
        <v>148</v>
      </c>
      <c r="G158" s="15">
        <v>2578.7490103039668</v>
      </c>
      <c r="H158" s="15">
        <v>2578.7490103039668</v>
      </c>
      <c r="I158" s="16">
        <v>0.03</v>
      </c>
    </row>
    <row r="159" spans="1:9" x14ac:dyDescent="0.3">
      <c r="A159" s="11">
        <f t="shared" si="9"/>
        <v>149</v>
      </c>
      <c r="B159" s="18">
        <f t="shared" ca="1" si="10"/>
        <v>1.1566242374893132</v>
      </c>
      <c r="C159" s="3">
        <f t="shared" ca="1" si="11"/>
        <v>1.4601857584506821E-2</v>
      </c>
      <c r="D159" s="12">
        <f t="shared" ca="1" si="8"/>
        <v>1757.8322994447728</v>
      </c>
      <c r="F159" s="14">
        <v>149</v>
      </c>
      <c r="G159" s="15">
        <v>2504.3990339233278</v>
      </c>
      <c r="H159" s="15">
        <v>2182.5497576207522</v>
      </c>
      <c r="I159" s="16">
        <v>0.03</v>
      </c>
    </row>
    <row r="160" spans="1:9" x14ac:dyDescent="0.3">
      <c r="A160" s="11">
        <f t="shared" si="9"/>
        <v>150</v>
      </c>
      <c r="B160" s="18">
        <f t="shared" ca="1" si="10"/>
        <v>1.5154011120636328</v>
      </c>
      <c r="C160" s="3">
        <f t="shared" ca="1" si="11"/>
        <v>1.9122021328719499E-2</v>
      </c>
      <c r="D160" s="12">
        <f t="shared" ca="1" si="8"/>
        <v>1791.769041641807</v>
      </c>
      <c r="F160" s="14">
        <v>150</v>
      </c>
      <c r="G160" s="15">
        <v>2262.5417334633348</v>
      </c>
      <c r="H160" s="15">
        <v>1989.6315359820917</v>
      </c>
      <c r="I160" s="16">
        <v>0</v>
      </c>
    </row>
    <row r="161" spans="1:9" x14ac:dyDescent="0.3">
      <c r="A161" s="11">
        <f t="shared" si="9"/>
        <v>151</v>
      </c>
      <c r="B161" s="18">
        <f t="shared" ca="1" si="10"/>
        <v>-0.295465629195651</v>
      </c>
      <c r="C161" s="3">
        <f t="shared" ca="1" si="11"/>
        <v>-3.6927551229472273E-3</v>
      </c>
      <c r="D161" s="12">
        <f t="shared" ca="1" si="8"/>
        <v>1785.1646789861593</v>
      </c>
      <c r="F161" s="14">
        <v>151</v>
      </c>
      <c r="G161" s="15">
        <v>3015.5278374922536</v>
      </c>
      <c r="H161" s="15">
        <v>2990.7226482839874</v>
      </c>
      <c r="I161" s="16">
        <v>0.03</v>
      </c>
    </row>
    <row r="162" spans="1:9" x14ac:dyDescent="0.3">
      <c r="A162" s="11">
        <f t="shared" si="9"/>
        <v>152</v>
      </c>
      <c r="B162" s="18">
        <f t="shared" ca="1" si="10"/>
        <v>0.37436880342802747</v>
      </c>
      <c r="C162" s="3">
        <f t="shared" ca="1" si="11"/>
        <v>4.7463654880542175E-3</v>
      </c>
      <c r="D162" s="12">
        <f t="shared" ca="1" si="8"/>
        <v>1793.6578629420776</v>
      </c>
      <c r="F162" s="14">
        <v>152</v>
      </c>
      <c r="G162" s="15">
        <v>2672.4545687456393</v>
      </c>
      <c r="H162" s="15">
        <v>2423.3136110384908</v>
      </c>
      <c r="I162" s="16">
        <v>0.03</v>
      </c>
    </row>
    <row r="163" spans="1:9" x14ac:dyDescent="0.3">
      <c r="A163" s="11">
        <f t="shared" si="9"/>
        <v>153</v>
      </c>
      <c r="B163" s="18">
        <f t="shared" ca="1" si="10"/>
        <v>0.24424135532913815</v>
      </c>
      <c r="C163" s="3">
        <f t="shared" ca="1" si="11"/>
        <v>3.1069137432298086E-3</v>
      </c>
      <c r="D163" s="12">
        <f t="shared" ca="1" si="8"/>
        <v>1799.2392691912605</v>
      </c>
      <c r="F163" s="14">
        <v>153</v>
      </c>
      <c r="G163" s="15">
        <v>2320.7217454849701</v>
      </c>
      <c r="H163" s="15">
        <v>2320.7217454849701</v>
      </c>
      <c r="I163" s="16">
        <v>0.03</v>
      </c>
    </row>
    <row r="164" spans="1:9" x14ac:dyDescent="0.3">
      <c r="A164" s="11">
        <f t="shared" si="9"/>
        <v>154</v>
      </c>
      <c r="B164" s="18">
        <f t="shared" ca="1" si="10"/>
        <v>-5.7131555321181339E-2</v>
      </c>
      <c r="C164" s="3">
        <f t="shared" ca="1" si="11"/>
        <v>-6.9002803521035576E-4</v>
      </c>
      <c r="D164" s="12">
        <f t="shared" ca="1" si="8"/>
        <v>1797.9981718986749</v>
      </c>
      <c r="F164" s="14">
        <v>154</v>
      </c>
      <c r="G164" s="15">
        <v>2412.8791732603663</v>
      </c>
      <c r="H164" s="15">
        <v>2349.6357055835197</v>
      </c>
      <c r="I164" s="16">
        <v>0.03</v>
      </c>
    </row>
    <row r="165" spans="1:9" x14ac:dyDescent="0.3">
      <c r="A165" s="11">
        <f t="shared" si="9"/>
        <v>155</v>
      </c>
      <c r="B165" s="18">
        <f t="shared" ca="1" si="10"/>
        <v>1.073483994129351</v>
      </c>
      <c r="C165" s="3">
        <f t="shared" ca="1" si="11"/>
        <v>1.3554388975593254E-2</v>
      </c>
      <c r="D165" s="12">
        <f t="shared" ca="1" si="8"/>
        <v>1822.5348526974342</v>
      </c>
      <c r="F165" s="14">
        <v>155</v>
      </c>
      <c r="G165" s="15">
        <v>2484.5499698942544</v>
      </c>
      <c r="H165" s="15">
        <v>2484.5499698942544</v>
      </c>
      <c r="I165" s="16">
        <v>0.03</v>
      </c>
    </row>
    <row r="166" spans="1:9" x14ac:dyDescent="0.3">
      <c r="A166" s="11">
        <f t="shared" si="9"/>
        <v>156</v>
      </c>
      <c r="B166" s="18">
        <f t="shared" ca="1" si="10"/>
        <v>1.3769847756472147</v>
      </c>
      <c r="C166" s="3">
        <f t="shared" ca="1" si="11"/>
        <v>1.7378139407069518E-2</v>
      </c>
      <c r="D166" s="12">
        <f t="shared" ca="1" si="8"/>
        <v>1854.4839210771813</v>
      </c>
      <c r="F166" s="14">
        <v>156</v>
      </c>
      <c r="G166" s="15">
        <v>2116.945087746265</v>
      </c>
      <c r="H166" s="15">
        <v>1818.9017603632451</v>
      </c>
      <c r="I166" s="16">
        <v>0</v>
      </c>
    </row>
    <row r="167" spans="1:9" x14ac:dyDescent="0.3">
      <c r="A167" s="11">
        <f t="shared" si="9"/>
        <v>157</v>
      </c>
      <c r="B167" s="18">
        <f t="shared" ca="1" si="10"/>
        <v>-0.76956087154740949</v>
      </c>
      <c r="C167" s="3">
        <f t="shared" ca="1" si="11"/>
        <v>-9.6657937373360366E-3</v>
      </c>
      <c r="D167" s="12">
        <f t="shared" ca="1" si="8"/>
        <v>1836.6452135260811</v>
      </c>
      <c r="F167" s="14">
        <v>157</v>
      </c>
      <c r="G167" s="15">
        <v>2897.7663377677459</v>
      </c>
      <c r="H167" s="15">
        <v>2682.6435614526317</v>
      </c>
      <c r="I167" s="16">
        <v>0.03</v>
      </c>
    </row>
    <row r="168" spans="1:9" x14ac:dyDescent="0.3">
      <c r="A168" s="11">
        <f t="shared" si="9"/>
        <v>158</v>
      </c>
      <c r="B168" s="18">
        <f t="shared" ca="1" si="10"/>
        <v>0.14872803126489675</v>
      </c>
      <c r="C168" s="3">
        <f t="shared" ca="1" si="11"/>
        <v>1.9035589700531238E-3</v>
      </c>
      <c r="D168" s="12">
        <f t="shared" ca="1" si="8"/>
        <v>1840.1447056852273</v>
      </c>
      <c r="F168" s="14">
        <v>158</v>
      </c>
      <c r="G168" s="15">
        <v>2104.6290355590836</v>
      </c>
      <c r="H168" s="15">
        <v>1824.1516099056553</v>
      </c>
      <c r="I168" s="16">
        <v>0</v>
      </c>
    </row>
    <row r="169" spans="1:9" x14ac:dyDescent="0.3">
      <c r="A169" s="11">
        <f t="shared" si="9"/>
        <v>159</v>
      </c>
      <c r="B169" s="18">
        <f t="shared" ca="1" si="10"/>
        <v>0.2295804104004823</v>
      </c>
      <c r="C169" s="3">
        <f t="shared" ca="1" si="11"/>
        <v>2.9222031991039182E-3</v>
      </c>
      <c r="D169" s="12">
        <f t="shared" ca="1" si="8"/>
        <v>1845.529846837248</v>
      </c>
      <c r="F169" s="14">
        <v>159</v>
      </c>
      <c r="G169" s="15">
        <v>2238.0867207609153</v>
      </c>
      <c r="H169" s="15">
        <v>2087.5363761307276</v>
      </c>
      <c r="I169" s="16">
        <v>3.4895446135621767E-2</v>
      </c>
    </row>
    <row r="170" spans="1:9" x14ac:dyDescent="0.3">
      <c r="A170" s="11">
        <f t="shared" si="9"/>
        <v>160</v>
      </c>
      <c r="B170" s="18">
        <f t="shared" ca="1" si="10"/>
        <v>-0.12867167770926238</v>
      </c>
      <c r="C170" s="3">
        <f t="shared" ca="1" si="11"/>
        <v>-1.5913488571245779E-3</v>
      </c>
      <c r="D170" s="12">
        <f t="shared" ca="1" si="8"/>
        <v>1842.5953005873896</v>
      </c>
      <c r="F170" s="14">
        <v>160</v>
      </c>
      <c r="G170" s="15">
        <v>2979.5773648599729</v>
      </c>
      <c r="H170" s="15">
        <v>2979.5773648599729</v>
      </c>
      <c r="I170" s="16">
        <v>0.03</v>
      </c>
    </row>
    <row r="171" spans="1:9" x14ac:dyDescent="0.3">
      <c r="A171" s="11">
        <f t="shared" si="9"/>
        <v>161</v>
      </c>
      <c r="B171" s="18">
        <f t="shared" ca="1" si="10"/>
        <v>-1.4259099015113315</v>
      </c>
      <c r="C171" s="3">
        <f t="shared" ca="1" si="11"/>
        <v>-1.7935014244683745E-2</v>
      </c>
      <c r="D171" s="12">
        <f t="shared" ca="1" si="8"/>
        <v>1809.8429128306234</v>
      </c>
      <c r="F171" s="14">
        <v>161</v>
      </c>
      <c r="G171" s="15">
        <v>3095.542369620473</v>
      </c>
      <c r="H171" s="15">
        <v>2781.7839228304993</v>
      </c>
      <c r="I171" s="16">
        <v>0.03</v>
      </c>
    </row>
    <row r="172" spans="1:9" x14ac:dyDescent="0.3">
      <c r="A172" s="11">
        <f t="shared" si="9"/>
        <v>162</v>
      </c>
      <c r="B172" s="18">
        <f t="shared" ca="1" si="10"/>
        <v>1.4621362120478578</v>
      </c>
      <c r="C172" s="3">
        <f t="shared" ca="1" si="11"/>
        <v>1.8450946666574448E-2</v>
      </c>
      <c r="D172" s="12">
        <f t="shared" ca="1" si="8"/>
        <v>1843.5462005223465</v>
      </c>
      <c r="F172" s="14">
        <v>162</v>
      </c>
      <c r="G172" s="15">
        <v>2803.5079034878836</v>
      </c>
      <c r="H172" s="15">
        <v>2741.4479614045863</v>
      </c>
      <c r="I172" s="16">
        <v>0.03</v>
      </c>
    </row>
    <row r="173" spans="1:9" x14ac:dyDescent="0.3">
      <c r="A173" s="11">
        <f t="shared" si="9"/>
        <v>163</v>
      </c>
      <c r="B173" s="18">
        <f t="shared" ca="1" si="10"/>
        <v>-0.60012252472080252</v>
      </c>
      <c r="C173" s="3">
        <f t="shared" ca="1" si="11"/>
        <v>-7.5310712218069299E-3</v>
      </c>
      <c r="D173" s="12">
        <f t="shared" ca="1" si="8"/>
        <v>1829.7144720262227</v>
      </c>
      <c r="F173" s="14">
        <v>163</v>
      </c>
      <c r="G173" s="15">
        <v>2331.9327628288743</v>
      </c>
      <c r="H173" s="15">
        <v>1750.3417717738666</v>
      </c>
      <c r="I173" s="16">
        <v>0.03</v>
      </c>
    </row>
    <row r="174" spans="1:9" x14ac:dyDescent="0.3">
      <c r="A174" s="11">
        <f t="shared" si="9"/>
        <v>164</v>
      </c>
      <c r="B174" s="18">
        <f t="shared" ca="1" si="10"/>
        <v>-0.90253957720227163</v>
      </c>
      <c r="C174" s="3">
        <f t="shared" ca="1" si="11"/>
        <v>-1.1341167950812341E-2</v>
      </c>
      <c r="D174" s="12">
        <f t="shared" ca="1" si="8"/>
        <v>1809.0806001639114</v>
      </c>
      <c r="F174" s="14">
        <v>164</v>
      </c>
      <c r="G174" s="15">
        <v>2126.570780807725</v>
      </c>
      <c r="H174" s="15">
        <v>1552.0299554441085</v>
      </c>
      <c r="I174" s="16">
        <v>0</v>
      </c>
    </row>
    <row r="175" spans="1:9" x14ac:dyDescent="0.3">
      <c r="A175" s="11">
        <f t="shared" si="9"/>
        <v>165</v>
      </c>
      <c r="B175" s="18">
        <f t="shared" ca="1" si="10"/>
        <v>-0.31112348098532655</v>
      </c>
      <c r="C175" s="3">
        <f t="shared" ca="1" si="11"/>
        <v>-3.8900255129519379E-3</v>
      </c>
      <c r="D175" s="12">
        <f t="shared" ca="1" si="8"/>
        <v>1802.0569005167565</v>
      </c>
      <c r="F175" s="14">
        <v>165</v>
      </c>
      <c r="G175" s="15">
        <v>2593.2961697832197</v>
      </c>
      <c r="H175" s="15">
        <v>2431.704448023404</v>
      </c>
      <c r="I175" s="16">
        <v>0.03</v>
      </c>
    </row>
    <row r="176" spans="1:9" x14ac:dyDescent="0.3">
      <c r="A176" s="11">
        <f t="shared" si="9"/>
        <v>166</v>
      </c>
      <c r="B176" s="18">
        <f t="shared" ca="1" si="10"/>
        <v>2.5976330692526711E-3</v>
      </c>
      <c r="C176" s="3">
        <f t="shared" ca="1" si="11"/>
        <v>6.2489005231619002E-5</v>
      </c>
      <c r="D176" s="12">
        <f t="shared" ref="D176:D239" ca="1" si="12">D175*EXP(C176)</f>
        <v>1802.1695127783182</v>
      </c>
      <c r="F176" s="14">
        <v>166</v>
      </c>
      <c r="G176" s="15">
        <v>2545.0911465534618</v>
      </c>
      <c r="H176" s="15">
        <v>2288.2036017674136</v>
      </c>
      <c r="I176" s="16">
        <v>0.03</v>
      </c>
    </row>
    <row r="177" spans="1:9" x14ac:dyDescent="0.3">
      <c r="A177" s="11">
        <f t="shared" si="9"/>
        <v>167</v>
      </c>
      <c r="B177" s="18">
        <f t="shared" ca="1" si="10"/>
        <v>-0.20795116852336479</v>
      </c>
      <c r="C177" s="3">
        <f t="shared" ca="1" si="11"/>
        <v>-2.5901765559909807E-3</v>
      </c>
      <c r="D177" s="12">
        <f t="shared" ca="1" si="12"/>
        <v>1797.5076157310116</v>
      </c>
      <c r="F177" s="14">
        <v>167</v>
      </c>
      <c r="G177" s="15">
        <v>2527.7961822976654</v>
      </c>
      <c r="H177" s="15">
        <v>2527.7961822976654</v>
      </c>
      <c r="I177" s="16">
        <v>0.03</v>
      </c>
    </row>
    <row r="178" spans="1:9" x14ac:dyDescent="0.3">
      <c r="A178" s="11">
        <f t="shared" si="9"/>
        <v>168</v>
      </c>
      <c r="B178" s="18">
        <f t="shared" ca="1" si="10"/>
        <v>0.12328994616942776</v>
      </c>
      <c r="C178" s="3">
        <f t="shared" ca="1" si="11"/>
        <v>1.5830692224706967E-3</v>
      </c>
      <c r="D178" s="12">
        <f t="shared" ca="1" si="12"/>
        <v>1800.355448277912</v>
      </c>
      <c r="F178" s="14">
        <v>168</v>
      </c>
      <c r="G178" s="15">
        <v>2260.0704231591035</v>
      </c>
      <c r="H178" s="15">
        <v>2164.8791747153468</v>
      </c>
      <c r="I178" s="16">
        <v>7.0274128396827493E-2</v>
      </c>
    </row>
    <row r="179" spans="1:9" x14ac:dyDescent="0.3">
      <c r="A179" s="11">
        <f t="shared" si="9"/>
        <v>169</v>
      </c>
      <c r="B179" s="18">
        <f t="shared" ca="1" si="10"/>
        <v>-0.81077989176298104</v>
      </c>
      <c r="C179" s="3">
        <f t="shared" ca="1" si="11"/>
        <v>-1.018510457912721E-2</v>
      </c>
      <c r="D179" s="12">
        <f t="shared" ca="1" si="12"/>
        <v>1782.1117046871429</v>
      </c>
      <c r="F179" s="14">
        <v>169</v>
      </c>
      <c r="G179" s="15">
        <v>2597.3051976880397</v>
      </c>
      <c r="H179" s="15">
        <v>2341.5531525348729</v>
      </c>
      <c r="I179" s="16">
        <v>0.03</v>
      </c>
    </row>
    <row r="180" spans="1:9" x14ac:dyDescent="0.3">
      <c r="A180" s="11">
        <f t="shared" si="9"/>
        <v>170</v>
      </c>
      <c r="B180" s="18">
        <f t="shared" ca="1" si="10"/>
        <v>0.38751637904777037</v>
      </c>
      <c r="C180" s="3">
        <f t="shared" ca="1" si="11"/>
        <v>4.9120093710697203E-3</v>
      </c>
      <c r="D180" s="12">
        <f t="shared" ca="1" si="12"/>
        <v>1790.8869885751612</v>
      </c>
      <c r="F180" s="14">
        <v>170</v>
      </c>
      <c r="G180" s="15">
        <v>2212.5285399851455</v>
      </c>
      <c r="H180" s="15">
        <v>1776.9344002044927</v>
      </c>
      <c r="I180" s="16">
        <v>0</v>
      </c>
    </row>
    <row r="181" spans="1:9" x14ac:dyDescent="0.3">
      <c r="A181" s="11">
        <f t="shared" si="9"/>
        <v>171</v>
      </c>
      <c r="B181" s="18">
        <f t="shared" ca="1" si="10"/>
        <v>0.21177893310453005</v>
      </c>
      <c r="C181" s="3">
        <f t="shared" ca="1" si="11"/>
        <v>2.6979256662722408E-3</v>
      </c>
      <c r="D181" s="12">
        <f t="shared" ca="1" si="12"/>
        <v>1795.7251921691648</v>
      </c>
      <c r="F181" s="14">
        <v>171</v>
      </c>
      <c r="G181" s="15">
        <v>2993.7991722078441</v>
      </c>
      <c r="H181" s="15">
        <v>2964.6525286386964</v>
      </c>
      <c r="I181" s="16">
        <v>0.03</v>
      </c>
    </row>
    <row r="182" spans="1:9" x14ac:dyDescent="0.3">
      <c r="A182" s="11">
        <f t="shared" si="9"/>
        <v>172</v>
      </c>
      <c r="B182" s="18">
        <f t="shared" ca="1" si="10"/>
        <v>0.5528962753303206</v>
      </c>
      <c r="C182" s="3">
        <f t="shared" ca="1" si="11"/>
        <v>6.9956002158948786E-3</v>
      </c>
      <c r="D182" s="12">
        <f t="shared" ca="1" si="12"/>
        <v>1808.3314103317807</v>
      </c>
      <c r="F182" s="14">
        <v>172</v>
      </c>
      <c r="G182" s="15">
        <v>2051.6890621033322</v>
      </c>
      <c r="H182" s="15">
        <v>1819.235731441426</v>
      </c>
      <c r="I182" s="16">
        <v>0</v>
      </c>
    </row>
    <row r="183" spans="1:9" x14ac:dyDescent="0.3">
      <c r="A183" s="11">
        <f t="shared" si="9"/>
        <v>173</v>
      </c>
      <c r="B183" s="18">
        <f t="shared" ca="1" si="10"/>
        <v>1.2418678494462148</v>
      </c>
      <c r="C183" s="3">
        <f t="shared" ca="1" si="11"/>
        <v>1.5675826146863265E-2</v>
      </c>
      <c r="D183" s="12">
        <f t="shared" ca="1" si="12"/>
        <v>1836.9018466802772</v>
      </c>
      <c r="F183" s="14">
        <v>173</v>
      </c>
      <c r="G183" s="15">
        <v>2072.7595843906943</v>
      </c>
      <c r="H183" s="15">
        <v>1947.3274073631439</v>
      </c>
      <c r="I183" s="16">
        <v>0</v>
      </c>
    </row>
    <row r="184" spans="1:9" x14ac:dyDescent="0.3">
      <c r="A184" s="11">
        <f t="shared" si="9"/>
        <v>174</v>
      </c>
      <c r="B184" s="18">
        <f t="shared" ca="1" si="10"/>
        <v>0.13234450692698194</v>
      </c>
      <c r="C184" s="3">
        <f t="shared" ca="1" si="11"/>
        <v>1.6971459653059963E-3</v>
      </c>
      <c r="D184" s="12">
        <f t="shared" ca="1" si="12"/>
        <v>1840.0219841534838</v>
      </c>
      <c r="F184" s="14">
        <v>174</v>
      </c>
      <c r="G184" s="15">
        <v>2110.0975152136398</v>
      </c>
      <c r="H184" s="15">
        <v>1644.5257864420871</v>
      </c>
      <c r="I184" s="16">
        <v>0</v>
      </c>
    </row>
    <row r="185" spans="1:9" x14ac:dyDescent="0.3">
      <c r="A185" s="11">
        <f t="shared" si="9"/>
        <v>175</v>
      </c>
      <c r="B185" s="18">
        <f t="shared" ca="1" si="10"/>
        <v>-0.24856776116948182</v>
      </c>
      <c r="C185" s="3">
        <f t="shared" ca="1" si="11"/>
        <v>-3.1018975238216498E-3</v>
      </c>
      <c r="D185" s="12">
        <f t="shared" ca="1" si="12"/>
        <v>1834.323267503903</v>
      </c>
      <c r="F185" s="14">
        <v>175</v>
      </c>
      <c r="G185" s="15">
        <v>2083.4194508291812</v>
      </c>
      <c r="H185" s="15">
        <v>1503.3640833487502</v>
      </c>
      <c r="I185" s="16">
        <v>0</v>
      </c>
    </row>
    <row r="186" spans="1:9" x14ac:dyDescent="0.3">
      <c r="A186" s="11">
        <f t="shared" si="9"/>
        <v>176</v>
      </c>
      <c r="B186" s="18">
        <f t="shared" ca="1" si="10"/>
        <v>-0.61956811444588278</v>
      </c>
      <c r="C186" s="3">
        <f t="shared" ca="1" si="11"/>
        <v>-7.776062624233384E-3</v>
      </c>
      <c r="D186" s="12">
        <f t="shared" ca="1" si="12"/>
        <v>1820.1147695830612</v>
      </c>
      <c r="F186" s="14">
        <v>176</v>
      </c>
      <c r="G186" s="15">
        <v>2895.5721162512582</v>
      </c>
      <c r="H186" s="15">
        <v>2676.7624169288974</v>
      </c>
      <c r="I186" s="16">
        <v>0.03</v>
      </c>
    </row>
    <row r="187" spans="1:9" x14ac:dyDescent="0.3">
      <c r="A187" s="11">
        <f t="shared" si="9"/>
        <v>177</v>
      </c>
      <c r="B187" s="18">
        <f t="shared" ca="1" si="10"/>
        <v>0.87755554435915095</v>
      </c>
      <c r="C187" s="3">
        <f t="shared" ca="1" si="11"/>
        <v>1.1085922533429637E-2</v>
      </c>
      <c r="D187" s="12">
        <f t="shared" ca="1" si="12"/>
        <v>1840.4046793061696</v>
      </c>
      <c r="F187" s="14">
        <v>177</v>
      </c>
      <c r="G187" s="15">
        <v>2245.2245076724707</v>
      </c>
      <c r="H187" s="15">
        <v>2076.1083530750243</v>
      </c>
      <c r="I187" s="16">
        <v>2.9667960138730829E-2</v>
      </c>
    </row>
    <row r="188" spans="1:9" x14ac:dyDescent="0.3">
      <c r="A188" s="11">
        <f t="shared" si="9"/>
        <v>178</v>
      </c>
      <c r="B188" s="18">
        <f t="shared" ca="1" si="10"/>
        <v>-0.38508062227513812</v>
      </c>
      <c r="C188" s="3">
        <f t="shared" ca="1" si="11"/>
        <v>-4.8217979107143573E-3</v>
      </c>
      <c r="D188" s="12">
        <f t="shared" ca="1" si="12"/>
        <v>1831.5519799840727</v>
      </c>
      <c r="F188" s="14">
        <v>178</v>
      </c>
      <c r="G188" s="15">
        <v>2384.0873288338653</v>
      </c>
      <c r="H188" s="15">
        <v>2267.2786899673879</v>
      </c>
      <c r="I188" s="16">
        <v>0.03</v>
      </c>
    </row>
    <row r="189" spans="1:9" x14ac:dyDescent="0.3">
      <c r="A189" s="11">
        <f t="shared" si="9"/>
        <v>179</v>
      </c>
      <c r="B189" s="18">
        <f t="shared" ca="1" si="10"/>
        <v>-1.0119450861392816</v>
      </c>
      <c r="C189" s="3">
        <f t="shared" ca="1" si="11"/>
        <v>-1.2719547801801782E-2</v>
      </c>
      <c r="D189" s="12">
        <f t="shared" ca="1" si="12"/>
        <v>1808.4030013923357</v>
      </c>
      <c r="F189" s="14">
        <v>179</v>
      </c>
      <c r="G189" s="15">
        <v>2584.6520609610925</v>
      </c>
      <c r="H189" s="15">
        <v>2088.5895733236339</v>
      </c>
      <c r="I189" s="16">
        <v>0.03</v>
      </c>
    </row>
    <row r="190" spans="1:9" x14ac:dyDescent="0.3">
      <c r="A190" s="11">
        <f t="shared" si="9"/>
        <v>180</v>
      </c>
      <c r="B190" s="18">
        <f t="shared" ca="1" si="10"/>
        <v>-0.92619427440550162</v>
      </c>
      <c r="C190" s="3">
        <f t="shared" ca="1" si="11"/>
        <v>-1.1639189122899397E-2</v>
      </c>
      <c r="D190" s="12">
        <f t="shared" ca="1" si="12"/>
        <v>1787.4766758207045</v>
      </c>
      <c r="F190" s="14">
        <v>180</v>
      </c>
      <c r="G190" s="15">
        <v>2053.3924213413202</v>
      </c>
      <c r="H190" s="15">
        <v>1718.0415481743578</v>
      </c>
      <c r="I190" s="16">
        <v>0</v>
      </c>
    </row>
    <row r="191" spans="1:9" x14ac:dyDescent="0.3">
      <c r="A191" s="11">
        <f t="shared" si="9"/>
        <v>181</v>
      </c>
      <c r="B191" s="18">
        <f t="shared" ca="1" si="10"/>
        <v>0.57596647245932764</v>
      </c>
      <c r="C191" s="3">
        <f t="shared" ca="1" si="11"/>
        <v>7.2862573792310164E-3</v>
      </c>
      <c r="D191" s="12">
        <f t="shared" ca="1" si="12"/>
        <v>1800.548254553308</v>
      </c>
      <c r="F191" s="14">
        <v>181</v>
      </c>
      <c r="G191" s="15">
        <v>2201.4338109624141</v>
      </c>
      <c r="H191" s="15">
        <v>1681.3244111403683</v>
      </c>
      <c r="I191" s="16">
        <v>0</v>
      </c>
    </row>
    <row r="192" spans="1:9" x14ac:dyDescent="0.3">
      <c r="A192" s="11">
        <f t="shared" si="9"/>
        <v>182</v>
      </c>
      <c r="B192" s="18">
        <f t="shared" ca="1" si="10"/>
        <v>0.41591799489408521</v>
      </c>
      <c r="C192" s="3">
        <f t="shared" ca="1" si="11"/>
        <v>5.2698360966018168E-3</v>
      </c>
      <c r="D192" s="12">
        <f t="shared" ca="1" si="12"/>
        <v>1810.0618943830514</v>
      </c>
      <c r="F192" s="14">
        <v>182</v>
      </c>
      <c r="G192" s="15">
        <v>2406.5202587463577</v>
      </c>
      <c r="H192" s="15">
        <v>1944.457700970913</v>
      </c>
      <c r="I192" s="16">
        <v>0.03</v>
      </c>
    </row>
    <row r="193" spans="1:9" x14ac:dyDescent="0.3">
      <c r="A193" s="11">
        <f t="shared" si="9"/>
        <v>183</v>
      </c>
      <c r="B193" s="18">
        <f t="shared" ca="1" si="10"/>
        <v>-1.9165078641150202</v>
      </c>
      <c r="C193" s="3">
        <f t="shared" ca="1" si="11"/>
        <v>-2.4115967591180537E-2</v>
      </c>
      <c r="D193" s="12">
        <f t="shared" ca="1" si="12"/>
        <v>1766.9326424594385</v>
      </c>
      <c r="F193" s="14">
        <v>183</v>
      </c>
      <c r="G193" s="15">
        <v>2908.7303760566429</v>
      </c>
      <c r="H193" s="15">
        <v>2846.9021744492152</v>
      </c>
      <c r="I193" s="16">
        <v>0.03</v>
      </c>
    </row>
    <row r="194" spans="1:9" x14ac:dyDescent="0.3">
      <c r="A194" s="11">
        <f t="shared" si="9"/>
        <v>184</v>
      </c>
      <c r="B194" s="18">
        <f t="shared" ca="1" si="10"/>
        <v>0.15007826756633341</v>
      </c>
      <c r="C194" s="3">
        <f t="shared" ca="1" si="11"/>
        <v>1.920570348456805E-3</v>
      </c>
      <c r="D194" s="12">
        <f t="shared" ca="1" si="12"/>
        <v>1770.3294217329324</v>
      </c>
      <c r="F194" s="14">
        <v>184</v>
      </c>
      <c r="G194" s="15">
        <v>2461.1439828203374</v>
      </c>
      <c r="H194" s="15">
        <v>2308.7898932091343</v>
      </c>
      <c r="I194" s="16">
        <v>0.03</v>
      </c>
    </row>
    <row r="195" spans="1:9" x14ac:dyDescent="0.3">
      <c r="A195" s="11">
        <f t="shared" si="9"/>
        <v>185</v>
      </c>
      <c r="B195" s="18">
        <f t="shared" ca="1" si="10"/>
        <v>2.3832784096842459</v>
      </c>
      <c r="C195" s="3">
        <f t="shared" ca="1" si="11"/>
        <v>3.0056247509781073E-2</v>
      </c>
      <c r="D195" s="12">
        <f t="shared" ca="1" si="12"/>
        <v>1824.3465912828813</v>
      </c>
      <c r="F195" s="14">
        <v>185</v>
      </c>
      <c r="G195" s="15">
        <v>2295.6535188032481</v>
      </c>
      <c r="H195" s="15">
        <v>2196.9930926135507</v>
      </c>
      <c r="I195" s="16">
        <v>8.4963900661015196E-2</v>
      </c>
    </row>
    <row r="196" spans="1:9" x14ac:dyDescent="0.3">
      <c r="A196" s="11">
        <f t="shared" si="9"/>
        <v>186</v>
      </c>
      <c r="B196" s="18">
        <f t="shared" ca="1" si="10"/>
        <v>-0.10066692609193229</v>
      </c>
      <c r="C196" s="3">
        <f t="shared" ca="1" si="11"/>
        <v>-1.2385221508979622E-3</v>
      </c>
      <c r="D196" s="12">
        <f t="shared" ca="1" si="12"/>
        <v>1822.088496257664</v>
      </c>
      <c r="F196" s="14">
        <v>186</v>
      </c>
      <c r="G196" s="15">
        <v>2011.25</v>
      </c>
      <c r="H196" s="15">
        <v>1461.8460135780199</v>
      </c>
      <c r="I196" s="16">
        <v>0</v>
      </c>
    </row>
    <row r="197" spans="1:9" x14ac:dyDescent="0.3">
      <c r="A197" s="11">
        <f t="shared" si="9"/>
        <v>187</v>
      </c>
      <c r="B197" s="18">
        <f t="shared" ca="1" si="10"/>
        <v>-1.1923002514265812</v>
      </c>
      <c r="C197" s="3">
        <f t="shared" ca="1" si="11"/>
        <v>-1.4991809301878659E-2</v>
      </c>
      <c r="D197" s="12">
        <f t="shared" ca="1" si="12"/>
        <v>1794.9758347218024</v>
      </c>
      <c r="F197" s="14">
        <v>187</v>
      </c>
      <c r="G197" s="15">
        <v>2123.4232171408767</v>
      </c>
      <c r="H197" s="15">
        <v>1819.6375912547637</v>
      </c>
      <c r="I197" s="16">
        <v>0</v>
      </c>
    </row>
    <row r="198" spans="1:9" x14ac:dyDescent="0.3">
      <c r="A198" s="11">
        <f t="shared" si="9"/>
        <v>188</v>
      </c>
      <c r="B198" s="18">
        <f t="shared" ca="1" si="10"/>
        <v>-0.88190916658946894</v>
      </c>
      <c r="C198" s="3">
        <f t="shared" ca="1" si="11"/>
        <v>-1.1081249208304609E-2</v>
      </c>
      <c r="D198" s="12">
        <f t="shared" ca="1" si="12"/>
        <v>1775.1950604321746</v>
      </c>
      <c r="F198" s="14">
        <v>188</v>
      </c>
      <c r="G198" s="15">
        <v>2921.2761951954931</v>
      </c>
      <c r="H198" s="15">
        <v>2628.4185719712636</v>
      </c>
      <c r="I198" s="16">
        <v>0.03</v>
      </c>
    </row>
    <row r="199" spans="1:9" x14ac:dyDescent="0.3">
      <c r="A199" s="11">
        <f t="shared" si="9"/>
        <v>189</v>
      </c>
      <c r="B199" s="18">
        <f t="shared" ca="1" si="10"/>
        <v>-2.0755214752240057</v>
      </c>
      <c r="C199" s="3">
        <f t="shared" ca="1" si="11"/>
        <v>-2.6119350781983932E-2</v>
      </c>
      <c r="D199" s="12">
        <f t="shared" ca="1" si="12"/>
        <v>1729.4284173271926</v>
      </c>
      <c r="F199" s="14">
        <v>189</v>
      </c>
      <c r="G199" s="15">
        <v>2304.7914068394844</v>
      </c>
      <c r="H199" s="15">
        <v>2205.2746954996755</v>
      </c>
      <c r="I199" s="16">
        <v>8.8752129203083452E-2</v>
      </c>
    </row>
    <row r="200" spans="1:9" x14ac:dyDescent="0.3">
      <c r="A200" s="11">
        <f t="shared" si="9"/>
        <v>190</v>
      </c>
      <c r="B200" s="18">
        <f t="shared" ca="1" si="10"/>
        <v>1.0738175613466043</v>
      </c>
      <c r="C200" s="3">
        <f t="shared" ca="1" si="11"/>
        <v>1.3558591527509331E-2</v>
      </c>
      <c r="D200" s="12">
        <f t="shared" ca="1" si="12"/>
        <v>1753.0367167893339</v>
      </c>
      <c r="F200" s="14">
        <v>190</v>
      </c>
      <c r="G200" s="15">
        <v>2073.9982656868601</v>
      </c>
      <c r="H200" s="15">
        <v>1737.82069555461</v>
      </c>
      <c r="I200" s="16">
        <v>0</v>
      </c>
    </row>
    <row r="201" spans="1:9" x14ac:dyDescent="0.3">
      <c r="A201" s="11">
        <f t="shared" si="9"/>
        <v>191</v>
      </c>
      <c r="B201" s="18">
        <f t="shared" ca="1" si="10"/>
        <v>0.23004058738124938</v>
      </c>
      <c r="C201" s="3">
        <f t="shared" ca="1" si="11"/>
        <v>2.928000884104805E-3</v>
      </c>
      <c r="D201" s="12">
        <f t="shared" ca="1" si="12"/>
        <v>1758.1771317432474</v>
      </c>
      <c r="F201" s="14">
        <v>191</v>
      </c>
      <c r="G201" s="15">
        <v>2455.7700440894505</v>
      </c>
      <c r="H201" s="15">
        <v>2258.1717402852569</v>
      </c>
      <c r="I201" s="16">
        <v>0.03</v>
      </c>
    </row>
    <row r="202" spans="1:9" x14ac:dyDescent="0.3">
      <c r="A202" s="11">
        <f t="shared" si="9"/>
        <v>192</v>
      </c>
      <c r="B202" s="18">
        <f t="shared" ca="1" si="10"/>
        <v>0.19424177840878901</v>
      </c>
      <c r="C202" s="3">
        <f t="shared" ca="1" si="11"/>
        <v>2.4769782851836722E-3</v>
      </c>
      <c r="D202" s="12">
        <f t="shared" ca="1" si="12"/>
        <v>1762.5374963549218</v>
      </c>
      <c r="F202" s="14">
        <v>192</v>
      </c>
      <c r="G202" s="15">
        <v>2083.4748412471899</v>
      </c>
      <c r="H202" s="15">
        <v>1885.7710006454001</v>
      </c>
      <c r="I202" s="16">
        <v>0</v>
      </c>
    </row>
    <row r="203" spans="1:9" x14ac:dyDescent="0.3">
      <c r="A203" s="11">
        <f t="shared" si="9"/>
        <v>193</v>
      </c>
      <c r="B203" s="18">
        <f t="shared" ca="1" si="10"/>
        <v>-0.16356323645405951</v>
      </c>
      <c r="C203" s="3">
        <f t="shared" ca="1" si="11"/>
        <v>-2.0309411775728359E-3</v>
      </c>
      <c r="D203" s="12">
        <f t="shared" ca="1" si="12"/>
        <v>1758.9615189056437</v>
      </c>
      <c r="F203" s="14">
        <v>193</v>
      </c>
      <c r="G203" s="15">
        <v>2938.4703795558958</v>
      </c>
      <c r="H203" s="15">
        <v>2480.4750755975219</v>
      </c>
      <c r="I203" s="16">
        <v>0.03</v>
      </c>
    </row>
    <row r="204" spans="1:9" x14ac:dyDescent="0.3">
      <c r="A204" s="11">
        <f t="shared" si="9"/>
        <v>194</v>
      </c>
      <c r="B204" s="18">
        <f t="shared" ca="1" si="10"/>
        <v>8.8687188917809412E-2</v>
      </c>
      <c r="C204" s="3">
        <f t="shared" ca="1" si="11"/>
        <v>1.1471154588282252E-3</v>
      </c>
      <c r="D204" s="12">
        <f t="shared" ca="1" si="12"/>
        <v>1760.9804085838603</v>
      </c>
      <c r="F204" s="14">
        <v>194</v>
      </c>
      <c r="G204" s="15">
        <v>3004.8566232948756</v>
      </c>
      <c r="H204" s="15">
        <v>2913.3278801750839</v>
      </c>
      <c r="I204" s="16">
        <v>0.03</v>
      </c>
    </row>
    <row r="205" spans="1:9" x14ac:dyDescent="0.3">
      <c r="A205" s="11">
        <f t="shared" ref="A205:A262" si="13">A204+1</f>
        <v>195</v>
      </c>
      <c r="B205" s="18">
        <f t="shared" ref="B205:B262" ca="1" si="14">NORMSINV(RAND())</f>
        <v>0.6743006618760421</v>
      </c>
      <c r="C205" s="3">
        <f t="shared" ref="C205:C262" ca="1" si="15">$B$7+$B$6*B205</f>
        <v>8.5251517152869494E-3</v>
      </c>
      <c r="D205" s="12">
        <f t="shared" ca="1" si="12"/>
        <v>1776.057208424905</v>
      </c>
      <c r="F205" s="14">
        <v>195</v>
      </c>
      <c r="G205" s="15">
        <v>2095.2036820641983</v>
      </c>
      <c r="H205" s="15">
        <v>2053.2706180450191</v>
      </c>
      <c r="I205" s="16">
        <v>1.9221364127491702E-2</v>
      </c>
    </row>
    <row r="206" spans="1:9" x14ac:dyDescent="0.3">
      <c r="A206" s="11">
        <f t="shared" si="13"/>
        <v>196</v>
      </c>
      <c r="B206" s="18">
        <f t="shared" ca="1" si="14"/>
        <v>0.23050313270021455</v>
      </c>
      <c r="C206" s="3">
        <f t="shared" ca="1" si="15"/>
        <v>2.9338284073623234E-3</v>
      </c>
      <c r="D206" s="12">
        <f t="shared" ca="1" si="12"/>
        <v>1781.2755065687734</v>
      </c>
      <c r="F206" s="14">
        <v>196</v>
      </c>
      <c r="G206" s="15">
        <v>2050.0122830836158</v>
      </c>
      <c r="H206" s="15">
        <v>1770.9215651865884</v>
      </c>
      <c r="I206" s="16">
        <v>0</v>
      </c>
    </row>
    <row r="207" spans="1:9" x14ac:dyDescent="0.3">
      <c r="A207" s="11">
        <f t="shared" si="13"/>
        <v>197</v>
      </c>
      <c r="B207" s="18">
        <f t="shared" ca="1" si="14"/>
        <v>-0.80200780146132244</v>
      </c>
      <c r="C207" s="3">
        <f t="shared" ca="1" si="15"/>
        <v>-1.0074586629525352E-2</v>
      </c>
      <c r="D207" s="12">
        <f t="shared" ca="1" si="12"/>
        <v>1763.4199866814147</v>
      </c>
      <c r="F207" s="14">
        <v>197</v>
      </c>
      <c r="G207" s="15">
        <v>2230.4820179837843</v>
      </c>
      <c r="H207" s="15">
        <v>1816.4870853058642</v>
      </c>
      <c r="I207" s="16">
        <v>0</v>
      </c>
    </row>
    <row r="208" spans="1:9" x14ac:dyDescent="0.3">
      <c r="A208" s="11">
        <f t="shared" si="13"/>
        <v>198</v>
      </c>
      <c r="B208" s="18">
        <f t="shared" ca="1" si="14"/>
        <v>0.92095598728935368</v>
      </c>
      <c r="C208" s="3">
        <f t="shared" ca="1" si="15"/>
        <v>1.1632716718112342E-2</v>
      </c>
      <c r="D208" s="12">
        <f t="shared" ca="1" si="12"/>
        <v>1784.0531289181479</v>
      </c>
      <c r="F208" s="14">
        <v>198</v>
      </c>
      <c r="G208" s="15">
        <v>2188.4076441064485</v>
      </c>
      <c r="H208" s="15">
        <v>1800.0909687913054</v>
      </c>
      <c r="I208" s="16">
        <v>0</v>
      </c>
    </row>
    <row r="209" spans="1:9" x14ac:dyDescent="0.3">
      <c r="A209" s="11">
        <f t="shared" si="13"/>
        <v>199</v>
      </c>
      <c r="B209" s="18">
        <f t="shared" ca="1" si="14"/>
        <v>-0.38754993944543448</v>
      </c>
      <c r="C209" s="3">
        <f t="shared" ca="1" si="15"/>
        <v>-4.852908382813147E-3</v>
      </c>
      <c r="D209" s="12">
        <f t="shared" ca="1" si="12"/>
        <v>1775.4162564591891</v>
      </c>
      <c r="F209" s="14">
        <v>199</v>
      </c>
      <c r="G209" s="15">
        <v>2468.2941074832879</v>
      </c>
      <c r="H209" s="15">
        <v>2164.0516645817656</v>
      </c>
      <c r="I209" s="16">
        <v>0.03</v>
      </c>
    </row>
    <row r="210" spans="1:9" x14ac:dyDescent="0.3">
      <c r="A210" s="11">
        <f t="shared" si="13"/>
        <v>200</v>
      </c>
      <c r="B210" s="18">
        <f t="shared" ca="1" si="14"/>
        <v>0.77866977081292821</v>
      </c>
      <c r="C210" s="3">
        <f t="shared" ca="1" si="15"/>
        <v>9.8400788905460418E-3</v>
      </c>
      <c r="D210" s="12">
        <f t="shared" ca="1" si="12"/>
        <v>1792.9727293638045</v>
      </c>
      <c r="F210" s="14">
        <v>200</v>
      </c>
      <c r="G210" s="15">
        <v>2526.2942368504855</v>
      </c>
      <c r="H210" s="15">
        <v>2325.7904541265902</v>
      </c>
      <c r="I210" s="16">
        <v>0.03</v>
      </c>
    </row>
    <row r="211" spans="1:9" x14ac:dyDescent="0.3">
      <c r="A211" s="11">
        <f t="shared" si="13"/>
        <v>201</v>
      </c>
      <c r="B211" s="18">
        <f t="shared" ca="1" si="14"/>
        <v>-1.8068481430139018</v>
      </c>
      <c r="C211" s="3">
        <f t="shared" ca="1" si="15"/>
        <v>-2.273438496796977E-2</v>
      </c>
      <c r="D211" s="12">
        <f t="shared" ca="1" si="12"/>
        <v>1752.670456634145</v>
      </c>
      <c r="F211" s="14">
        <v>201</v>
      </c>
      <c r="G211" s="15">
        <v>2014.1707779249427</v>
      </c>
      <c r="H211" s="15">
        <v>1413.5868563839106</v>
      </c>
      <c r="I211" s="16">
        <v>0</v>
      </c>
    </row>
    <row r="212" spans="1:9" x14ac:dyDescent="0.3">
      <c r="A212" s="11">
        <f t="shared" si="13"/>
        <v>202</v>
      </c>
      <c r="B212" s="18">
        <f t="shared" ca="1" si="14"/>
        <v>-0.47331951093850749</v>
      </c>
      <c r="C212" s="3">
        <f t="shared" ca="1" si="15"/>
        <v>-5.9335034124666994E-3</v>
      </c>
      <c r="D212" s="12">
        <f t="shared" ca="1" si="12"/>
        <v>1742.3017722312943</v>
      </c>
      <c r="F212" s="14">
        <v>202</v>
      </c>
      <c r="G212" s="15">
        <v>2667.5117327948806</v>
      </c>
      <c r="H212" s="15">
        <v>2631.6121260522777</v>
      </c>
      <c r="I212" s="16">
        <v>0.03</v>
      </c>
    </row>
    <row r="213" spans="1:9" x14ac:dyDescent="0.3">
      <c r="A213" s="11">
        <f t="shared" si="13"/>
        <v>203</v>
      </c>
      <c r="B213" s="18">
        <f t="shared" ca="1" si="14"/>
        <v>0.46121629935886371</v>
      </c>
      <c r="C213" s="3">
        <f t="shared" ca="1" si="15"/>
        <v>5.8405410891098682E-3</v>
      </c>
      <c r="D213" s="12">
        <f t="shared" ca="1" si="12"/>
        <v>1752.507531889466</v>
      </c>
      <c r="F213" s="14">
        <v>203</v>
      </c>
      <c r="G213" s="15">
        <v>2106.2003226803668</v>
      </c>
      <c r="H213" s="15">
        <v>1648.2680372057191</v>
      </c>
      <c r="I213" s="16">
        <v>0</v>
      </c>
    </row>
    <row r="214" spans="1:9" x14ac:dyDescent="0.3">
      <c r="A214" s="11">
        <f t="shared" si="13"/>
        <v>204</v>
      </c>
      <c r="B214" s="18">
        <f t="shared" ca="1" si="14"/>
        <v>-0.13088652223865671</v>
      </c>
      <c r="C214" s="3">
        <f t="shared" ca="1" si="15"/>
        <v>-1.6192532753029078E-3</v>
      </c>
      <c r="D214" s="12">
        <f t="shared" ca="1" si="12"/>
        <v>1749.6720746097476</v>
      </c>
      <c r="F214" s="14">
        <v>204</v>
      </c>
      <c r="G214" s="15">
        <v>2110.5939622837132</v>
      </c>
      <c r="H214" s="15">
        <v>1835.3150835685944</v>
      </c>
      <c r="I214" s="16">
        <v>0</v>
      </c>
    </row>
    <row r="215" spans="1:9" x14ac:dyDescent="0.3">
      <c r="A215" s="11">
        <f t="shared" si="13"/>
        <v>205</v>
      </c>
      <c r="B215" s="18">
        <f t="shared" ca="1" si="14"/>
        <v>1.6931700025829928</v>
      </c>
      <c r="C215" s="3">
        <f t="shared" ca="1" si="15"/>
        <v>2.136169882947233E-2</v>
      </c>
      <c r="D215" s="12">
        <f t="shared" ca="1" si="12"/>
        <v>1787.4501074290379</v>
      </c>
      <c r="F215" s="14">
        <v>205</v>
      </c>
      <c r="G215" s="15">
        <v>2549.6403567363586</v>
      </c>
      <c r="H215" s="15">
        <v>2349.1064636713454</v>
      </c>
      <c r="I215" s="16">
        <v>0.03</v>
      </c>
    </row>
    <row r="216" spans="1:9" x14ac:dyDescent="0.3">
      <c r="A216" s="11">
        <f t="shared" si="13"/>
        <v>206</v>
      </c>
      <c r="B216" s="18">
        <f t="shared" ca="1" si="14"/>
        <v>-0.40154798220716809</v>
      </c>
      <c r="C216" s="3">
        <f t="shared" ca="1" si="15"/>
        <v>-5.0292671446664564E-3</v>
      </c>
      <c r="D216" s="12">
        <f t="shared" ca="1" si="12"/>
        <v>1778.4831109419972</v>
      </c>
      <c r="F216" s="14">
        <v>206</v>
      </c>
      <c r="G216" s="15">
        <v>2184.38891911375</v>
      </c>
      <c r="H216" s="15">
        <v>1996.7305790818284</v>
      </c>
      <c r="I216" s="16">
        <v>0</v>
      </c>
    </row>
    <row r="217" spans="1:9" x14ac:dyDescent="0.3">
      <c r="A217" s="11">
        <f t="shared" si="13"/>
        <v>207</v>
      </c>
      <c r="B217" s="18">
        <f t="shared" ca="1" si="14"/>
        <v>-0.81945725795368518</v>
      </c>
      <c r="C217" s="3">
        <f t="shared" ca="1" si="15"/>
        <v>-1.0294429117106462E-2</v>
      </c>
      <c r="D217" s="12">
        <f t="shared" ca="1" si="12"/>
        <v>1760.2685576915028</v>
      </c>
      <c r="F217" s="14">
        <v>207</v>
      </c>
      <c r="G217" s="15">
        <v>2251.8436542711906</v>
      </c>
      <c r="H217" s="15">
        <v>1845.6823528949008</v>
      </c>
      <c r="I217" s="16">
        <v>0</v>
      </c>
    </row>
    <row r="218" spans="1:9" x14ac:dyDescent="0.3">
      <c r="A218" s="11">
        <f t="shared" si="13"/>
        <v>208</v>
      </c>
      <c r="B218" s="18">
        <f t="shared" ca="1" si="14"/>
        <v>0.90548200919978161</v>
      </c>
      <c r="C218" s="3">
        <f t="shared" ca="1" si="15"/>
        <v>1.1437762918979627E-2</v>
      </c>
      <c r="D218" s="12">
        <f t="shared" ca="1" si="12"/>
        <v>1780.5176736693331</v>
      </c>
      <c r="F218" s="14">
        <v>208</v>
      </c>
      <c r="G218" s="15">
        <v>2175.4873548699538</v>
      </c>
      <c r="H218" s="15">
        <v>1970.1846573932244</v>
      </c>
      <c r="I218" s="16">
        <v>0</v>
      </c>
    </row>
    <row r="219" spans="1:9" x14ac:dyDescent="0.3">
      <c r="A219" s="11">
        <f t="shared" si="13"/>
        <v>209</v>
      </c>
      <c r="B219" s="18">
        <f t="shared" ca="1" si="14"/>
        <v>0.32818678594594813</v>
      </c>
      <c r="C219" s="3">
        <f t="shared" ca="1" si="15"/>
        <v>4.1645267580503161E-3</v>
      </c>
      <c r="D219" s="12">
        <f t="shared" ca="1" si="12"/>
        <v>1787.9481486313464</v>
      </c>
      <c r="F219" s="14">
        <v>209</v>
      </c>
      <c r="G219" s="15">
        <v>2326.1674887255153</v>
      </c>
      <c r="H219" s="15">
        <v>1572.3875637215194</v>
      </c>
      <c r="I219" s="16">
        <v>0.03</v>
      </c>
    </row>
    <row r="220" spans="1:9" x14ac:dyDescent="0.3">
      <c r="A220" s="11">
        <f t="shared" si="13"/>
        <v>210</v>
      </c>
      <c r="B220" s="18">
        <f t="shared" ca="1" si="14"/>
        <v>-0.45799378563767923</v>
      </c>
      <c r="C220" s="3">
        <f t="shared" ca="1" si="15"/>
        <v>-5.7404174229063083E-3</v>
      </c>
      <c r="D220" s="12">
        <f t="shared" ca="1" si="12"/>
        <v>1777.7139822246052</v>
      </c>
      <c r="F220" s="14">
        <v>210</v>
      </c>
      <c r="G220" s="15">
        <v>2319.1875645952482</v>
      </c>
      <c r="H220" s="15">
        <v>2071.9971759563414</v>
      </c>
      <c r="I220" s="16">
        <v>0.03</v>
      </c>
    </row>
    <row r="221" spans="1:9" x14ac:dyDescent="0.3">
      <c r="A221" s="11">
        <f t="shared" si="13"/>
        <v>211</v>
      </c>
      <c r="B221" s="18">
        <f t="shared" ca="1" si="14"/>
        <v>1.0375293998167576</v>
      </c>
      <c r="C221" s="3">
        <f t="shared" ca="1" si="15"/>
        <v>1.3101403665872591E-2</v>
      </c>
      <c r="D221" s="12">
        <f t="shared" ca="1" si="12"/>
        <v>1801.1577686261733</v>
      </c>
      <c r="F221" s="14">
        <v>211</v>
      </c>
      <c r="G221" s="15">
        <v>2123.899611089184</v>
      </c>
      <c r="H221" s="15">
        <v>1595.2361047815614</v>
      </c>
      <c r="I221" s="16">
        <v>0</v>
      </c>
    </row>
    <row r="222" spans="1:9" x14ac:dyDescent="0.3">
      <c r="A222" s="11">
        <f t="shared" si="13"/>
        <v>212</v>
      </c>
      <c r="B222" s="18">
        <f t="shared" ca="1" si="14"/>
        <v>-0.9206842428363522</v>
      </c>
      <c r="C222" s="3">
        <f t="shared" ca="1" si="15"/>
        <v>-1.156976925028947E-2</v>
      </c>
      <c r="D222" s="12">
        <f t="shared" ca="1" si="12"/>
        <v>1780.4388763789816</v>
      </c>
      <c r="F222" s="14">
        <v>212</v>
      </c>
      <c r="G222" s="15">
        <v>2011.25</v>
      </c>
      <c r="H222" s="15">
        <v>1486.0200809334897</v>
      </c>
      <c r="I222" s="16">
        <v>0</v>
      </c>
    </row>
    <row r="223" spans="1:9" x14ac:dyDescent="0.3">
      <c r="A223" s="11">
        <f t="shared" si="13"/>
        <v>213</v>
      </c>
      <c r="B223" s="18">
        <f t="shared" ca="1" si="14"/>
        <v>-0.57137119647306123</v>
      </c>
      <c r="C223" s="3">
        <f t="shared" ca="1" si="15"/>
        <v>-7.1688385341578354E-3</v>
      </c>
      <c r="D223" s="12">
        <f t="shared" ca="1" si="12"/>
        <v>1767.7208388005486</v>
      </c>
      <c r="F223" s="14">
        <v>213</v>
      </c>
      <c r="G223" s="15">
        <v>2097.6950769246564</v>
      </c>
      <c r="H223" s="15">
        <v>1961.6464162941145</v>
      </c>
      <c r="I223" s="16">
        <v>0</v>
      </c>
    </row>
    <row r="224" spans="1:9" x14ac:dyDescent="0.3">
      <c r="A224" s="11">
        <f t="shared" si="13"/>
        <v>214</v>
      </c>
      <c r="B224" s="18">
        <f t="shared" ca="1" si="14"/>
        <v>2.530548559993901</v>
      </c>
      <c r="C224" s="3">
        <f t="shared" ca="1" si="15"/>
        <v>3.191167700150703E-2</v>
      </c>
      <c r="D224" s="12">
        <f t="shared" ca="1" si="12"/>
        <v>1825.0415102969098</v>
      </c>
      <c r="F224" s="14">
        <v>214</v>
      </c>
      <c r="G224" s="15">
        <v>2247.8761389423116</v>
      </c>
      <c r="H224" s="15">
        <v>1999.5562128526567</v>
      </c>
      <c r="I224" s="16">
        <v>0</v>
      </c>
    </row>
    <row r="225" spans="1:9" x14ac:dyDescent="0.3">
      <c r="A225" s="11">
        <f t="shared" si="13"/>
        <v>215</v>
      </c>
      <c r="B225" s="18">
        <f t="shared" ca="1" si="14"/>
        <v>-2.2651193226900808</v>
      </c>
      <c r="C225" s="3">
        <f t="shared" ca="1" si="15"/>
        <v>-2.8508059132023898E-2</v>
      </c>
      <c r="D225" s="12">
        <f t="shared" ca="1" si="12"/>
        <v>1773.747735844714</v>
      </c>
      <c r="F225" s="14">
        <v>215</v>
      </c>
      <c r="G225" s="15">
        <v>3173.4971743818519</v>
      </c>
      <c r="H225" s="15">
        <v>2882.5299617567266</v>
      </c>
      <c r="I225" s="16">
        <v>0.03</v>
      </c>
    </row>
    <row r="226" spans="1:9" x14ac:dyDescent="0.3">
      <c r="A226" s="11">
        <f t="shared" si="13"/>
        <v>216</v>
      </c>
      <c r="B226" s="18">
        <f t="shared" ca="1" si="14"/>
        <v>0.1440559744063751</v>
      </c>
      <c r="C226" s="3">
        <f t="shared" ca="1" si="15"/>
        <v>1.8446965864397811E-3</v>
      </c>
      <c r="D226" s="12">
        <f t="shared" ca="1" si="12"/>
        <v>1777.0227820427806</v>
      </c>
      <c r="F226" s="14">
        <v>216</v>
      </c>
      <c r="G226" s="15">
        <v>2541.7463715711592</v>
      </c>
      <c r="H226" s="15">
        <v>2540.7395151543496</v>
      </c>
      <c r="I226" s="16">
        <v>0.03</v>
      </c>
    </row>
    <row r="227" spans="1:9" x14ac:dyDescent="0.3">
      <c r="A227" s="11">
        <f t="shared" si="13"/>
        <v>217</v>
      </c>
      <c r="B227" s="18">
        <f t="shared" ca="1" si="14"/>
        <v>-1.5393586924520331</v>
      </c>
      <c r="C227" s="3">
        <f t="shared" ca="1" si="15"/>
        <v>-1.9364334660731619E-2</v>
      </c>
      <c r="D227" s="12">
        <f t="shared" ca="1" si="12"/>
        <v>1742.9429497544477</v>
      </c>
      <c r="F227" s="14">
        <v>217</v>
      </c>
      <c r="G227" s="15">
        <v>2092.6855748747848</v>
      </c>
      <c r="H227" s="15">
        <v>1706.4193346703116</v>
      </c>
      <c r="I227" s="16">
        <v>0</v>
      </c>
    </row>
    <row r="228" spans="1:9" x14ac:dyDescent="0.3">
      <c r="A228" s="11">
        <f t="shared" si="13"/>
        <v>218</v>
      </c>
      <c r="B228" s="18">
        <f t="shared" ca="1" si="14"/>
        <v>0.22285470665209348</v>
      </c>
      <c r="C228" s="3">
        <f t="shared" ca="1" si="15"/>
        <v>2.8374672966747193E-3</v>
      </c>
      <c r="D228" s="12">
        <f t="shared" ca="1" si="12"/>
        <v>1747.8955164244762</v>
      </c>
      <c r="F228" s="14">
        <v>218</v>
      </c>
      <c r="G228" s="15">
        <v>2757.7433456480512</v>
      </c>
      <c r="H228" s="15">
        <v>2577.5400247339935</v>
      </c>
      <c r="I228" s="16">
        <v>0.03</v>
      </c>
    </row>
    <row r="229" spans="1:9" x14ac:dyDescent="0.3">
      <c r="A229" s="11">
        <f t="shared" si="13"/>
        <v>219</v>
      </c>
      <c r="B229" s="18">
        <f t="shared" ca="1" si="14"/>
        <v>1.1429808545403966</v>
      </c>
      <c r="C229" s="3">
        <f t="shared" ca="1" si="15"/>
        <v>1.4429967116295142E-2</v>
      </c>
      <c r="D229" s="12">
        <f t="shared" ca="1" si="12"/>
        <v>1773.3004465778392</v>
      </c>
      <c r="F229" s="14">
        <v>219</v>
      </c>
      <c r="G229" s="15">
        <v>2324.909553084919</v>
      </c>
      <c r="H229" s="15">
        <v>2105.315745111121</v>
      </c>
      <c r="I229" s="16">
        <v>0.03</v>
      </c>
    </row>
    <row r="230" spans="1:9" x14ac:dyDescent="0.3">
      <c r="A230" s="11">
        <f t="shared" si="13"/>
        <v>220</v>
      </c>
      <c r="B230" s="18">
        <f t="shared" ca="1" si="14"/>
        <v>0.44811429410364234</v>
      </c>
      <c r="C230" s="3">
        <f t="shared" ca="1" si="15"/>
        <v>5.6754713387214056E-3</v>
      </c>
      <c r="D230" s="12">
        <f t="shared" ca="1" si="12"/>
        <v>1783.3933764124222</v>
      </c>
      <c r="F230" s="14">
        <v>220</v>
      </c>
      <c r="G230" s="15">
        <v>2797.0132196315712</v>
      </c>
      <c r="H230" s="15">
        <v>2579.4783656784102</v>
      </c>
      <c r="I230" s="16">
        <v>0.03</v>
      </c>
    </row>
    <row r="231" spans="1:9" x14ac:dyDescent="0.3">
      <c r="A231" s="11">
        <f t="shared" si="13"/>
        <v>221</v>
      </c>
      <c r="B231" s="18">
        <f t="shared" ca="1" si="14"/>
        <v>-0.86726662129252741</v>
      </c>
      <c r="C231" s="3">
        <f t="shared" ca="1" si="15"/>
        <v>-1.0896770477748868E-2</v>
      </c>
      <c r="D231" s="12">
        <f t="shared" ca="1" si="12"/>
        <v>1764.0656442953834</v>
      </c>
      <c r="F231" s="14">
        <v>221</v>
      </c>
      <c r="G231" s="15">
        <v>2074.8702425714209</v>
      </c>
      <c r="H231" s="15">
        <v>1939.3432865736611</v>
      </c>
      <c r="I231" s="16">
        <v>0</v>
      </c>
    </row>
    <row r="232" spans="1:9" x14ac:dyDescent="0.3">
      <c r="A232" s="11">
        <f t="shared" si="13"/>
        <v>222</v>
      </c>
      <c r="B232" s="18">
        <f t="shared" ca="1" si="14"/>
        <v>-0.81467838471650178</v>
      </c>
      <c r="C232" s="3">
        <f t="shared" ca="1" si="15"/>
        <v>-1.0234220973617465E-2</v>
      </c>
      <c r="D232" s="12">
        <f t="shared" ca="1" si="12"/>
        <v>1746.1038758085328</v>
      </c>
      <c r="F232" s="14">
        <v>222</v>
      </c>
      <c r="G232" s="15">
        <v>2451.4647010713061</v>
      </c>
      <c r="H232" s="15">
        <v>2104.7220384216062</v>
      </c>
      <c r="I232" s="16">
        <v>0.03</v>
      </c>
    </row>
    <row r="233" spans="1:9" x14ac:dyDescent="0.3">
      <c r="A233" s="11">
        <f t="shared" si="13"/>
        <v>223</v>
      </c>
      <c r="B233" s="18">
        <f t="shared" ca="1" si="14"/>
        <v>-0.72369714749630065</v>
      </c>
      <c r="C233" s="3">
        <f t="shared" ca="1" si="15"/>
        <v>-9.0879651276287703E-3</v>
      </c>
      <c r="D233" s="12">
        <f t="shared" ca="1" si="12"/>
        <v>1730.3072330668579</v>
      </c>
      <c r="F233" s="14">
        <v>223</v>
      </c>
      <c r="G233" s="15">
        <v>2458.0668013349482</v>
      </c>
      <c r="H233" s="15">
        <v>2193.7363925189306</v>
      </c>
      <c r="I233" s="16">
        <v>0.03</v>
      </c>
    </row>
    <row r="234" spans="1:9" x14ac:dyDescent="0.3">
      <c r="A234" s="11">
        <f t="shared" si="13"/>
        <v>224</v>
      </c>
      <c r="B234" s="18">
        <f t="shared" ca="1" si="14"/>
        <v>-1.4123435478378636</v>
      </c>
      <c r="C234" s="3">
        <f t="shared" ca="1" si="15"/>
        <v>-1.776409425412211E-2</v>
      </c>
      <c r="D234" s="12">
        <f t="shared" ca="1" si="12"/>
        <v>1699.8412933585064</v>
      </c>
      <c r="F234" s="14">
        <v>224</v>
      </c>
      <c r="G234" s="15">
        <v>2502.3378168689142</v>
      </c>
      <c r="H234" s="15">
        <v>2238.6275710712248</v>
      </c>
      <c r="I234" s="16">
        <v>0.03</v>
      </c>
    </row>
    <row r="235" spans="1:9" x14ac:dyDescent="0.3">
      <c r="A235" s="11">
        <f t="shared" si="13"/>
        <v>225</v>
      </c>
      <c r="B235" s="18">
        <f t="shared" ca="1" si="14"/>
        <v>-1.1480592706916606</v>
      </c>
      <c r="C235" s="3">
        <f t="shared" ca="1" si="15"/>
        <v>-1.4434425336249137E-2</v>
      </c>
      <c r="D235" s="12">
        <f t="shared" ca="1" si="12"/>
        <v>1675.4812953664982</v>
      </c>
      <c r="F235" s="14">
        <v>225</v>
      </c>
      <c r="G235" s="15">
        <v>2053.1959747889696</v>
      </c>
      <c r="H235" s="15">
        <v>1767.4499823675119</v>
      </c>
      <c r="I235" s="16">
        <v>0</v>
      </c>
    </row>
    <row r="236" spans="1:9" x14ac:dyDescent="0.3">
      <c r="A236" s="11">
        <f t="shared" si="13"/>
        <v>226</v>
      </c>
      <c r="B236" s="18">
        <f t="shared" ca="1" si="14"/>
        <v>0.17571684839841853</v>
      </c>
      <c r="C236" s="3">
        <f t="shared" ca="1" si="15"/>
        <v>2.2435861048869226E-3</v>
      </c>
      <c r="D236" s="12">
        <f t="shared" ca="1" si="12"/>
        <v>1679.2446019924012</v>
      </c>
      <c r="F236" s="14">
        <v>226</v>
      </c>
      <c r="G236" s="15">
        <v>2405.8068232721671</v>
      </c>
      <c r="H236" s="15">
        <v>1884.2032799802907</v>
      </c>
      <c r="I236" s="16">
        <v>0.03</v>
      </c>
    </row>
    <row r="237" spans="1:9" x14ac:dyDescent="0.3">
      <c r="A237" s="11">
        <f t="shared" si="13"/>
        <v>227</v>
      </c>
      <c r="B237" s="18">
        <f t="shared" ca="1" si="14"/>
        <v>0.54740479668096087</v>
      </c>
      <c r="C237" s="3">
        <f t="shared" ca="1" si="15"/>
        <v>6.9264140881033229E-3</v>
      </c>
      <c r="D237" s="12">
        <f t="shared" ca="1" si="12"/>
        <v>1690.9161196813639</v>
      </c>
      <c r="F237" s="14">
        <v>227</v>
      </c>
      <c r="G237" s="15">
        <v>2132.3997456655402</v>
      </c>
      <c r="H237" s="15">
        <v>1470.0701749077082</v>
      </c>
      <c r="I237" s="16">
        <v>0</v>
      </c>
    </row>
    <row r="238" spans="1:9" x14ac:dyDescent="0.3">
      <c r="A238" s="11">
        <f t="shared" si="13"/>
        <v>228</v>
      </c>
      <c r="B238" s="18">
        <f t="shared" ca="1" si="14"/>
        <v>0.48358359466006123</v>
      </c>
      <c r="C238" s="3">
        <f t="shared" ca="1" si="15"/>
        <v>6.1223425218151642E-3</v>
      </c>
      <c r="D238" s="12">
        <f t="shared" ca="1" si="12"/>
        <v>1701.3002424842857</v>
      </c>
      <c r="F238" s="14">
        <v>228</v>
      </c>
      <c r="G238" s="15">
        <v>3099.6018169595663</v>
      </c>
      <c r="H238" s="15">
        <v>3099.6018169595663</v>
      </c>
      <c r="I238" s="16">
        <v>0.03</v>
      </c>
    </row>
    <row r="239" spans="1:9" x14ac:dyDescent="0.3">
      <c r="A239" s="11">
        <f t="shared" si="13"/>
        <v>229</v>
      </c>
      <c r="B239" s="18">
        <f t="shared" ca="1" si="14"/>
        <v>0.19286330785457351</v>
      </c>
      <c r="C239" s="3">
        <f t="shared" ca="1" si="15"/>
        <v>2.4596111886309125E-3</v>
      </c>
      <c r="D239" s="12">
        <f t="shared" ca="1" si="12"/>
        <v>1705.4899299848557</v>
      </c>
      <c r="F239" s="14">
        <v>229</v>
      </c>
      <c r="G239" s="15">
        <v>2432.7526560584124</v>
      </c>
      <c r="H239" s="15">
        <v>1659.9268149177581</v>
      </c>
      <c r="I239" s="16">
        <v>0.03</v>
      </c>
    </row>
    <row r="240" spans="1:9" x14ac:dyDescent="0.3">
      <c r="A240" s="11">
        <f t="shared" si="13"/>
        <v>230</v>
      </c>
      <c r="B240" s="18">
        <f t="shared" ca="1" si="14"/>
        <v>1.264523046928669</v>
      </c>
      <c r="C240" s="3">
        <f t="shared" ca="1" si="15"/>
        <v>1.5961254806109125E-2</v>
      </c>
      <c r="D240" s="12">
        <f t="shared" ref="D240:D262" ca="1" si="16">D239*EXP(C240)</f>
        <v>1732.9300965155098</v>
      </c>
      <c r="F240" s="14">
        <v>230</v>
      </c>
      <c r="G240" s="15">
        <v>2454.3737692402069</v>
      </c>
      <c r="H240" s="15">
        <v>2134.0027606386407</v>
      </c>
      <c r="I240" s="16">
        <v>0.03</v>
      </c>
    </row>
    <row r="241" spans="1:9" x14ac:dyDescent="0.3">
      <c r="A241" s="11">
        <f t="shared" si="13"/>
        <v>231</v>
      </c>
      <c r="B241" s="18">
        <f t="shared" ca="1" si="14"/>
        <v>1.0750020609052944</v>
      </c>
      <c r="C241" s="3">
        <f t="shared" ca="1" si="15"/>
        <v>1.357351481922533E-2</v>
      </c>
      <c r="D241" s="12">
        <f t="shared" ca="1" si="16"/>
        <v>1756.6124113852045</v>
      </c>
      <c r="F241" s="14">
        <v>231</v>
      </c>
      <c r="G241" s="15">
        <v>2541.6643866384443</v>
      </c>
      <c r="H241" s="15">
        <v>2029.1071905786239</v>
      </c>
      <c r="I241" s="16">
        <v>0.03</v>
      </c>
    </row>
    <row r="242" spans="1:9" x14ac:dyDescent="0.3">
      <c r="A242" s="11">
        <f t="shared" si="13"/>
        <v>232</v>
      </c>
      <c r="B242" s="18">
        <f t="shared" ca="1" si="14"/>
        <v>0.37542865934893449</v>
      </c>
      <c r="C242" s="3">
        <f t="shared" ca="1" si="15"/>
        <v>4.7597184175412616E-3</v>
      </c>
      <c r="D242" s="12">
        <f t="shared" ca="1" si="16"/>
        <v>1764.9933213956251</v>
      </c>
      <c r="F242" s="14">
        <v>232</v>
      </c>
      <c r="G242" s="15">
        <v>2338.0668432676484</v>
      </c>
      <c r="H242" s="15">
        <v>2197.542722796285</v>
      </c>
      <c r="I242" s="16">
        <v>0.03</v>
      </c>
    </row>
    <row r="243" spans="1:9" x14ac:dyDescent="0.3">
      <c r="A243" s="11">
        <f t="shared" si="13"/>
        <v>233</v>
      </c>
      <c r="B243" s="18">
        <f t="shared" ca="1" si="14"/>
        <v>-1.8781855822179583</v>
      </c>
      <c r="C243" s="3">
        <f t="shared" ca="1" si="15"/>
        <v>-2.3633152221789404E-2</v>
      </c>
      <c r="D243" s="12">
        <f t="shared" ca="1" si="16"/>
        <v>1723.7700027163726</v>
      </c>
      <c r="F243" s="14">
        <v>233</v>
      </c>
      <c r="G243" s="15">
        <v>2666.2595758782822</v>
      </c>
      <c r="H243" s="15">
        <v>2005.2016140663213</v>
      </c>
      <c r="I243" s="16">
        <v>0.03</v>
      </c>
    </row>
    <row r="244" spans="1:9" x14ac:dyDescent="0.3">
      <c r="A244" s="11">
        <f t="shared" si="13"/>
        <v>234</v>
      </c>
      <c r="B244" s="18">
        <f t="shared" ca="1" si="14"/>
        <v>-1.9243805156390068</v>
      </c>
      <c r="C244" s="3">
        <f t="shared" ca="1" si="15"/>
        <v>-2.4215153677328835E-2</v>
      </c>
      <c r="D244" s="12">
        <f t="shared" ca="1" si="16"/>
        <v>1682.5299791032483</v>
      </c>
      <c r="F244" s="14">
        <v>234</v>
      </c>
      <c r="G244" s="15">
        <v>2688.0099655877461</v>
      </c>
      <c r="H244" s="15">
        <v>2643.2988238877297</v>
      </c>
      <c r="I244" s="16">
        <v>0.03</v>
      </c>
    </row>
    <row r="245" spans="1:9" x14ac:dyDescent="0.3">
      <c r="A245" s="11">
        <f t="shared" si="13"/>
        <v>235</v>
      </c>
      <c r="B245" s="18">
        <f t="shared" ca="1" si="14"/>
        <v>-0.46665189611683622</v>
      </c>
      <c r="C245" s="3">
        <f t="shared" ca="1" si="15"/>
        <v>-5.8494993617233164E-3</v>
      </c>
      <c r="D245" s="12">
        <f t="shared" ca="1" si="16"/>
        <v>1672.7167502835582</v>
      </c>
      <c r="F245" s="14">
        <v>235</v>
      </c>
      <c r="G245" s="15">
        <v>2150.8484350696458</v>
      </c>
      <c r="H245" s="15">
        <v>1791.8831726525175</v>
      </c>
      <c r="I245" s="16">
        <v>0</v>
      </c>
    </row>
    <row r="246" spans="1:9" x14ac:dyDescent="0.3">
      <c r="A246" s="11">
        <f t="shared" si="13"/>
        <v>236</v>
      </c>
      <c r="B246" s="18">
        <f t="shared" ca="1" si="14"/>
        <v>0.7460534111878091</v>
      </c>
      <c r="C246" s="3">
        <f t="shared" ca="1" si="15"/>
        <v>9.429151384639789E-3</v>
      </c>
      <c r="D246" s="12">
        <f t="shared" ca="1" si="16"/>
        <v>1688.5636437135256</v>
      </c>
      <c r="F246" s="14">
        <v>236</v>
      </c>
      <c r="G246" s="15">
        <v>2477.9681371040519</v>
      </c>
      <c r="H246" s="15">
        <v>2311.4509844272789</v>
      </c>
      <c r="I246" s="16">
        <v>0.03</v>
      </c>
    </row>
    <row r="247" spans="1:9" x14ac:dyDescent="0.3">
      <c r="A247" s="11">
        <f t="shared" si="13"/>
        <v>237</v>
      </c>
      <c r="B247" s="18">
        <f t="shared" ca="1" si="14"/>
        <v>-1.3092863083364583</v>
      </c>
      <c r="C247" s="3">
        <f t="shared" ca="1" si="15"/>
        <v>-1.6465695080190964E-2</v>
      </c>
      <c r="D247" s="12">
        <f t="shared" ca="1" si="16"/>
        <v>1660.9879193894915</v>
      </c>
      <c r="F247" s="14">
        <v>237</v>
      </c>
      <c r="G247" s="15">
        <v>2172.0329227293469</v>
      </c>
      <c r="H247" s="15">
        <v>1697.4117279052871</v>
      </c>
      <c r="I247" s="16">
        <v>0</v>
      </c>
    </row>
    <row r="248" spans="1:9" x14ac:dyDescent="0.3">
      <c r="A248" s="11">
        <f t="shared" si="13"/>
        <v>238</v>
      </c>
      <c r="B248" s="18">
        <f t="shared" ca="1" si="14"/>
        <v>-0.16072872932011148</v>
      </c>
      <c r="C248" s="3">
        <f t="shared" ca="1" si="15"/>
        <v>-1.9952297444020507E-3</v>
      </c>
      <c r="D248" s="12">
        <f t="shared" ca="1" si="16"/>
        <v>1657.6771708379511</v>
      </c>
      <c r="F248" s="14">
        <v>238</v>
      </c>
      <c r="G248" s="15">
        <v>2637.9885474549033</v>
      </c>
      <c r="H248" s="15">
        <v>2083.6408587859155</v>
      </c>
      <c r="I248" s="16">
        <v>0.03</v>
      </c>
    </row>
    <row r="249" spans="1:9" x14ac:dyDescent="0.3">
      <c r="A249" s="11">
        <f t="shared" si="13"/>
        <v>239</v>
      </c>
      <c r="B249" s="18">
        <f t="shared" ca="1" si="14"/>
        <v>0.70877065099947067</v>
      </c>
      <c r="C249" s="3">
        <f t="shared" ca="1" si="15"/>
        <v>8.9594327577426323E-3</v>
      </c>
      <c r="D249" s="12">
        <f t="shared" ca="1" si="16"/>
        <v>1672.5957491894014</v>
      </c>
      <c r="F249" s="14">
        <v>239</v>
      </c>
      <c r="G249" s="15">
        <v>2458.6935658675156</v>
      </c>
      <c r="H249" s="15">
        <v>2458.6935658675156</v>
      </c>
      <c r="I249" s="16">
        <v>0.03</v>
      </c>
    </row>
    <row r="250" spans="1:9" x14ac:dyDescent="0.3">
      <c r="A250" s="11">
        <f t="shared" si="13"/>
        <v>240</v>
      </c>
      <c r="B250" s="18">
        <f t="shared" ca="1" si="14"/>
        <v>-0.98383711473858626</v>
      </c>
      <c r="C250" s="3">
        <f t="shared" ca="1" si="15"/>
        <v>-1.2365420648541042E-2</v>
      </c>
      <c r="D250" s="12">
        <f t="shared" ca="1" si="16"/>
        <v>1652.0407467122802</v>
      </c>
      <c r="F250" s="14">
        <v>240</v>
      </c>
      <c r="G250" s="15">
        <v>2229.9001255505891</v>
      </c>
      <c r="H250" s="15">
        <v>1746.457120789413</v>
      </c>
      <c r="I250" s="16">
        <v>0</v>
      </c>
    </row>
    <row r="251" spans="1:9" x14ac:dyDescent="0.3">
      <c r="A251" s="11">
        <f t="shared" si="13"/>
        <v>241</v>
      </c>
      <c r="B251" s="18">
        <f t="shared" ca="1" si="14"/>
        <v>-1.9303072043374738</v>
      </c>
      <c r="C251" s="3">
        <f t="shared" ca="1" si="15"/>
        <v>-2.4289822936349029E-2</v>
      </c>
      <c r="D251" s="12">
        <f t="shared" ca="1" si="16"/>
        <v>1612.3963957699623</v>
      </c>
      <c r="F251" s="14">
        <v>241</v>
      </c>
      <c r="G251" s="15">
        <v>2060.478307805613</v>
      </c>
      <c r="H251" s="15">
        <v>1548.0193297892022</v>
      </c>
      <c r="I251" s="16">
        <v>0</v>
      </c>
    </row>
    <row r="252" spans="1:9" x14ac:dyDescent="0.3">
      <c r="A252" s="11">
        <f t="shared" si="13"/>
        <v>242</v>
      </c>
      <c r="B252" s="18">
        <f t="shared" ca="1" si="14"/>
        <v>0.88895839368411622</v>
      </c>
      <c r="C252" s="3">
        <f t="shared" ca="1" si="15"/>
        <v>1.1229584931293441E-2</v>
      </c>
      <c r="D252" s="12">
        <f t="shared" ca="1" si="16"/>
        <v>1630.6049841370029</v>
      </c>
      <c r="F252" s="14">
        <v>242</v>
      </c>
      <c r="G252" s="15">
        <v>2192.7708440143451</v>
      </c>
      <c r="H252" s="15">
        <v>1937.8567962843638</v>
      </c>
      <c r="I252" s="16">
        <v>0</v>
      </c>
    </row>
    <row r="253" spans="1:9" x14ac:dyDescent="0.3">
      <c r="A253" s="11">
        <f t="shared" si="13"/>
        <v>243</v>
      </c>
      <c r="B253" s="18">
        <f t="shared" ca="1" si="14"/>
        <v>-0.53049784559409174</v>
      </c>
      <c r="C253" s="3">
        <f t="shared" ca="1" si="15"/>
        <v>-6.6538827166548039E-3</v>
      </c>
      <c r="D253" s="12">
        <f t="shared" ca="1" si="16"/>
        <v>1619.7911467160841</v>
      </c>
      <c r="F253" s="14">
        <v>243</v>
      </c>
      <c r="G253" s="15">
        <v>3093.6163415440487</v>
      </c>
      <c r="H253" s="15">
        <v>2611.8001725481022</v>
      </c>
      <c r="I253" s="16">
        <v>0.03</v>
      </c>
    </row>
    <row r="254" spans="1:9" x14ac:dyDescent="0.3">
      <c r="A254" s="11">
        <f t="shared" si="13"/>
        <v>244</v>
      </c>
      <c r="B254" s="18">
        <f t="shared" ca="1" si="14"/>
        <v>-0.10445347412480012</v>
      </c>
      <c r="C254" s="3">
        <f t="shared" ca="1" si="15"/>
        <v>-1.2862281719568627E-3</v>
      </c>
      <c r="D254" s="12">
        <f t="shared" ca="1" si="16"/>
        <v>1617.7090650136092</v>
      </c>
      <c r="F254" s="14">
        <v>244</v>
      </c>
      <c r="G254" s="15">
        <v>2392.2514005763219</v>
      </c>
      <c r="H254" s="15">
        <v>2376.1483779587966</v>
      </c>
      <c r="I254" s="16">
        <v>0.03</v>
      </c>
    </row>
    <row r="255" spans="1:9" x14ac:dyDescent="0.3">
      <c r="A255" s="11">
        <f t="shared" si="13"/>
        <v>245</v>
      </c>
      <c r="B255" s="18">
        <f t="shared" ca="1" si="14"/>
        <v>0.48131679453431708</v>
      </c>
      <c r="C255" s="3">
        <f t="shared" ca="1" si="15"/>
        <v>6.0937835246503598E-3</v>
      </c>
      <c r="D255" s="12">
        <f t="shared" ca="1" si="16"/>
        <v>1627.5971311300978</v>
      </c>
      <c r="F255" s="14">
        <v>245</v>
      </c>
      <c r="G255" s="15">
        <v>2029.7102843099904</v>
      </c>
      <c r="H255" s="15">
        <v>1922.3675684764733</v>
      </c>
      <c r="I255" s="16">
        <v>0</v>
      </c>
    </row>
    <row r="256" spans="1:9" x14ac:dyDescent="0.3">
      <c r="A256" s="11">
        <f t="shared" si="13"/>
        <v>246</v>
      </c>
      <c r="B256" s="18">
        <f t="shared" ca="1" si="14"/>
        <v>-0.97847867772132058</v>
      </c>
      <c r="C256" s="3">
        <f t="shared" ca="1" si="15"/>
        <v>-1.2297910687761576E-2</v>
      </c>
      <c r="D256" s="12">
        <f t="shared" ca="1" si="16"/>
        <v>1607.7036617517301</v>
      </c>
      <c r="F256" s="14">
        <v>246</v>
      </c>
      <c r="G256" s="15">
        <v>2038.099042340348</v>
      </c>
      <c r="H256" s="15">
        <v>1971.5714727543282</v>
      </c>
      <c r="I256" s="16">
        <v>0</v>
      </c>
    </row>
    <row r="257" spans="1:9" x14ac:dyDescent="0.3">
      <c r="A257" s="11">
        <f t="shared" si="13"/>
        <v>247</v>
      </c>
      <c r="B257" s="18">
        <f t="shared" ca="1" si="14"/>
        <v>0.60475536480601155</v>
      </c>
      <c r="C257" s="3">
        <f t="shared" ca="1" si="15"/>
        <v>7.648963330042142E-3</v>
      </c>
      <c r="D257" s="12">
        <f t="shared" ca="1" si="16"/>
        <v>1620.0480789173535</v>
      </c>
      <c r="F257" s="14">
        <v>247</v>
      </c>
      <c r="G257" s="15">
        <v>2705.761996572578</v>
      </c>
      <c r="H257" s="15">
        <v>2045.5068376103197</v>
      </c>
      <c r="I257" s="16">
        <v>0.03</v>
      </c>
    </row>
    <row r="258" spans="1:9" x14ac:dyDescent="0.3">
      <c r="A258" s="11">
        <f t="shared" si="13"/>
        <v>248</v>
      </c>
      <c r="B258" s="18">
        <f t="shared" ca="1" si="14"/>
        <v>0.21984670807053183</v>
      </c>
      <c r="C258" s="3">
        <f t="shared" ca="1" si="15"/>
        <v>2.7995700767183044E-3</v>
      </c>
      <c r="D258" s="12">
        <f t="shared" ca="1" si="16"/>
        <v>1624.5898716089996</v>
      </c>
      <c r="F258" s="14">
        <v>248</v>
      </c>
      <c r="G258" s="15">
        <v>2921.8590170066195</v>
      </c>
      <c r="H258" s="15">
        <v>2853.0626669604981</v>
      </c>
      <c r="I258" s="16">
        <v>0.03</v>
      </c>
    </row>
    <row r="259" spans="1:9" x14ac:dyDescent="0.3">
      <c r="A259" s="11">
        <f t="shared" si="13"/>
        <v>249</v>
      </c>
      <c r="B259" s="18">
        <f t="shared" ca="1" si="14"/>
        <v>0.31459263236346968</v>
      </c>
      <c r="C259" s="3">
        <f t="shared" ca="1" si="15"/>
        <v>3.9932565215567177E-3</v>
      </c>
      <c r="D259" s="12">
        <f t="shared" ca="1" si="16"/>
        <v>1631.0902459017109</v>
      </c>
      <c r="F259" s="14">
        <v>249</v>
      </c>
      <c r="G259" s="15">
        <v>2028.0600270727716</v>
      </c>
      <c r="H259" s="15">
        <v>1388.5487910103272</v>
      </c>
      <c r="I259" s="16">
        <v>0</v>
      </c>
    </row>
    <row r="260" spans="1:9" x14ac:dyDescent="0.3">
      <c r="A260" s="11">
        <f t="shared" si="13"/>
        <v>250</v>
      </c>
      <c r="B260" s="18">
        <f t="shared" ca="1" si="14"/>
        <v>-0.26397204811490205</v>
      </c>
      <c r="C260" s="3">
        <f t="shared" ca="1" si="15"/>
        <v>-3.295973297068606E-3</v>
      </c>
      <c r="D260" s="12">
        <f t="shared" ca="1" si="16"/>
        <v>1625.7230659059187</v>
      </c>
      <c r="F260" s="14">
        <v>250</v>
      </c>
      <c r="G260" s="15">
        <v>3001.806192367826</v>
      </c>
      <c r="H260" s="15">
        <v>2672.9750141623081</v>
      </c>
      <c r="I260" s="16">
        <v>0.03</v>
      </c>
    </row>
    <row r="261" spans="1:9" x14ac:dyDescent="0.3">
      <c r="A261" s="11">
        <f t="shared" si="13"/>
        <v>251</v>
      </c>
      <c r="B261" s="18">
        <f t="shared" ca="1" si="14"/>
        <v>0.47243523952838173</v>
      </c>
      <c r="C261" s="3">
        <f t="shared" ca="1" si="15"/>
        <v>5.9818864494063321E-3</v>
      </c>
      <c r="D261" s="12">
        <f t="shared" ca="1" si="16"/>
        <v>1635.4771013649429</v>
      </c>
      <c r="F261" s="14">
        <v>251</v>
      </c>
      <c r="G261" s="15">
        <v>2056.1914081732539</v>
      </c>
      <c r="H261" s="15">
        <v>1840.1282972693998</v>
      </c>
      <c r="I261" s="16">
        <v>0</v>
      </c>
    </row>
    <row r="262" spans="1:9" x14ac:dyDescent="0.3">
      <c r="A262" s="11">
        <f t="shared" si="13"/>
        <v>252</v>
      </c>
      <c r="B262" s="18">
        <f t="shared" ca="1" si="14"/>
        <v>-0.2684129704077603</v>
      </c>
      <c r="C262" s="3">
        <f t="shared" ca="1" si="15"/>
        <v>-3.3519236588717759E-3</v>
      </c>
      <c r="D262" s="12">
        <f t="shared" ca="1" si="16"/>
        <v>1630.0042843318845</v>
      </c>
      <c r="E262" s="20"/>
      <c r="F262" s="14">
        <v>252</v>
      </c>
      <c r="G262" s="15">
        <v>2179.6776656829893</v>
      </c>
      <c r="H262" s="15">
        <v>1905.9740570240776</v>
      </c>
      <c r="I262" s="16">
        <v>0</v>
      </c>
    </row>
    <row r="263" spans="1:9" x14ac:dyDescent="0.3">
      <c r="A263" s="23"/>
      <c r="F263" s="14">
        <v>253</v>
      </c>
      <c r="G263" s="15">
        <v>2137.576551705346</v>
      </c>
      <c r="H263" s="15">
        <v>1862.3335279514074</v>
      </c>
      <c r="I263" s="16">
        <v>0</v>
      </c>
    </row>
    <row r="264" spans="1:9" x14ac:dyDescent="0.3">
      <c r="A264" s="23"/>
      <c r="F264" s="14">
        <v>254</v>
      </c>
      <c r="G264" s="15">
        <v>2011.25</v>
      </c>
      <c r="H264" s="15">
        <v>1650.6245782672734</v>
      </c>
      <c r="I264" s="16">
        <v>0</v>
      </c>
    </row>
    <row r="265" spans="1:9" x14ac:dyDescent="0.3">
      <c r="A265" s="23"/>
      <c r="F265" s="14">
        <v>255</v>
      </c>
      <c r="G265" s="15">
        <v>2150.5302333302743</v>
      </c>
      <c r="H265" s="15">
        <v>1630.8150452981961</v>
      </c>
      <c r="I265" s="16">
        <v>0</v>
      </c>
    </row>
    <row r="266" spans="1:9" x14ac:dyDescent="0.3">
      <c r="F266" s="14">
        <v>256</v>
      </c>
      <c r="G266" s="15">
        <v>2230.8659642758112</v>
      </c>
      <c r="H266" s="15">
        <v>2094.2480364853045</v>
      </c>
      <c r="I266" s="16">
        <v>3.7965540617267916E-2</v>
      </c>
    </row>
    <row r="267" spans="1:9" x14ac:dyDescent="0.3">
      <c r="F267" s="14">
        <v>257</v>
      </c>
      <c r="G267" s="15">
        <v>2561.2966652477758</v>
      </c>
      <c r="H267" s="15">
        <v>2545.0854972997226</v>
      </c>
      <c r="I267" s="16">
        <v>0.03</v>
      </c>
    </row>
    <row r="268" spans="1:9" x14ac:dyDescent="0.3">
      <c r="F268" s="14">
        <v>258</v>
      </c>
      <c r="G268" s="15">
        <v>2573.3271446360422</v>
      </c>
      <c r="H268" s="15">
        <v>2422.1211249980056</v>
      </c>
      <c r="I268" s="16">
        <v>0.03</v>
      </c>
    </row>
    <row r="269" spans="1:9" x14ac:dyDescent="0.3">
      <c r="F269" s="14">
        <v>259</v>
      </c>
      <c r="G269" s="15">
        <v>2246.2082384981641</v>
      </c>
      <c r="H269" s="15">
        <v>1853.9037234267762</v>
      </c>
      <c r="I269" s="16">
        <v>0</v>
      </c>
    </row>
    <row r="270" spans="1:9" x14ac:dyDescent="0.3">
      <c r="F270" s="14">
        <v>260</v>
      </c>
      <c r="G270" s="15">
        <v>2639.828035919199</v>
      </c>
      <c r="H270" s="15">
        <v>2611.1229478054997</v>
      </c>
      <c r="I270" s="16">
        <v>0.03</v>
      </c>
    </row>
    <row r="271" spans="1:9" x14ac:dyDescent="0.3">
      <c r="F271" s="14">
        <v>261</v>
      </c>
      <c r="G271" s="15">
        <v>2527.4632204886302</v>
      </c>
      <c r="H271" s="15">
        <v>2517.2514072836761</v>
      </c>
      <c r="I271" s="16">
        <v>0.03</v>
      </c>
    </row>
    <row r="272" spans="1:9" x14ac:dyDescent="0.3">
      <c r="F272" s="14">
        <v>262</v>
      </c>
      <c r="G272" s="15">
        <v>2012.2923492143709</v>
      </c>
      <c r="H272" s="15">
        <v>1825.1156136102989</v>
      </c>
      <c r="I272" s="16">
        <v>0</v>
      </c>
    </row>
    <row r="273" spans="6:9" x14ac:dyDescent="0.3">
      <c r="F273" s="14">
        <v>263</v>
      </c>
      <c r="G273" s="15">
        <v>2976.9825870328432</v>
      </c>
      <c r="H273" s="15">
        <v>2752.0719714833567</v>
      </c>
      <c r="I273" s="16">
        <v>0.03</v>
      </c>
    </row>
    <row r="274" spans="6:9" x14ac:dyDescent="0.3">
      <c r="F274" s="14">
        <v>264</v>
      </c>
      <c r="G274" s="15">
        <v>2095.7919398175914</v>
      </c>
      <c r="H274" s="15">
        <v>1951.5990807642147</v>
      </c>
      <c r="I274" s="16">
        <v>0</v>
      </c>
    </row>
    <row r="275" spans="6:9" x14ac:dyDescent="0.3">
      <c r="F275" s="14">
        <v>265</v>
      </c>
      <c r="G275" s="15">
        <v>3003.4469011688802</v>
      </c>
      <c r="H275" s="15">
        <v>2945.0759816833111</v>
      </c>
      <c r="I275" s="16">
        <v>0.03</v>
      </c>
    </row>
    <row r="276" spans="6:9" x14ac:dyDescent="0.3">
      <c r="F276" s="14">
        <v>266</v>
      </c>
      <c r="G276" s="15">
        <v>2784.5153419053481</v>
      </c>
      <c r="H276" s="15">
        <v>2201.0397526266952</v>
      </c>
      <c r="I276" s="16">
        <v>0.03</v>
      </c>
    </row>
    <row r="277" spans="6:9" x14ac:dyDescent="0.3">
      <c r="F277" s="14">
        <v>267</v>
      </c>
      <c r="G277" s="15">
        <v>2140.1651739372319</v>
      </c>
      <c r="H277" s="15">
        <v>1804.4152782487445</v>
      </c>
      <c r="I277" s="16">
        <v>0</v>
      </c>
    </row>
    <row r="278" spans="6:9" x14ac:dyDescent="0.3">
      <c r="F278" s="14">
        <v>268</v>
      </c>
      <c r="G278" s="15">
        <v>2011.6171254896663</v>
      </c>
      <c r="H278" s="15">
        <v>1617.9580244267738</v>
      </c>
      <c r="I278" s="16">
        <v>0</v>
      </c>
    </row>
    <row r="279" spans="6:9" x14ac:dyDescent="0.3">
      <c r="F279" s="14">
        <v>269</v>
      </c>
      <c r="G279" s="15">
        <v>2411.4046341228186</v>
      </c>
      <c r="H279" s="15">
        <v>1880.5338133108435</v>
      </c>
      <c r="I279" s="16">
        <v>0.03</v>
      </c>
    </row>
    <row r="280" spans="6:9" x14ac:dyDescent="0.3">
      <c r="F280" s="14">
        <v>270</v>
      </c>
      <c r="G280" s="15">
        <v>2597.1356701226978</v>
      </c>
      <c r="H280" s="15">
        <v>2551.1635850137168</v>
      </c>
      <c r="I280" s="16">
        <v>0.03</v>
      </c>
    </row>
    <row r="281" spans="6:9" x14ac:dyDescent="0.3">
      <c r="F281" s="14">
        <v>271</v>
      </c>
      <c r="G281" s="15">
        <v>2103.8296125699053</v>
      </c>
      <c r="H281" s="15">
        <v>1935.3710439433949</v>
      </c>
      <c r="I281" s="16">
        <v>0</v>
      </c>
    </row>
    <row r="282" spans="6:9" x14ac:dyDescent="0.3">
      <c r="F282" s="14">
        <v>272</v>
      </c>
      <c r="G282" s="15">
        <v>2889.6624642177349</v>
      </c>
      <c r="H282" s="15">
        <v>2858.5496312379928</v>
      </c>
      <c r="I282" s="16">
        <v>0.03</v>
      </c>
    </row>
    <row r="283" spans="6:9" x14ac:dyDescent="0.3">
      <c r="F283" s="14">
        <v>273</v>
      </c>
      <c r="G283" s="15">
        <v>2393.914386321354</v>
      </c>
      <c r="H283" s="15">
        <v>2014.6916591794297</v>
      </c>
      <c r="I283" s="16">
        <v>0.03</v>
      </c>
    </row>
    <row r="284" spans="6:9" x14ac:dyDescent="0.3">
      <c r="F284" s="14">
        <v>274</v>
      </c>
      <c r="G284" s="15">
        <v>3401.796999474368</v>
      </c>
      <c r="H284" s="15">
        <v>3228.3499172284778</v>
      </c>
      <c r="I284" s="16">
        <v>0.03</v>
      </c>
    </row>
    <row r="285" spans="6:9" x14ac:dyDescent="0.3">
      <c r="F285" s="14">
        <v>275</v>
      </c>
      <c r="G285" s="15">
        <v>2850.9893479023549</v>
      </c>
      <c r="H285" s="15">
        <v>2779.7822272395888</v>
      </c>
      <c r="I285" s="16">
        <v>0.03</v>
      </c>
    </row>
    <row r="286" spans="6:9" x14ac:dyDescent="0.3">
      <c r="F286" s="14">
        <v>276</v>
      </c>
      <c r="G286" s="15">
        <v>2982.0994606627855</v>
      </c>
      <c r="H286" s="15">
        <v>2920.5397023190685</v>
      </c>
      <c r="I286" s="16">
        <v>0.03</v>
      </c>
    </row>
    <row r="287" spans="6:9" x14ac:dyDescent="0.3">
      <c r="F287" s="14">
        <v>277</v>
      </c>
      <c r="G287" s="15">
        <v>2290.3829131821885</v>
      </c>
      <c r="H287" s="15">
        <v>2014.7339447591778</v>
      </c>
      <c r="I287" s="16">
        <v>1.5936503062491793E-3</v>
      </c>
    </row>
    <row r="288" spans="6:9" x14ac:dyDescent="0.3">
      <c r="F288" s="14">
        <v>278</v>
      </c>
      <c r="G288" s="15">
        <v>2184.7234614728977</v>
      </c>
      <c r="H288" s="15">
        <v>2060.9102338543653</v>
      </c>
      <c r="I288" s="16">
        <v>2.2715930464147143E-2</v>
      </c>
    </row>
    <row r="289" spans="6:9" x14ac:dyDescent="0.3">
      <c r="F289" s="14">
        <v>279</v>
      </c>
      <c r="G289" s="15">
        <v>2272.7965514903349</v>
      </c>
      <c r="H289" s="15">
        <v>1954.7800439034102</v>
      </c>
      <c r="I289" s="16">
        <v>0</v>
      </c>
    </row>
    <row r="290" spans="6:9" x14ac:dyDescent="0.3">
      <c r="F290" s="14">
        <v>280</v>
      </c>
      <c r="G290" s="15">
        <v>2455.050184090961</v>
      </c>
      <c r="H290" s="15">
        <v>2315.8205055231442</v>
      </c>
      <c r="I290" s="16">
        <v>0.03</v>
      </c>
    </row>
    <row r="291" spans="6:9" x14ac:dyDescent="0.3">
      <c r="F291" s="14">
        <v>281</v>
      </c>
      <c r="G291" s="15">
        <v>2148.8020522471065</v>
      </c>
      <c r="H291" s="15">
        <v>1438.3286770027203</v>
      </c>
      <c r="I291" s="16">
        <v>0</v>
      </c>
    </row>
    <row r="292" spans="6:9" x14ac:dyDescent="0.3">
      <c r="F292" s="14">
        <v>282</v>
      </c>
      <c r="G292" s="15">
        <v>2175.6721783034086</v>
      </c>
      <c r="H292" s="15">
        <v>1712.2998750093961</v>
      </c>
      <c r="I292" s="16">
        <v>0</v>
      </c>
    </row>
    <row r="293" spans="6:9" x14ac:dyDescent="0.3">
      <c r="F293" s="14">
        <v>283</v>
      </c>
      <c r="G293" s="15">
        <v>2011.25</v>
      </c>
      <c r="H293" s="15">
        <v>1640.3023724722786</v>
      </c>
      <c r="I293" s="16">
        <v>0</v>
      </c>
    </row>
    <row r="294" spans="6:9" x14ac:dyDescent="0.3">
      <c r="F294" s="14">
        <v>284</v>
      </c>
      <c r="G294" s="15">
        <v>2976.9408011832743</v>
      </c>
      <c r="H294" s="15">
        <v>2789.1037078443969</v>
      </c>
      <c r="I294" s="16">
        <v>0.03</v>
      </c>
    </row>
    <row r="295" spans="6:9" x14ac:dyDescent="0.3">
      <c r="F295" s="14">
        <v>285</v>
      </c>
      <c r="G295" s="15">
        <v>2320.6557960778841</v>
      </c>
      <c r="H295" s="15">
        <v>1867.8441305144347</v>
      </c>
      <c r="I295" s="16">
        <v>0.03</v>
      </c>
    </row>
    <row r="296" spans="6:9" x14ac:dyDescent="0.3">
      <c r="F296" s="14">
        <v>286</v>
      </c>
      <c r="G296" s="15">
        <v>2261.0311816799067</v>
      </c>
      <c r="H296" s="15">
        <v>1818.7385348903651</v>
      </c>
      <c r="I296" s="16">
        <v>0</v>
      </c>
    </row>
    <row r="297" spans="6:9" x14ac:dyDescent="0.3">
      <c r="F297" s="14">
        <v>287</v>
      </c>
      <c r="G297" s="15">
        <v>2174.941586494821</v>
      </c>
      <c r="H297" s="15">
        <v>1615.3049410622616</v>
      </c>
      <c r="I297" s="16">
        <v>0</v>
      </c>
    </row>
    <row r="298" spans="6:9" x14ac:dyDescent="0.3">
      <c r="F298" s="14">
        <v>288</v>
      </c>
      <c r="G298" s="15">
        <v>2390.8297836834431</v>
      </c>
      <c r="H298" s="15">
        <v>2141.3616913446972</v>
      </c>
      <c r="I298" s="16">
        <v>0.03</v>
      </c>
    </row>
    <row r="299" spans="6:9" x14ac:dyDescent="0.3">
      <c r="F299" s="14">
        <v>289</v>
      </c>
      <c r="G299" s="15">
        <v>2282.1565752911529</v>
      </c>
      <c r="H299" s="15">
        <v>2240.441291403863</v>
      </c>
      <c r="I299" s="16">
        <v>0.10483827872793233</v>
      </c>
    </row>
    <row r="300" spans="6:9" x14ac:dyDescent="0.3">
      <c r="F300" s="14">
        <v>290</v>
      </c>
      <c r="G300" s="15">
        <v>2172.3512739175617</v>
      </c>
      <c r="H300" s="15">
        <v>2081.0658122543687</v>
      </c>
      <c r="I300" s="16">
        <v>3.1935635686274284E-2</v>
      </c>
    </row>
    <row r="301" spans="6:9" x14ac:dyDescent="0.3">
      <c r="F301" s="14">
        <v>291</v>
      </c>
      <c r="G301" s="15">
        <v>2588.0014131938383</v>
      </c>
      <c r="H301" s="15">
        <v>2261.7009183821933</v>
      </c>
      <c r="I301" s="16">
        <v>0.03</v>
      </c>
    </row>
    <row r="302" spans="6:9" x14ac:dyDescent="0.3">
      <c r="F302" s="14">
        <v>292</v>
      </c>
      <c r="G302" s="15">
        <v>2179.3913577781318</v>
      </c>
      <c r="H302" s="15">
        <v>2038.6776932466755</v>
      </c>
      <c r="I302" s="16">
        <v>1.2546166705750796E-2</v>
      </c>
    </row>
    <row r="303" spans="6:9" x14ac:dyDescent="0.3">
      <c r="F303" s="14">
        <v>293</v>
      </c>
      <c r="G303" s="15">
        <v>2166.6859683034913</v>
      </c>
      <c r="H303" s="15">
        <v>1929.5590258441807</v>
      </c>
      <c r="I303" s="16">
        <v>0</v>
      </c>
    </row>
    <row r="304" spans="6:9" x14ac:dyDescent="0.3">
      <c r="F304" s="14">
        <v>294</v>
      </c>
      <c r="G304" s="15">
        <v>2679.370996714867</v>
      </c>
      <c r="H304" s="15">
        <v>2414.6643997978699</v>
      </c>
      <c r="I304" s="16">
        <v>0.03</v>
      </c>
    </row>
    <row r="305" spans="6:9" x14ac:dyDescent="0.3">
      <c r="F305" s="14">
        <v>295</v>
      </c>
      <c r="G305" s="15">
        <v>2188.8580254818417</v>
      </c>
      <c r="H305" s="15">
        <v>2064.4300395385485</v>
      </c>
      <c r="I305" s="16">
        <v>2.4325984524780485E-2</v>
      </c>
    </row>
    <row r="306" spans="6:9" x14ac:dyDescent="0.3">
      <c r="F306" s="14">
        <v>296</v>
      </c>
      <c r="G306" s="15">
        <v>3219.6956183143261</v>
      </c>
      <c r="H306" s="15">
        <v>3074.6256543321142</v>
      </c>
      <c r="I306" s="16">
        <v>0.03</v>
      </c>
    </row>
    <row r="307" spans="6:9" x14ac:dyDescent="0.3">
      <c r="F307" s="14">
        <v>297</v>
      </c>
      <c r="G307" s="15">
        <v>2138.9723591236125</v>
      </c>
      <c r="H307" s="15">
        <v>1535.6420906960197</v>
      </c>
      <c r="I307" s="16">
        <v>0</v>
      </c>
    </row>
    <row r="308" spans="6:9" x14ac:dyDescent="0.3">
      <c r="F308" s="14">
        <v>298</v>
      </c>
      <c r="G308" s="15">
        <v>2796.499217611497</v>
      </c>
      <c r="H308" s="15">
        <v>2660.0870179868652</v>
      </c>
      <c r="I308" s="16">
        <v>0.03</v>
      </c>
    </row>
    <row r="309" spans="6:9" x14ac:dyDescent="0.3">
      <c r="F309" s="14">
        <v>299</v>
      </c>
      <c r="G309" s="15">
        <v>2034.642284582608</v>
      </c>
      <c r="H309" s="15">
        <v>1942.4683129443613</v>
      </c>
      <c r="I309" s="16">
        <v>0</v>
      </c>
    </row>
    <row r="310" spans="6:9" x14ac:dyDescent="0.3">
      <c r="F310" s="14">
        <v>300</v>
      </c>
      <c r="G310" s="15">
        <v>2487.5664849441087</v>
      </c>
      <c r="H310" s="15">
        <v>1986.4517277955822</v>
      </c>
      <c r="I310" s="16">
        <v>0.03</v>
      </c>
    </row>
    <row r="311" spans="6:9" x14ac:dyDescent="0.3">
      <c r="F311" s="14">
        <v>301</v>
      </c>
      <c r="G311" s="15">
        <v>2263.4035475867631</v>
      </c>
      <c r="H311" s="15">
        <v>2190.4192257671657</v>
      </c>
      <c r="I311" s="16">
        <v>8.195683664675818E-2</v>
      </c>
    </row>
    <row r="312" spans="6:9" x14ac:dyDescent="0.3">
      <c r="F312" s="14">
        <v>302</v>
      </c>
      <c r="G312" s="15">
        <v>2796.7246070132296</v>
      </c>
      <c r="H312" s="15">
        <v>2252.5498260680324</v>
      </c>
      <c r="I312" s="16">
        <v>0.03</v>
      </c>
    </row>
    <row r="313" spans="6:9" x14ac:dyDescent="0.3">
      <c r="F313" s="14">
        <v>303</v>
      </c>
      <c r="G313" s="15">
        <v>2263.7105089795814</v>
      </c>
      <c r="H313" s="15">
        <v>1542.7603171233109</v>
      </c>
      <c r="I313" s="16">
        <v>0</v>
      </c>
    </row>
    <row r="314" spans="6:9" x14ac:dyDescent="0.3">
      <c r="F314" s="14">
        <v>304</v>
      </c>
      <c r="G314" s="15">
        <v>2527.4948189775173</v>
      </c>
      <c r="H314" s="15">
        <v>2394.6621325006531</v>
      </c>
      <c r="I314" s="16">
        <v>0.03</v>
      </c>
    </row>
    <row r="315" spans="6:9" x14ac:dyDescent="0.3">
      <c r="F315" s="14">
        <v>305</v>
      </c>
      <c r="G315" s="15">
        <v>2683.3193325689754</v>
      </c>
      <c r="H315" s="15">
        <v>2636.925769245714</v>
      </c>
      <c r="I315" s="16">
        <v>0.03</v>
      </c>
    </row>
    <row r="316" spans="6:9" x14ac:dyDescent="0.3">
      <c r="F316" s="14">
        <v>306</v>
      </c>
      <c r="G316" s="15">
        <v>2222.2373361340483</v>
      </c>
      <c r="H316" s="15">
        <v>1686.313688406384</v>
      </c>
      <c r="I316" s="16">
        <v>0</v>
      </c>
    </row>
    <row r="317" spans="6:9" x14ac:dyDescent="0.3">
      <c r="F317" s="14">
        <v>307</v>
      </c>
      <c r="G317" s="15">
        <v>2335.3682871223259</v>
      </c>
      <c r="H317" s="15">
        <v>1973.6252227587679</v>
      </c>
      <c r="I317" s="16">
        <v>0.03</v>
      </c>
    </row>
    <row r="318" spans="6:9" x14ac:dyDescent="0.3">
      <c r="F318" s="14">
        <v>308</v>
      </c>
      <c r="G318" s="15">
        <v>2502.6067766933875</v>
      </c>
      <c r="H318" s="15">
        <v>2127.731839396235</v>
      </c>
      <c r="I318" s="16">
        <v>0.03</v>
      </c>
    </row>
    <row r="319" spans="6:9" x14ac:dyDescent="0.3">
      <c r="F319" s="14">
        <v>309</v>
      </c>
      <c r="G319" s="15">
        <v>2072.0587591798399</v>
      </c>
      <c r="H319" s="15">
        <v>1731.9980920701601</v>
      </c>
      <c r="I319" s="16">
        <v>0</v>
      </c>
    </row>
    <row r="320" spans="6:9" x14ac:dyDescent="0.3">
      <c r="F320" s="14">
        <v>310</v>
      </c>
      <c r="G320" s="15">
        <v>2245.3723909770119</v>
      </c>
      <c r="H320" s="15">
        <v>1980.6808270009265</v>
      </c>
      <c r="I320" s="16">
        <v>0</v>
      </c>
    </row>
    <row r="321" spans="6:9" x14ac:dyDescent="0.3">
      <c r="F321" s="14">
        <v>311</v>
      </c>
      <c r="G321" s="15">
        <v>2137.2185941221305</v>
      </c>
      <c r="H321" s="15">
        <v>1532.3516549983731</v>
      </c>
      <c r="I321" s="16">
        <v>0</v>
      </c>
    </row>
    <row r="322" spans="6:9" x14ac:dyDescent="0.3">
      <c r="F322" s="14">
        <v>312</v>
      </c>
      <c r="G322" s="15">
        <v>2299.562555308939</v>
      </c>
      <c r="H322" s="15">
        <v>2275.9739490605334</v>
      </c>
      <c r="I322" s="16">
        <v>0.12109187477225149</v>
      </c>
    </row>
    <row r="323" spans="6:9" x14ac:dyDescent="0.3">
      <c r="F323" s="14">
        <v>313</v>
      </c>
      <c r="G323" s="15">
        <v>2456.806622765213</v>
      </c>
      <c r="H323" s="15">
        <v>2374.3295500970607</v>
      </c>
      <c r="I323" s="16">
        <v>0.03</v>
      </c>
    </row>
    <row r="324" spans="6:9" x14ac:dyDescent="0.3">
      <c r="F324" s="14">
        <v>314</v>
      </c>
      <c r="G324" s="15">
        <v>2095.2653923272001</v>
      </c>
      <c r="H324" s="15">
        <v>1564.1875147433384</v>
      </c>
      <c r="I324" s="16">
        <v>0</v>
      </c>
    </row>
    <row r="325" spans="6:9" x14ac:dyDescent="0.3">
      <c r="F325" s="14">
        <v>315</v>
      </c>
      <c r="G325" s="15">
        <v>2085.3665584663095</v>
      </c>
      <c r="H325" s="15">
        <v>1563.581192829186</v>
      </c>
      <c r="I325" s="16">
        <v>0</v>
      </c>
    </row>
    <row r="326" spans="6:9" x14ac:dyDescent="0.3">
      <c r="F326" s="14">
        <v>316</v>
      </c>
      <c r="G326" s="15">
        <v>2138.0639106535655</v>
      </c>
      <c r="H326" s="15">
        <v>1777.4943207043193</v>
      </c>
      <c r="I326" s="16">
        <v>0</v>
      </c>
    </row>
    <row r="327" spans="6:9" x14ac:dyDescent="0.3">
      <c r="F327" s="14">
        <v>317</v>
      </c>
      <c r="G327" s="15">
        <v>2119.3089226409893</v>
      </c>
      <c r="H327" s="15">
        <v>1315.4345757726996</v>
      </c>
      <c r="I327" s="16">
        <v>0</v>
      </c>
    </row>
    <row r="328" spans="6:9" x14ac:dyDescent="0.3">
      <c r="F328" s="14">
        <v>318</v>
      </c>
      <c r="G328" s="15">
        <v>3121.5621039654075</v>
      </c>
      <c r="H328" s="15">
        <v>2819.153238256255</v>
      </c>
      <c r="I328" s="16">
        <v>0.03</v>
      </c>
    </row>
    <row r="329" spans="6:9" x14ac:dyDescent="0.3">
      <c r="F329" s="14">
        <v>319</v>
      </c>
      <c r="G329" s="15">
        <v>2740.4854262368008</v>
      </c>
      <c r="H329" s="15">
        <v>2669.9734540053837</v>
      </c>
      <c r="I329" s="16">
        <v>0.03</v>
      </c>
    </row>
    <row r="330" spans="6:9" x14ac:dyDescent="0.3">
      <c r="F330" s="14">
        <v>320</v>
      </c>
      <c r="G330" s="15">
        <v>2989.9317445681513</v>
      </c>
      <c r="H330" s="15">
        <v>2964.6011547580865</v>
      </c>
      <c r="I330" s="16">
        <v>0.03</v>
      </c>
    </row>
    <row r="331" spans="6:9" x14ac:dyDescent="0.3">
      <c r="F331" s="14">
        <v>321</v>
      </c>
      <c r="G331" s="15">
        <v>2083.6267159409717</v>
      </c>
      <c r="H331" s="15">
        <v>1439.45864621742</v>
      </c>
      <c r="I331" s="16">
        <v>0</v>
      </c>
    </row>
    <row r="332" spans="6:9" x14ac:dyDescent="0.3">
      <c r="F332" s="14">
        <v>322</v>
      </c>
      <c r="G332" s="15">
        <v>2086.1158549708948</v>
      </c>
      <c r="H332" s="15">
        <v>1784.4892351601188</v>
      </c>
      <c r="I332" s="16">
        <v>0</v>
      </c>
    </row>
    <row r="333" spans="6:9" x14ac:dyDescent="0.3">
      <c r="F333" s="14">
        <v>323</v>
      </c>
      <c r="G333" s="15">
        <v>2837.7204182047976</v>
      </c>
      <c r="H333" s="15">
        <v>2677.1937595761819</v>
      </c>
      <c r="I333" s="16">
        <v>0.03</v>
      </c>
    </row>
    <row r="334" spans="6:9" x14ac:dyDescent="0.3">
      <c r="F334" s="14">
        <v>324</v>
      </c>
      <c r="G334" s="15">
        <v>2326.1145449822229</v>
      </c>
      <c r="H334" s="15">
        <v>1760.6836152187</v>
      </c>
      <c r="I334" s="16">
        <v>0.03</v>
      </c>
    </row>
    <row r="335" spans="6:9" x14ac:dyDescent="0.3">
      <c r="F335" s="14">
        <v>325</v>
      </c>
      <c r="G335" s="15">
        <v>2083.5883791386887</v>
      </c>
      <c r="H335" s="15">
        <v>1730.4305813116707</v>
      </c>
      <c r="I335" s="16">
        <v>0</v>
      </c>
    </row>
    <row r="336" spans="6:9" x14ac:dyDescent="0.3">
      <c r="F336" s="14">
        <v>326</v>
      </c>
      <c r="G336" s="15">
        <v>2011.25</v>
      </c>
      <c r="H336" s="15">
        <v>1494.6584287297308</v>
      </c>
      <c r="I336" s="16">
        <v>0</v>
      </c>
    </row>
    <row r="337" spans="6:9" x14ac:dyDescent="0.3">
      <c r="F337" s="14">
        <v>327</v>
      </c>
      <c r="G337" s="15">
        <v>2460.8898001877815</v>
      </c>
      <c r="H337" s="15">
        <v>2161.0213984391289</v>
      </c>
      <c r="I337" s="16">
        <v>0.03</v>
      </c>
    </row>
    <row r="338" spans="6:9" x14ac:dyDescent="0.3">
      <c r="F338" s="14">
        <v>328</v>
      </c>
      <c r="G338" s="15">
        <v>2791.6891198861485</v>
      </c>
      <c r="H338" s="15">
        <v>2601.042836827819</v>
      </c>
      <c r="I338" s="16">
        <v>0.03</v>
      </c>
    </row>
    <row r="339" spans="6:9" x14ac:dyDescent="0.3">
      <c r="F339" s="14">
        <v>329</v>
      </c>
      <c r="G339" s="15">
        <v>2087.9324611501052</v>
      </c>
      <c r="H339" s="15">
        <v>2062.7695474992861</v>
      </c>
      <c r="I339" s="16">
        <v>2.3566430677112865E-2</v>
      </c>
    </row>
    <row r="340" spans="6:9" x14ac:dyDescent="0.3">
      <c r="F340" s="14">
        <v>330</v>
      </c>
      <c r="G340" s="15">
        <v>2037.1599232209105</v>
      </c>
      <c r="H340" s="15">
        <v>1606.9305615361543</v>
      </c>
      <c r="I340" s="16">
        <v>0</v>
      </c>
    </row>
    <row r="341" spans="6:9" x14ac:dyDescent="0.3">
      <c r="F341" s="14">
        <v>331</v>
      </c>
      <c r="G341" s="15">
        <v>2317.3222026155877</v>
      </c>
      <c r="H341" s="15">
        <v>2167.5711542712243</v>
      </c>
      <c r="I341" s="16">
        <v>0.03</v>
      </c>
    </row>
    <row r="342" spans="6:9" x14ac:dyDescent="0.3">
      <c r="F342" s="14">
        <v>332</v>
      </c>
      <c r="G342" s="15">
        <v>2393.0081477746244</v>
      </c>
      <c r="H342" s="15">
        <v>2264.620590680001</v>
      </c>
      <c r="I342" s="16">
        <v>0.03</v>
      </c>
    </row>
    <row r="343" spans="6:9" x14ac:dyDescent="0.3">
      <c r="F343" s="14">
        <v>333</v>
      </c>
      <c r="G343" s="15">
        <v>2011.25</v>
      </c>
      <c r="H343" s="15">
        <v>1508.6412744239235</v>
      </c>
      <c r="I343" s="16">
        <v>0</v>
      </c>
    </row>
    <row r="344" spans="6:9" x14ac:dyDescent="0.3">
      <c r="F344" s="14">
        <v>334</v>
      </c>
      <c r="G344" s="15">
        <v>2427.8195950086997</v>
      </c>
      <c r="H344" s="15">
        <v>2346.9121307753694</v>
      </c>
      <c r="I344" s="16">
        <v>0.03</v>
      </c>
    </row>
    <row r="345" spans="6:9" x14ac:dyDescent="0.3">
      <c r="F345" s="14">
        <v>335</v>
      </c>
      <c r="G345" s="15">
        <v>2028.5234215134765</v>
      </c>
      <c r="H345" s="15">
        <v>1718.91497872576</v>
      </c>
      <c r="I345" s="16">
        <v>0</v>
      </c>
    </row>
    <row r="346" spans="6:9" x14ac:dyDescent="0.3">
      <c r="F346" s="14">
        <v>336</v>
      </c>
      <c r="G346" s="15">
        <v>2232.5710650541278</v>
      </c>
      <c r="H346" s="15">
        <v>2043.4145012159104</v>
      </c>
      <c r="I346" s="16">
        <v>1.4712910438104529E-2</v>
      </c>
    </row>
    <row r="347" spans="6:9" x14ac:dyDescent="0.3">
      <c r="F347" s="14">
        <v>337</v>
      </c>
      <c r="G347" s="15">
        <v>2028.8140189909379</v>
      </c>
      <c r="H347" s="15">
        <v>1705.1316379650013</v>
      </c>
      <c r="I347" s="16">
        <v>0</v>
      </c>
    </row>
    <row r="348" spans="6:9" x14ac:dyDescent="0.3">
      <c r="F348" s="14">
        <v>338</v>
      </c>
      <c r="G348" s="15">
        <v>2185.4815112178458</v>
      </c>
      <c r="H348" s="15">
        <v>2146.5184631926522</v>
      </c>
      <c r="I348" s="16">
        <v>6.1875443697819707E-2</v>
      </c>
    </row>
    <row r="349" spans="6:9" x14ac:dyDescent="0.3">
      <c r="F349" s="14">
        <v>339</v>
      </c>
      <c r="G349" s="15">
        <v>2635.7995545521694</v>
      </c>
      <c r="H349" s="15">
        <v>2573.4503841998426</v>
      </c>
      <c r="I349" s="16">
        <v>0.03</v>
      </c>
    </row>
    <row r="350" spans="6:9" x14ac:dyDescent="0.3">
      <c r="F350" s="14">
        <v>340</v>
      </c>
      <c r="G350" s="15">
        <v>2151.9912129159707</v>
      </c>
      <c r="H350" s="15">
        <v>1384.0060763067602</v>
      </c>
      <c r="I350" s="16">
        <v>0</v>
      </c>
    </row>
    <row r="351" spans="6:9" x14ac:dyDescent="0.3">
      <c r="F351" s="14">
        <v>341</v>
      </c>
      <c r="G351" s="15">
        <v>2071.8521987133768</v>
      </c>
      <c r="H351" s="15">
        <v>1802.4508659749358</v>
      </c>
      <c r="I351" s="16">
        <v>0</v>
      </c>
    </row>
    <row r="352" spans="6:9" x14ac:dyDescent="0.3">
      <c r="F352" s="14">
        <v>342</v>
      </c>
      <c r="G352" s="15">
        <v>2313.6831357372976</v>
      </c>
      <c r="H352" s="15">
        <v>2158.0595243875787</v>
      </c>
      <c r="I352" s="16">
        <v>0.03</v>
      </c>
    </row>
    <row r="353" spans="6:9" x14ac:dyDescent="0.3">
      <c r="F353" s="14">
        <v>343</v>
      </c>
      <c r="G353" s="15">
        <v>2077.9781359058738</v>
      </c>
      <c r="H353" s="15">
        <v>1736.9568736741364</v>
      </c>
      <c r="I353" s="16">
        <v>0</v>
      </c>
    </row>
    <row r="354" spans="6:9" x14ac:dyDescent="0.3">
      <c r="F354" s="14">
        <v>344</v>
      </c>
      <c r="G354" s="15">
        <v>2014.1746061607621</v>
      </c>
      <c r="H354" s="15">
        <v>1795.4670023853184</v>
      </c>
      <c r="I354" s="16">
        <v>0</v>
      </c>
    </row>
    <row r="355" spans="6:9" x14ac:dyDescent="0.3">
      <c r="F355" s="14">
        <v>345</v>
      </c>
      <c r="G355" s="15">
        <v>2680.9966130685339</v>
      </c>
      <c r="H355" s="15">
        <v>2404.8230200397538</v>
      </c>
      <c r="I355" s="16">
        <v>0.03</v>
      </c>
    </row>
    <row r="356" spans="6:9" x14ac:dyDescent="0.3">
      <c r="F356" s="14">
        <v>346</v>
      </c>
      <c r="G356" s="15">
        <v>2133.1826469103698</v>
      </c>
      <c r="H356" s="15">
        <v>1903.2896750657137</v>
      </c>
      <c r="I356" s="16">
        <v>0</v>
      </c>
    </row>
    <row r="357" spans="6:9" x14ac:dyDescent="0.3">
      <c r="F357" s="14">
        <v>347</v>
      </c>
      <c r="G357" s="15">
        <v>2235.3483328862408</v>
      </c>
      <c r="H357" s="15">
        <v>1820.1863090532304</v>
      </c>
      <c r="I357" s="16">
        <v>0</v>
      </c>
    </row>
    <row r="358" spans="6:9" x14ac:dyDescent="0.3">
      <c r="F358" s="14">
        <v>348</v>
      </c>
      <c r="G358" s="15">
        <v>2820.3342245230519</v>
      </c>
      <c r="H358" s="15">
        <v>2211.7365083487989</v>
      </c>
      <c r="I358" s="16">
        <v>0.03</v>
      </c>
    </row>
    <row r="359" spans="6:9" x14ac:dyDescent="0.3">
      <c r="F359" s="14">
        <v>349</v>
      </c>
      <c r="G359" s="15">
        <v>2178.3452860902444</v>
      </c>
      <c r="H359" s="15">
        <v>1732.2118137825569</v>
      </c>
      <c r="I359" s="16">
        <v>0</v>
      </c>
    </row>
    <row r="360" spans="6:9" x14ac:dyDescent="0.3">
      <c r="F360" s="14">
        <v>350</v>
      </c>
      <c r="G360" s="15">
        <v>2030.4927378752354</v>
      </c>
      <c r="H360" s="15">
        <v>1049.6360089889265</v>
      </c>
      <c r="I360" s="16">
        <v>0</v>
      </c>
    </row>
    <row r="361" spans="6:9" x14ac:dyDescent="0.3">
      <c r="F361" s="14">
        <v>351</v>
      </c>
      <c r="G361" s="15">
        <v>2126.7843085313975</v>
      </c>
      <c r="H361" s="15">
        <v>2056.4972384510074</v>
      </c>
      <c r="I361" s="16">
        <v>2.069730733371123E-2</v>
      </c>
    </row>
    <row r="362" spans="6:9" x14ac:dyDescent="0.3">
      <c r="F362" s="14">
        <v>352</v>
      </c>
      <c r="G362" s="15">
        <v>2862.4736693152081</v>
      </c>
      <c r="H362" s="15">
        <v>2440.225212991561</v>
      </c>
      <c r="I362" s="16">
        <v>0.03</v>
      </c>
    </row>
    <row r="363" spans="6:9" x14ac:dyDescent="0.3">
      <c r="F363" s="14">
        <v>353</v>
      </c>
      <c r="G363" s="15">
        <v>2031.9665000777545</v>
      </c>
      <c r="H363" s="15">
        <v>1554.984297053097</v>
      </c>
      <c r="I363" s="16">
        <v>0</v>
      </c>
    </row>
    <row r="364" spans="6:9" x14ac:dyDescent="0.3">
      <c r="F364" s="14">
        <v>354</v>
      </c>
      <c r="G364" s="15">
        <v>3465.7376780461814</v>
      </c>
      <c r="H364" s="15">
        <v>3056.1857703356714</v>
      </c>
      <c r="I364" s="16">
        <v>0.03</v>
      </c>
    </row>
    <row r="365" spans="6:9" x14ac:dyDescent="0.3">
      <c r="F365" s="14">
        <v>355</v>
      </c>
      <c r="G365" s="15">
        <v>2314.2089807325697</v>
      </c>
      <c r="H365" s="15">
        <v>1983.0384702568701</v>
      </c>
      <c r="I365" s="16">
        <v>0.03</v>
      </c>
    </row>
    <row r="366" spans="6:9" x14ac:dyDescent="0.3">
      <c r="F366" s="14">
        <v>356</v>
      </c>
      <c r="G366" s="15">
        <v>2011.25</v>
      </c>
      <c r="H366" s="15">
        <v>1977.3326297106557</v>
      </c>
      <c r="I366" s="16">
        <v>0</v>
      </c>
    </row>
    <row r="367" spans="6:9" x14ac:dyDescent="0.3">
      <c r="F367" s="14">
        <v>357</v>
      </c>
      <c r="G367" s="15">
        <v>2802.4985567697777</v>
      </c>
      <c r="H367" s="15">
        <v>2725.0341155514225</v>
      </c>
      <c r="I367" s="16">
        <v>0.03</v>
      </c>
    </row>
    <row r="368" spans="6:9" x14ac:dyDescent="0.3">
      <c r="F368" s="14">
        <v>358</v>
      </c>
      <c r="G368" s="15">
        <v>2322.6173651461818</v>
      </c>
      <c r="H368" s="15">
        <v>2227.0954173941132</v>
      </c>
      <c r="I368" s="16">
        <v>0.03</v>
      </c>
    </row>
    <row r="369" spans="6:9" x14ac:dyDescent="0.3">
      <c r="F369" s="14">
        <v>359</v>
      </c>
      <c r="G369" s="15">
        <v>2802.9212076639274</v>
      </c>
      <c r="H369" s="15">
        <v>2706.2340828831911</v>
      </c>
      <c r="I369" s="16">
        <v>0.03</v>
      </c>
    </row>
    <row r="370" spans="6:9" x14ac:dyDescent="0.3">
      <c r="F370" s="14">
        <v>360</v>
      </c>
      <c r="G370" s="15">
        <v>2347.9931663656839</v>
      </c>
      <c r="H370" s="15">
        <v>2170.6212939908182</v>
      </c>
      <c r="I370" s="16">
        <v>0.03</v>
      </c>
    </row>
    <row r="371" spans="6:9" x14ac:dyDescent="0.3">
      <c r="F371" s="14">
        <v>361</v>
      </c>
      <c r="G371" s="15">
        <v>2847.7693948787032</v>
      </c>
      <c r="H371" s="15">
        <v>2785.9397496556976</v>
      </c>
      <c r="I371" s="16">
        <v>0.03</v>
      </c>
    </row>
    <row r="372" spans="6:9" x14ac:dyDescent="0.3">
      <c r="F372" s="14">
        <v>362</v>
      </c>
      <c r="G372" s="15">
        <v>2829.8913508453034</v>
      </c>
      <c r="H372" s="15">
        <v>2730.4788260632918</v>
      </c>
      <c r="I372" s="16">
        <v>0.03</v>
      </c>
    </row>
    <row r="373" spans="6:9" x14ac:dyDescent="0.3">
      <c r="F373" s="14">
        <v>363</v>
      </c>
      <c r="G373" s="15">
        <v>2236.0396411429265</v>
      </c>
      <c r="H373" s="15">
        <v>1715.6238434964425</v>
      </c>
      <c r="I373" s="16">
        <v>0</v>
      </c>
    </row>
    <row r="374" spans="6:9" x14ac:dyDescent="0.3">
      <c r="F374" s="14">
        <v>364</v>
      </c>
      <c r="G374" s="15">
        <v>2011.25</v>
      </c>
      <c r="H374" s="15">
        <v>1320.9918180962648</v>
      </c>
      <c r="I374" s="16">
        <v>0</v>
      </c>
    </row>
    <row r="375" spans="6:9" x14ac:dyDescent="0.3">
      <c r="F375" s="14">
        <v>365</v>
      </c>
      <c r="G375" s="15">
        <v>2011.25</v>
      </c>
      <c r="H375" s="15">
        <v>1393.6248278851831</v>
      </c>
      <c r="I375" s="16">
        <v>0</v>
      </c>
    </row>
    <row r="376" spans="6:9" x14ac:dyDescent="0.3">
      <c r="F376" s="14">
        <v>366</v>
      </c>
      <c r="G376" s="15">
        <v>2144.9424518266396</v>
      </c>
      <c r="H376" s="15">
        <v>1965.1216672084749</v>
      </c>
      <c r="I376" s="16">
        <v>0</v>
      </c>
    </row>
    <row r="377" spans="6:9" x14ac:dyDescent="0.3">
      <c r="F377" s="14">
        <v>367</v>
      </c>
      <c r="G377" s="15">
        <v>3268.6536519219285</v>
      </c>
      <c r="H377" s="15">
        <v>3185.9235499428205</v>
      </c>
      <c r="I377" s="16">
        <v>0.03</v>
      </c>
    </row>
    <row r="378" spans="6:9" x14ac:dyDescent="0.3">
      <c r="F378" s="14">
        <v>368</v>
      </c>
      <c r="G378" s="15">
        <v>2512.3563587307108</v>
      </c>
      <c r="H378" s="15">
        <v>2273.5982775212156</v>
      </c>
      <c r="I378" s="16">
        <v>0.03</v>
      </c>
    </row>
    <row r="379" spans="6:9" x14ac:dyDescent="0.3">
      <c r="F379" s="14">
        <v>369</v>
      </c>
      <c r="G379" s="15">
        <v>2550.4645733687084</v>
      </c>
      <c r="H379" s="15">
        <v>2266.0164386653696</v>
      </c>
      <c r="I379" s="16">
        <v>0.03</v>
      </c>
    </row>
    <row r="380" spans="6:9" x14ac:dyDescent="0.3">
      <c r="F380" s="14">
        <v>370</v>
      </c>
      <c r="G380" s="15">
        <v>2694.9009571662018</v>
      </c>
      <c r="H380" s="15">
        <v>2579.185587486561</v>
      </c>
      <c r="I380" s="16">
        <v>0.03</v>
      </c>
    </row>
    <row r="381" spans="6:9" x14ac:dyDescent="0.3">
      <c r="F381" s="14">
        <v>371</v>
      </c>
      <c r="G381" s="15">
        <v>2193.5285206427852</v>
      </c>
      <c r="H381" s="15">
        <v>1526.1590305722173</v>
      </c>
      <c r="I381" s="16">
        <v>0</v>
      </c>
    </row>
    <row r="382" spans="6:9" x14ac:dyDescent="0.3">
      <c r="F382" s="14">
        <v>372</v>
      </c>
      <c r="G382" s="15">
        <v>3145.7167151083277</v>
      </c>
      <c r="H382" s="15">
        <v>3140.6718156490215</v>
      </c>
      <c r="I382" s="16">
        <v>0.03</v>
      </c>
    </row>
    <row r="383" spans="6:9" x14ac:dyDescent="0.3">
      <c r="F383" s="14">
        <v>373</v>
      </c>
      <c r="G383" s="15">
        <v>2011.25</v>
      </c>
      <c r="H383" s="15">
        <v>1544.6816777884378</v>
      </c>
      <c r="I383" s="16">
        <v>0</v>
      </c>
    </row>
    <row r="384" spans="6:9" x14ac:dyDescent="0.3">
      <c r="F384" s="14">
        <v>374</v>
      </c>
      <c r="G384" s="15">
        <v>2605.3070420485569</v>
      </c>
      <c r="H384" s="15">
        <v>2059.4528881011929</v>
      </c>
      <c r="I384" s="16">
        <v>0.03</v>
      </c>
    </row>
    <row r="385" spans="6:9" x14ac:dyDescent="0.3">
      <c r="F385" s="14">
        <v>375</v>
      </c>
      <c r="G385" s="15">
        <v>2217.3655020141882</v>
      </c>
      <c r="H385" s="15">
        <v>2177.7853578179624</v>
      </c>
      <c r="I385" s="16">
        <v>7.6177764669994028E-2</v>
      </c>
    </row>
    <row r="386" spans="6:9" x14ac:dyDescent="0.3">
      <c r="F386" s="14">
        <v>376</v>
      </c>
      <c r="G386" s="15">
        <v>2070.4642322093664</v>
      </c>
      <c r="H386" s="15">
        <v>1738.5595136995157</v>
      </c>
      <c r="I386" s="16">
        <v>0</v>
      </c>
    </row>
    <row r="387" spans="6:9" x14ac:dyDescent="0.3">
      <c r="F387" s="14">
        <v>377</v>
      </c>
      <c r="G387" s="15">
        <v>2111.9581167902738</v>
      </c>
      <c r="H387" s="15">
        <v>1976.3227751870452</v>
      </c>
      <c r="I387" s="16">
        <v>0</v>
      </c>
    </row>
    <row r="388" spans="6:9" x14ac:dyDescent="0.3">
      <c r="F388" s="14">
        <v>378</v>
      </c>
      <c r="G388" s="15">
        <v>2170.7499881544068</v>
      </c>
      <c r="H388" s="15">
        <v>2033.5974582212982</v>
      </c>
      <c r="I388" s="16">
        <v>1.0222330174565154E-2</v>
      </c>
    </row>
    <row r="389" spans="6:9" x14ac:dyDescent="0.3">
      <c r="F389" s="14">
        <v>379</v>
      </c>
      <c r="G389" s="15">
        <v>3299.7757997146032</v>
      </c>
      <c r="H389" s="15">
        <v>2974.3403153768263</v>
      </c>
      <c r="I389" s="16">
        <v>0.03</v>
      </c>
    </row>
    <row r="390" spans="6:9" x14ac:dyDescent="0.3">
      <c r="F390" s="14">
        <v>380</v>
      </c>
      <c r="G390" s="15">
        <v>2039.8319773608068</v>
      </c>
      <c r="H390" s="15">
        <v>2010.6523275131369</v>
      </c>
      <c r="I390" s="16">
        <v>0</v>
      </c>
    </row>
    <row r="391" spans="6:9" x14ac:dyDescent="0.3">
      <c r="F391" s="14">
        <v>381</v>
      </c>
      <c r="G391" s="15">
        <v>2213.5777368757772</v>
      </c>
      <c r="H391" s="15">
        <v>1496.4890333243723</v>
      </c>
      <c r="I391" s="16">
        <v>0</v>
      </c>
    </row>
    <row r="392" spans="6:9" x14ac:dyDescent="0.3">
      <c r="F392" s="14">
        <v>382</v>
      </c>
      <c r="G392" s="15">
        <v>2524.7767783033173</v>
      </c>
      <c r="H392" s="15">
        <v>1934.6597928637784</v>
      </c>
      <c r="I392" s="16">
        <v>0.03</v>
      </c>
    </row>
    <row r="393" spans="6:9" x14ac:dyDescent="0.3">
      <c r="F393" s="14">
        <v>383</v>
      </c>
      <c r="G393" s="15">
        <v>2525.0675686704631</v>
      </c>
      <c r="H393" s="15">
        <v>2255.4629700701307</v>
      </c>
      <c r="I393" s="16">
        <v>0.03</v>
      </c>
    </row>
    <row r="394" spans="6:9" x14ac:dyDescent="0.3">
      <c r="F394" s="14">
        <v>384</v>
      </c>
      <c r="G394" s="15">
        <v>2279.1671812386326</v>
      </c>
      <c r="H394" s="15">
        <v>2095.818342045578</v>
      </c>
      <c r="I394" s="16">
        <v>3.8683840736821268E-2</v>
      </c>
    </row>
    <row r="395" spans="6:9" x14ac:dyDescent="0.3">
      <c r="F395" s="14">
        <v>385</v>
      </c>
      <c r="G395" s="15">
        <v>2132.2241530793453</v>
      </c>
      <c r="H395" s="15">
        <v>1728.4910447524117</v>
      </c>
      <c r="I395" s="16">
        <v>0</v>
      </c>
    </row>
    <row r="396" spans="6:9" x14ac:dyDescent="0.3">
      <c r="F396" s="14">
        <v>386</v>
      </c>
      <c r="G396" s="15">
        <v>2077.0266465768705</v>
      </c>
      <c r="H396" s="15">
        <v>1642.2086952491752</v>
      </c>
      <c r="I396" s="16">
        <v>0</v>
      </c>
    </row>
    <row r="397" spans="6:9" x14ac:dyDescent="0.3">
      <c r="F397" s="14">
        <v>387</v>
      </c>
      <c r="G397" s="15">
        <v>2396.1117510281033</v>
      </c>
      <c r="H397" s="15">
        <v>2148.1804437469409</v>
      </c>
      <c r="I397" s="16">
        <v>0.03</v>
      </c>
    </row>
    <row r="398" spans="6:9" x14ac:dyDescent="0.3">
      <c r="F398" s="14">
        <v>388</v>
      </c>
      <c r="G398" s="15">
        <v>2035.9169758197825</v>
      </c>
      <c r="H398" s="15">
        <v>1505.864288069929</v>
      </c>
      <c r="I398" s="16">
        <v>0</v>
      </c>
    </row>
    <row r="399" spans="6:9" x14ac:dyDescent="0.3">
      <c r="F399" s="14">
        <v>389</v>
      </c>
      <c r="G399" s="15">
        <v>2219.7952686315275</v>
      </c>
      <c r="H399" s="15">
        <v>1606.4250731711411</v>
      </c>
      <c r="I399" s="16">
        <v>0</v>
      </c>
    </row>
    <row r="400" spans="6:9" x14ac:dyDescent="0.3">
      <c r="F400" s="14">
        <v>390</v>
      </c>
      <c r="G400" s="15">
        <v>2439.6853138447864</v>
      </c>
      <c r="H400" s="15">
        <v>2170.3316939149727</v>
      </c>
      <c r="I400" s="16">
        <v>0.03</v>
      </c>
    </row>
    <row r="401" spans="6:9" x14ac:dyDescent="0.3">
      <c r="F401" s="14">
        <v>391</v>
      </c>
      <c r="G401" s="15">
        <v>2039.7519379059368</v>
      </c>
      <c r="H401" s="15">
        <v>1953.7997968737036</v>
      </c>
      <c r="I401" s="16">
        <v>0</v>
      </c>
    </row>
    <row r="402" spans="6:9" x14ac:dyDescent="0.3">
      <c r="F402" s="14">
        <v>392</v>
      </c>
      <c r="G402" s="15">
        <v>3023.6749655834119</v>
      </c>
      <c r="H402" s="15">
        <v>2557.5533708947405</v>
      </c>
      <c r="I402" s="16">
        <v>0.03</v>
      </c>
    </row>
    <row r="403" spans="6:9" x14ac:dyDescent="0.3">
      <c r="F403" s="14">
        <v>393</v>
      </c>
      <c r="G403" s="15">
        <v>2416.2146477955403</v>
      </c>
      <c r="H403" s="15">
        <v>1907.9266004218762</v>
      </c>
      <c r="I403" s="16">
        <v>0.03</v>
      </c>
    </row>
    <row r="404" spans="6:9" x14ac:dyDescent="0.3">
      <c r="F404" s="14">
        <v>394</v>
      </c>
      <c r="G404" s="15">
        <v>2444.9239591219907</v>
      </c>
      <c r="H404" s="15">
        <v>2225.2080315539001</v>
      </c>
      <c r="I404" s="16">
        <v>0.03</v>
      </c>
    </row>
    <row r="405" spans="6:9" x14ac:dyDescent="0.3">
      <c r="F405" s="14">
        <v>395</v>
      </c>
      <c r="G405" s="15">
        <v>2107.1142828102106</v>
      </c>
      <c r="H405" s="15">
        <v>1642.686693594743</v>
      </c>
      <c r="I405" s="16">
        <v>0</v>
      </c>
    </row>
    <row r="406" spans="6:9" x14ac:dyDescent="0.3">
      <c r="F406" s="14">
        <v>396</v>
      </c>
      <c r="G406" s="15">
        <v>2216.986902771775</v>
      </c>
      <c r="H406" s="15">
        <v>1657.8828045614762</v>
      </c>
      <c r="I406" s="16">
        <v>0</v>
      </c>
    </row>
    <row r="407" spans="6:9" x14ac:dyDescent="0.3">
      <c r="F407" s="14">
        <v>397</v>
      </c>
      <c r="G407" s="15">
        <v>2697.6828670745067</v>
      </c>
      <c r="H407" s="15">
        <v>2598.9250258603302</v>
      </c>
      <c r="I407" s="16">
        <v>0.03</v>
      </c>
    </row>
    <row r="408" spans="6:9" x14ac:dyDescent="0.3">
      <c r="F408" s="14">
        <v>398</v>
      </c>
      <c r="G408" s="15">
        <v>2309.620052275945</v>
      </c>
      <c r="H408" s="15">
        <v>2293.5687848873099</v>
      </c>
      <c r="I408" s="16">
        <v>0.12914022726977009</v>
      </c>
    </row>
    <row r="409" spans="6:9" x14ac:dyDescent="0.3">
      <c r="F409" s="14">
        <v>399</v>
      </c>
      <c r="G409" s="15">
        <v>2263.496880091232</v>
      </c>
      <c r="H409" s="15">
        <v>2034.9067948806021</v>
      </c>
      <c r="I409" s="16">
        <v>1.0821256079628992E-2</v>
      </c>
    </row>
    <row r="410" spans="6:9" x14ac:dyDescent="0.3">
      <c r="F410" s="14">
        <v>400</v>
      </c>
      <c r="G410" s="15">
        <v>2827.7442816402886</v>
      </c>
      <c r="H410" s="15">
        <v>2681.0160459776139</v>
      </c>
      <c r="I410" s="16">
        <v>0.03</v>
      </c>
    </row>
    <row r="411" spans="6:9" x14ac:dyDescent="0.3">
      <c r="F411" s="14">
        <v>401</v>
      </c>
      <c r="G411" s="15">
        <v>2066.7027412941734</v>
      </c>
      <c r="H411" s="15">
        <v>1976.5780434116459</v>
      </c>
      <c r="I411" s="16">
        <v>0</v>
      </c>
    </row>
    <row r="412" spans="6:9" x14ac:dyDescent="0.3">
      <c r="F412" s="14">
        <v>402</v>
      </c>
      <c r="G412" s="15">
        <v>2084.9973672451679</v>
      </c>
      <c r="H412" s="15">
        <v>1684.9667794338291</v>
      </c>
      <c r="I412" s="16">
        <v>0</v>
      </c>
    </row>
    <row r="413" spans="6:9" x14ac:dyDescent="0.3">
      <c r="F413" s="14">
        <v>403</v>
      </c>
      <c r="G413" s="15">
        <v>2540.0988387136786</v>
      </c>
      <c r="H413" s="15">
        <v>2462.6948291202871</v>
      </c>
      <c r="I413" s="16">
        <v>0.03</v>
      </c>
    </row>
    <row r="414" spans="6:9" x14ac:dyDescent="0.3">
      <c r="F414" s="14">
        <v>404</v>
      </c>
      <c r="G414" s="15">
        <v>2644.1897721958776</v>
      </c>
      <c r="H414" s="15">
        <v>2456.3676279491901</v>
      </c>
      <c r="I414" s="16">
        <v>0.03</v>
      </c>
    </row>
    <row r="415" spans="6:9" x14ac:dyDescent="0.3">
      <c r="F415" s="14">
        <v>405</v>
      </c>
      <c r="G415" s="15">
        <v>2011.25</v>
      </c>
      <c r="H415" s="15">
        <v>1638.1802753539266</v>
      </c>
      <c r="I415" s="16">
        <v>0</v>
      </c>
    </row>
    <row r="416" spans="6:9" x14ac:dyDescent="0.3">
      <c r="F416" s="14">
        <v>406</v>
      </c>
      <c r="G416" s="15">
        <v>2422.5573752109849</v>
      </c>
      <c r="H416" s="15">
        <v>2374.3115253521582</v>
      </c>
      <c r="I416" s="16">
        <v>0.03</v>
      </c>
    </row>
    <row r="417" spans="6:9" x14ac:dyDescent="0.3">
      <c r="F417" s="14">
        <v>407</v>
      </c>
      <c r="G417" s="15">
        <v>2162.6610941378353</v>
      </c>
      <c r="H417" s="15">
        <v>1936.5930793124796</v>
      </c>
      <c r="I417" s="16">
        <v>0</v>
      </c>
    </row>
    <row r="418" spans="6:9" x14ac:dyDescent="0.3">
      <c r="F418" s="14">
        <v>408</v>
      </c>
      <c r="G418" s="15">
        <v>2598.248578711256</v>
      </c>
      <c r="H418" s="15">
        <v>2203.3592751004458</v>
      </c>
      <c r="I418" s="16">
        <v>0.03</v>
      </c>
    </row>
    <row r="419" spans="6:9" x14ac:dyDescent="0.3">
      <c r="F419" s="14">
        <v>409</v>
      </c>
      <c r="G419" s="15">
        <v>2160.5724007540548</v>
      </c>
      <c r="H419" s="15">
        <v>1995.6568355362238</v>
      </c>
      <c r="I419" s="16">
        <v>0</v>
      </c>
    </row>
    <row r="420" spans="6:9" x14ac:dyDescent="0.3">
      <c r="F420" s="14">
        <v>410</v>
      </c>
      <c r="G420" s="15">
        <v>2052.1591791918672</v>
      </c>
      <c r="H420" s="15">
        <v>1867.4734341087408</v>
      </c>
      <c r="I420" s="16">
        <v>0</v>
      </c>
    </row>
    <row r="421" spans="6:9" x14ac:dyDescent="0.3">
      <c r="F421" s="14">
        <v>411</v>
      </c>
      <c r="G421" s="15">
        <v>2036.9374501966001</v>
      </c>
      <c r="H421" s="15">
        <v>1632.4216403092619</v>
      </c>
      <c r="I421" s="16">
        <v>0</v>
      </c>
    </row>
    <row r="422" spans="6:9" x14ac:dyDescent="0.3">
      <c r="F422" s="14">
        <v>412</v>
      </c>
      <c r="G422" s="15">
        <v>2696.5661853414567</v>
      </c>
      <c r="H422" s="15">
        <v>2427.1963940255978</v>
      </c>
      <c r="I422" s="16">
        <v>0.03</v>
      </c>
    </row>
    <row r="423" spans="6:9" x14ac:dyDescent="0.3">
      <c r="F423" s="14">
        <v>413</v>
      </c>
      <c r="G423" s="15">
        <v>2022.8181952517302</v>
      </c>
      <c r="H423" s="15">
        <v>1750.3280035572413</v>
      </c>
      <c r="I423" s="16">
        <v>0</v>
      </c>
    </row>
    <row r="424" spans="6:9" x14ac:dyDescent="0.3">
      <c r="F424" s="14">
        <v>414</v>
      </c>
      <c r="G424" s="15">
        <v>2508.6265345979255</v>
      </c>
      <c r="H424" s="15">
        <v>2471.7075095595324</v>
      </c>
      <c r="I424" s="16">
        <v>0.03</v>
      </c>
    </row>
    <row r="425" spans="6:9" x14ac:dyDescent="0.3">
      <c r="F425" s="14">
        <v>415</v>
      </c>
      <c r="G425" s="15">
        <v>2155.9547860129305</v>
      </c>
      <c r="H425" s="15">
        <v>1942.7418015546089</v>
      </c>
      <c r="I425" s="16">
        <v>0</v>
      </c>
    </row>
    <row r="426" spans="6:9" x14ac:dyDescent="0.3">
      <c r="F426" s="14">
        <v>416</v>
      </c>
      <c r="G426" s="15">
        <v>2058.7781568663859</v>
      </c>
      <c r="H426" s="15">
        <v>1551.2596368442657</v>
      </c>
      <c r="I426" s="16">
        <v>0</v>
      </c>
    </row>
    <row r="427" spans="6:9" x14ac:dyDescent="0.3">
      <c r="F427" s="14">
        <v>417</v>
      </c>
      <c r="G427" s="15">
        <v>2767.8963787605858</v>
      </c>
      <c r="H427" s="15">
        <v>2366.6099371449582</v>
      </c>
      <c r="I427" s="16">
        <v>0.03</v>
      </c>
    </row>
    <row r="428" spans="6:9" x14ac:dyDescent="0.3">
      <c r="F428" s="14">
        <v>418</v>
      </c>
      <c r="G428" s="15">
        <v>2030.6783473337061</v>
      </c>
      <c r="H428" s="15">
        <v>1814.9313164135535</v>
      </c>
      <c r="I428" s="16">
        <v>0</v>
      </c>
    </row>
    <row r="429" spans="6:9" x14ac:dyDescent="0.3">
      <c r="F429" s="14">
        <v>419</v>
      </c>
      <c r="G429" s="15">
        <v>2084.2554775400677</v>
      </c>
      <c r="H429" s="15">
        <v>1725.6711503430529</v>
      </c>
      <c r="I429" s="16">
        <v>0</v>
      </c>
    </row>
    <row r="430" spans="6:9" x14ac:dyDescent="0.3">
      <c r="F430" s="14">
        <v>420</v>
      </c>
      <c r="G430" s="15">
        <v>2173.4081097128351</v>
      </c>
      <c r="H430" s="15">
        <v>1996.2713007286395</v>
      </c>
      <c r="I430" s="16">
        <v>0</v>
      </c>
    </row>
    <row r="431" spans="6:9" x14ac:dyDescent="0.3">
      <c r="F431" s="14">
        <v>421</v>
      </c>
      <c r="G431" s="15">
        <v>2725.3322738449888</v>
      </c>
      <c r="H431" s="15">
        <v>2597.6232081996609</v>
      </c>
      <c r="I431" s="16">
        <v>0.03</v>
      </c>
    </row>
    <row r="432" spans="6:9" x14ac:dyDescent="0.3">
      <c r="F432" s="14">
        <v>422</v>
      </c>
      <c r="G432" s="15">
        <v>2226.4955942382089</v>
      </c>
      <c r="H432" s="15">
        <v>1683.6724440493563</v>
      </c>
      <c r="I432" s="16">
        <v>0</v>
      </c>
    </row>
    <row r="433" spans="6:9" x14ac:dyDescent="0.3">
      <c r="F433" s="14">
        <v>423</v>
      </c>
      <c r="G433" s="15">
        <v>2191.7654446556071</v>
      </c>
      <c r="H433" s="15">
        <v>1932.9660335692049</v>
      </c>
      <c r="I433" s="16">
        <v>0</v>
      </c>
    </row>
    <row r="434" spans="6:9" x14ac:dyDescent="0.3">
      <c r="F434" s="14">
        <v>424</v>
      </c>
      <c r="G434" s="15">
        <v>2196.3856536248209</v>
      </c>
      <c r="H434" s="15">
        <v>1616.3082063775885</v>
      </c>
      <c r="I434" s="16">
        <v>0</v>
      </c>
    </row>
    <row r="435" spans="6:9" x14ac:dyDescent="0.3">
      <c r="F435" s="14">
        <v>425</v>
      </c>
      <c r="G435" s="15">
        <v>2719.3799478717169</v>
      </c>
      <c r="H435" s="15">
        <v>2717.6182136615757</v>
      </c>
      <c r="I435" s="16">
        <v>0.03</v>
      </c>
    </row>
    <row r="436" spans="6:9" x14ac:dyDescent="0.3">
      <c r="F436" s="14">
        <v>426</v>
      </c>
      <c r="G436" s="15">
        <v>2227.3929680953347</v>
      </c>
      <c r="H436" s="15">
        <v>2172.9570692783445</v>
      </c>
      <c r="I436" s="16">
        <v>7.3969175257216635E-2</v>
      </c>
    </row>
    <row r="437" spans="6:9" x14ac:dyDescent="0.3">
      <c r="F437" s="14">
        <v>427</v>
      </c>
      <c r="G437" s="15">
        <v>2339.0576875860156</v>
      </c>
      <c r="H437" s="15">
        <v>2030.5251084863899</v>
      </c>
      <c r="I437" s="16">
        <v>0.03</v>
      </c>
    </row>
    <row r="438" spans="6:9" x14ac:dyDescent="0.3">
      <c r="F438" s="14">
        <v>428</v>
      </c>
      <c r="G438" s="15">
        <v>2857.7897031036864</v>
      </c>
      <c r="H438" s="15">
        <v>2515.6073131239477</v>
      </c>
      <c r="I438" s="16">
        <v>0.03</v>
      </c>
    </row>
    <row r="439" spans="6:9" x14ac:dyDescent="0.3">
      <c r="F439" s="14">
        <v>429</v>
      </c>
      <c r="G439" s="15">
        <v>2507.0249672538189</v>
      </c>
      <c r="H439" s="15">
        <v>2339.9996625835579</v>
      </c>
      <c r="I439" s="16">
        <v>0.03</v>
      </c>
    </row>
    <row r="440" spans="6:9" x14ac:dyDescent="0.3">
      <c r="F440" s="14">
        <v>430</v>
      </c>
      <c r="G440" s="15">
        <v>2357.9928704550989</v>
      </c>
      <c r="H440" s="15">
        <v>2130.2504717751244</v>
      </c>
      <c r="I440" s="16">
        <v>0.03</v>
      </c>
    </row>
    <row r="441" spans="6:9" x14ac:dyDescent="0.3">
      <c r="F441" s="14">
        <v>431</v>
      </c>
      <c r="G441" s="15">
        <v>2662.6983525872015</v>
      </c>
      <c r="H441" s="15">
        <v>2589.975836306463</v>
      </c>
      <c r="I441" s="16">
        <v>0.03</v>
      </c>
    </row>
    <row r="442" spans="6:9" x14ac:dyDescent="0.3">
      <c r="F442" s="14">
        <v>432</v>
      </c>
      <c r="G442" s="15">
        <v>3176.0372902407171</v>
      </c>
      <c r="H442" s="15">
        <v>3031.1916371200841</v>
      </c>
      <c r="I442" s="16">
        <v>0.03</v>
      </c>
    </row>
    <row r="443" spans="6:9" x14ac:dyDescent="0.3">
      <c r="F443" s="14">
        <v>433</v>
      </c>
      <c r="G443" s="15">
        <v>2532.5006260288314</v>
      </c>
      <c r="H443" s="15">
        <v>2407.6063907927019</v>
      </c>
      <c r="I443" s="16">
        <v>0.03</v>
      </c>
    </row>
    <row r="444" spans="6:9" x14ac:dyDescent="0.3">
      <c r="F444" s="14">
        <v>434</v>
      </c>
      <c r="G444" s="15">
        <v>2191.8982457191933</v>
      </c>
      <c r="H444" s="15">
        <v>1713.5671367586499</v>
      </c>
      <c r="I444" s="16">
        <v>0</v>
      </c>
    </row>
    <row r="445" spans="6:9" x14ac:dyDescent="0.3">
      <c r="F445" s="14">
        <v>435</v>
      </c>
      <c r="G445" s="15">
        <v>3047.7047886980376</v>
      </c>
      <c r="H445" s="15">
        <v>2791.2657516953982</v>
      </c>
      <c r="I445" s="16">
        <v>0.03</v>
      </c>
    </row>
    <row r="446" spans="6:9" x14ac:dyDescent="0.3">
      <c r="F446" s="14">
        <v>436</v>
      </c>
      <c r="G446" s="15">
        <v>2556.1993378673574</v>
      </c>
      <c r="H446" s="15">
        <v>2454.8963068172457</v>
      </c>
      <c r="I446" s="16">
        <v>0.03</v>
      </c>
    </row>
    <row r="447" spans="6:9" x14ac:dyDescent="0.3">
      <c r="F447" s="14">
        <v>437</v>
      </c>
      <c r="G447" s="15">
        <v>2063.7385287124389</v>
      </c>
      <c r="H447" s="15">
        <v>1799.3710940161282</v>
      </c>
      <c r="I447" s="16">
        <v>0</v>
      </c>
    </row>
    <row r="448" spans="6:9" x14ac:dyDescent="0.3">
      <c r="F448" s="14">
        <v>438</v>
      </c>
      <c r="G448" s="15">
        <v>2447.9133961914304</v>
      </c>
      <c r="H448" s="15">
        <v>2447.9133961914304</v>
      </c>
      <c r="I448" s="16">
        <v>0.03</v>
      </c>
    </row>
    <row r="449" spans="6:9" x14ac:dyDescent="0.3">
      <c r="F449" s="14">
        <v>439</v>
      </c>
      <c r="G449" s="15">
        <v>2206.8194930519962</v>
      </c>
      <c r="H449" s="15">
        <v>2003.8761977457816</v>
      </c>
      <c r="I449" s="16">
        <v>0</v>
      </c>
    </row>
    <row r="450" spans="6:9" x14ac:dyDescent="0.3">
      <c r="F450" s="14">
        <v>440</v>
      </c>
      <c r="G450" s="15">
        <v>2011.25</v>
      </c>
      <c r="H450" s="15">
        <v>1517.5966028483033</v>
      </c>
      <c r="I450" s="16">
        <v>0</v>
      </c>
    </row>
    <row r="451" spans="6:9" x14ac:dyDescent="0.3">
      <c r="F451" s="14">
        <v>441</v>
      </c>
      <c r="G451" s="15">
        <v>2673.2724553071989</v>
      </c>
      <c r="H451" s="15">
        <v>2386.047172991804</v>
      </c>
      <c r="I451" s="16">
        <v>0.03</v>
      </c>
    </row>
    <row r="452" spans="6:9" x14ac:dyDescent="0.3">
      <c r="F452" s="14">
        <v>442</v>
      </c>
      <c r="G452" s="15">
        <v>2307.1208598386561</v>
      </c>
      <c r="H452" s="15">
        <v>1630.4965978233313</v>
      </c>
      <c r="I452" s="16">
        <v>0</v>
      </c>
    </row>
    <row r="453" spans="6:9" x14ac:dyDescent="0.3">
      <c r="F453" s="14">
        <v>443</v>
      </c>
      <c r="G453" s="15">
        <v>2122.0171725828236</v>
      </c>
      <c r="H453" s="15">
        <v>1824.4993391457047</v>
      </c>
      <c r="I453" s="16">
        <v>0</v>
      </c>
    </row>
    <row r="454" spans="6:9" x14ac:dyDescent="0.3">
      <c r="F454" s="14">
        <v>444</v>
      </c>
      <c r="G454" s="15">
        <v>3134.4125782310257</v>
      </c>
      <c r="H454" s="15">
        <v>3134.4125782310257</v>
      </c>
      <c r="I454" s="16">
        <v>0.03</v>
      </c>
    </row>
    <row r="455" spans="6:9" x14ac:dyDescent="0.3">
      <c r="F455" s="14">
        <v>445</v>
      </c>
      <c r="G455" s="15">
        <v>2183.2413717613877</v>
      </c>
      <c r="H455" s="15">
        <v>1554.7819308739679</v>
      </c>
      <c r="I455" s="16">
        <v>0</v>
      </c>
    </row>
    <row r="456" spans="6:9" x14ac:dyDescent="0.3">
      <c r="F456" s="14">
        <v>446</v>
      </c>
      <c r="G456" s="15">
        <v>2053.7478804021221</v>
      </c>
      <c r="H456" s="15">
        <v>1234.2047646323465</v>
      </c>
      <c r="I456" s="16">
        <v>0</v>
      </c>
    </row>
    <row r="457" spans="6:9" x14ac:dyDescent="0.3">
      <c r="F457" s="14">
        <v>447</v>
      </c>
      <c r="G457" s="15">
        <v>2352.3055671456123</v>
      </c>
      <c r="H457" s="15">
        <v>1888.2381381819928</v>
      </c>
      <c r="I457" s="16">
        <v>0.03</v>
      </c>
    </row>
    <row r="458" spans="6:9" x14ac:dyDescent="0.3">
      <c r="F458" s="14">
        <v>448</v>
      </c>
      <c r="G458" s="15">
        <v>2155.1822651108364</v>
      </c>
      <c r="H458" s="15">
        <v>1990.9959537818695</v>
      </c>
      <c r="I458" s="16">
        <v>0</v>
      </c>
    </row>
    <row r="459" spans="6:9" x14ac:dyDescent="0.3">
      <c r="F459" s="14">
        <v>449</v>
      </c>
      <c r="G459" s="15">
        <v>2134.2994892294837</v>
      </c>
      <c r="H459" s="15">
        <v>1465.1732932772513</v>
      </c>
      <c r="I459" s="16">
        <v>0</v>
      </c>
    </row>
    <row r="460" spans="6:9" x14ac:dyDescent="0.3">
      <c r="F460" s="14">
        <v>450</v>
      </c>
      <c r="G460" s="15">
        <v>2011.25</v>
      </c>
      <c r="H460" s="15">
        <v>1705.5046916937622</v>
      </c>
      <c r="I460" s="16">
        <v>0</v>
      </c>
    </row>
    <row r="461" spans="6:9" x14ac:dyDescent="0.3">
      <c r="F461" s="14">
        <v>451</v>
      </c>
      <c r="G461" s="15">
        <v>2344.7920639772933</v>
      </c>
      <c r="H461" s="15">
        <v>1903.0351897863122</v>
      </c>
      <c r="I461" s="16">
        <v>0.03</v>
      </c>
    </row>
    <row r="462" spans="6:9" x14ac:dyDescent="0.3">
      <c r="F462" s="14">
        <v>452</v>
      </c>
      <c r="G462" s="15">
        <v>2282.3326559048069</v>
      </c>
      <c r="H462" s="15">
        <v>2055.1205770587303</v>
      </c>
      <c r="I462" s="16">
        <v>2.0067585279817061E-2</v>
      </c>
    </row>
    <row r="463" spans="6:9" x14ac:dyDescent="0.3">
      <c r="F463" s="14">
        <v>453</v>
      </c>
      <c r="G463" s="15">
        <v>3268.4334745178758</v>
      </c>
      <c r="H463" s="15">
        <v>3089.451053386013</v>
      </c>
      <c r="I463" s="16">
        <v>0.03</v>
      </c>
    </row>
    <row r="464" spans="6:9" x14ac:dyDescent="0.3">
      <c r="F464" s="14">
        <v>454</v>
      </c>
      <c r="G464" s="15">
        <v>2264.9270300082517</v>
      </c>
      <c r="H464" s="15">
        <v>1884.5481221173527</v>
      </c>
      <c r="I464" s="16">
        <v>0</v>
      </c>
    </row>
    <row r="465" spans="6:9" x14ac:dyDescent="0.3">
      <c r="F465" s="14">
        <v>455</v>
      </c>
      <c r="G465" s="15">
        <v>2172.7459042726096</v>
      </c>
      <c r="H465" s="15">
        <v>1870.3110739459514</v>
      </c>
      <c r="I465" s="16">
        <v>0</v>
      </c>
    </row>
    <row r="466" spans="6:9" x14ac:dyDescent="0.3">
      <c r="F466" s="14">
        <v>456</v>
      </c>
      <c r="G466" s="15">
        <v>2177.4361778251964</v>
      </c>
      <c r="H466" s="15">
        <v>1718.4440377775857</v>
      </c>
      <c r="I466" s="16">
        <v>0</v>
      </c>
    </row>
    <row r="467" spans="6:9" x14ac:dyDescent="0.3">
      <c r="F467" s="14">
        <v>457</v>
      </c>
      <c r="G467" s="15">
        <v>2212.1030067690663</v>
      </c>
      <c r="H467" s="15">
        <v>1790.9452145436655</v>
      </c>
      <c r="I467" s="16">
        <v>0</v>
      </c>
    </row>
    <row r="468" spans="6:9" x14ac:dyDescent="0.3">
      <c r="F468" s="14">
        <v>458</v>
      </c>
      <c r="G468" s="15">
        <v>2583.3950742497668</v>
      </c>
      <c r="H468" s="15">
        <v>2507.758858977676</v>
      </c>
      <c r="I468" s="16">
        <v>0.03</v>
      </c>
    </row>
    <row r="469" spans="6:9" x14ac:dyDescent="0.3">
      <c r="F469" s="14">
        <v>459</v>
      </c>
      <c r="G469" s="15">
        <v>2286.2020292678817</v>
      </c>
      <c r="H469" s="15">
        <v>2214.1506007732128</v>
      </c>
      <c r="I469" s="16">
        <v>9.2812207687435963E-2</v>
      </c>
    </row>
    <row r="470" spans="6:9" x14ac:dyDescent="0.3">
      <c r="F470" s="14">
        <v>460</v>
      </c>
      <c r="G470" s="15">
        <v>2139.2263515593827</v>
      </c>
      <c r="H470" s="15">
        <v>1653.0385167486693</v>
      </c>
      <c r="I470" s="16">
        <v>0</v>
      </c>
    </row>
    <row r="471" spans="6:9" x14ac:dyDescent="0.3">
      <c r="F471" s="14">
        <v>461</v>
      </c>
      <c r="G471" s="15">
        <v>2515.7749018932436</v>
      </c>
      <c r="H471" s="15">
        <v>2471.5919086179015</v>
      </c>
      <c r="I471" s="16">
        <v>0.03</v>
      </c>
    </row>
    <row r="472" spans="6:9" x14ac:dyDescent="0.3">
      <c r="F472" s="14">
        <v>462</v>
      </c>
      <c r="G472" s="15">
        <v>2045.4308870994137</v>
      </c>
      <c r="H472" s="15">
        <v>1762.6999212948419</v>
      </c>
      <c r="I472" s="16">
        <v>0</v>
      </c>
    </row>
    <row r="473" spans="6:9" x14ac:dyDescent="0.3">
      <c r="F473" s="14">
        <v>463</v>
      </c>
      <c r="G473" s="15">
        <v>2291.4167420978324</v>
      </c>
      <c r="H473" s="15">
        <v>1851.7985124898519</v>
      </c>
      <c r="I473" s="16">
        <v>0</v>
      </c>
    </row>
    <row r="474" spans="6:9" x14ac:dyDescent="0.3">
      <c r="F474" s="14">
        <v>464</v>
      </c>
      <c r="G474" s="15">
        <v>2542.2386741600985</v>
      </c>
      <c r="H474" s="15">
        <v>2275.3096008419575</v>
      </c>
      <c r="I474" s="16">
        <v>0.03</v>
      </c>
    </row>
    <row r="475" spans="6:9" x14ac:dyDescent="0.3">
      <c r="F475" s="14">
        <v>465</v>
      </c>
      <c r="G475" s="15">
        <v>2634.6886494853807</v>
      </c>
      <c r="H475" s="15">
        <v>2267.2587078520805</v>
      </c>
      <c r="I475" s="16">
        <v>0.03</v>
      </c>
    </row>
    <row r="476" spans="6:9" x14ac:dyDescent="0.3">
      <c r="F476" s="14">
        <v>466</v>
      </c>
      <c r="G476" s="15">
        <v>2011.25</v>
      </c>
      <c r="H476" s="15">
        <v>840.30961973381386</v>
      </c>
      <c r="I476" s="16">
        <v>0</v>
      </c>
    </row>
    <row r="477" spans="6:9" x14ac:dyDescent="0.3">
      <c r="F477" s="14">
        <v>467</v>
      </c>
      <c r="G477" s="15">
        <v>2276.2230662751381</v>
      </c>
      <c r="H477" s="15">
        <v>1738.9630425597875</v>
      </c>
      <c r="I477" s="16">
        <v>0</v>
      </c>
    </row>
    <row r="478" spans="6:9" x14ac:dyDescent="0.3">
      <c r="F478" s="14">
        <v>468</v>
      </c>
      <c r="G478" s="15">
        <v>2128.2839092512213</v>
      </c>
      <c r="H478" s="15">
        <v>1652.1973116725883</v>
      </c>
      <c r="I478" s="16">
        <v>0</v>
      </c>
    </row>
    <row r="479" spans="6:9" x14ac:dyDescent="0.3">
      <c r="F479" s="14">
        <v>469</v>
      </c>
      <c r="G479" s="15">
        <v>2429.7190190018532</v>
      </c>
      <c r="H479" s="15">
        <v>2090.4564676249338</v>
      </c>
      <c r="I479" s="16">
        <v>0.03</v>
      </c>
    </row>
    <row r="480" spans="6:9" x14ac:dyDescent="0.3">
      <c r="F480" s="14">
        <v>470</v>
      </c>
      <c r="G480" s="15">
        <v>2023.7320851079778</v>
      </c>
      <c r="H480" s="15">
        <v>1911.8735813935139</v>
      </c>
      <c r="I480" s="16">
        <v>0</v>
      </c>
    </row>
    <row r="481" spans="6:9" x14ac:dyDescent="0.3">
      <c r="F481" s="14">
        <v>471</v>
      </c>
      <c r="G481" s="15">
        <v>2253.6203146591488</v>
      </c>
      <c r="H481" s="15">
        <v>1255.0887439229414</v>
      </c>
      <c r="I481" s="16">
        <v>0</v>
      </c>
    </row>
    <row r="482" spans="6:9" x14ac:dyDescent="0.3">
      <c r="F482" s="14">
        <v>472</v>
      </c>
      <c r="G482" s="15">
        <v>2460.4620494575661</v>
      </c>
      <c r="H482" s="15">
        <v>1865.5226396515868</v>
      </c>
      <c r="I482" s="16">
        <v>0.03</v>
      </c>
    </row>
    <row r="483" spans="6:9" x14ac:dyDescent="0.3">
      <c r="F483" s="14">
        <v>473</v>
      </c>
      <c r="G483" s="15">
        <v>2222.567667101026</v>
      </c>
      <c r="H483" s="15">
        <v>1771.245581235557</v>
      </c>
      <c r="I483" s="16">
        <v>0</v>
      </c>
    </row>
    <row r="484" spans="6:9" x14ac:dyDescent="0.3">
      <c r="F484" s="14">
        <v>474</v>
      </c>
      <c r="G484" s="15">
        <v>3429.5866062792115</v>
      </c>
      <c r="H484" s="15">
        <v>3219.1685292596258</v>
      </c>
      <c r="I484" s="16">
        <v>0.03</v>
      </c>
    </row>
    <row r="485" spans="6:9" x14ac:dyDescent="0.3">
      <c r="F485" s="14">
        <v>475</v>
      </c>
      <c r="G485" s="15">
        <v>2621.4705588555853</v>
      </c>
      <c r="H485" s="15">
        <v>2503.2001509810248</v>
      </c>
      <c r="I485" s="16">
        <v>0.03</v>
      </c>
    </row>
    <row r="486" spans="6:9" x14ac:dyDescent="0.3">
      <c r="F486" s="14">
        <v>476</v>
      </c>
      <c r="G486" s="15">
        <v>2141.9542815364739</v>
      </c>
      <c r="H486" s="15">
        <v>1721.1866106879615</v>
      </c>
      <c r="I486" s="16">
        <v>0</v>
      </c>
    </row>
    <row r="487" spans="6:9" x14ac:dyDescent="0.3">
      <c r="F487" s="14">
        <v>477</v>
      </c>
      <c r="G487" s="15">
        <v>2551.6737864759116</v>
      </c>
      <c r="H487" s="15">
        <v>2275.4053061484251</v>
      </c>
      <c r="I487" s="16">
        <v>0.03</v>
      </c>
    </row>
    <row r="488" spans="6:9" x14ac:dyDescent="0.3">
      <c r="F488" s="14">
        <v>478</v>
      </c>
      <c r="G488" s="15">
        <v>2974.9751801222824</v>
      </c>
      <c r="H488" s="15">
        <v>2809.2013879852361</v>
      </c>
      <c r="I488" s="16">
        <v>0.03</v>
      </c>
    </row>
    <row r="489" spans="6:9" x14ac:dyDescent="0.3">
      <c r="F489" s="14">
        <v>479</v>
      </c>
      <c r="G489" s="15">
        <v>3415.7313040090785</v>
      </c>
      <c r="H489" s="15">
        <v>2906.2209591097157</v>
      </c>
      <c r="I489" s="16">
        <v>0.03</v>
      </c>
    </row>
    <row r="490" spans="6:9" x14ac:dyDescent="0.3">
      <c r="F490" s="14">
        <v>480</v>
      </c>
      <c r="G490" s="15">
        <v>2035.7716064687031</v>
      </c>
      <c r="H490" s="15">
        <v>1397.271243390984</v>
      </c>
      <c r="I490" s="16">
        <v>0</v>
      </c>
    </row>
    <row r="491" spans="6:9" x14ac:dyDescent="0.3">
      <c r="F491" s="14">
        <v>481</v>
      </c>
      <c r="G491" s="15">
        <v>2271.9925662894843</v>
      </c>
      <c r="H491" s="15">
        <v>1717.052411277795</v>
      </c>
      <c r="I491" s="16">
        <v>0</v>
      </c>
    </row>
    <row r="492" spans="6:9" x14ac:dyDescent="0.3">
      <c r="F492" s="14">
        <v>482</v>
      </c>
      <c r="G492" s="15">
        <v>2308.1599412009423</v>
      </c>
      <c r="H492" s="15">
        <v>2308.1599412009423</v>
      </c>
      <c r="I492" s="16">
        <v>0.13581461573890213</v>
      </c>
    </row>
    <row r="493" spans="6:9" x14ac:dyDescent="0.3">
      <c r="F493" s="14">
        <v>483</v>
      </c>
      <c r="G493" s="15">
        <v>2721.0722724171933</v>
      </c>
      <c r="H493" s="15">
        <v>2602.9444526705338</v>
      </c>
      <c r="I493" s="16">
        <v>0.03</v>
      </c>
    </row>
    <row r="494" spans="6:9" x14ac:dyDescent="0.3">
      <c r="F494" s="14">
        <v>484</v>
      </c>
      <c r="G494" s="15">
        <v>2110.2834857679982</v>
      </c>
      <c r="H494" s="15">
        <v>1631.3321749285856</v>
      </c>
      <c r="I494" s="16">
        <v>0</v>
      </c>
    </row>
    <row r="495" spans="6:9" x14ac:dyDescent="0.3">
      <c r="F495" s="14">
        <v>485</v>
      </c>
      <c r="G495" s="15">
        <v>2242.0754244151776</v>
      </c>
      <c r="H495" s="15">
        <v>2057.2583638957394</v>
      </c>
      <c r="I495" s="16">
        <v>2.1045466642177928E-2</v>
      </c>
    </row>
    <row r="496" spans="6:9" x14ac:dyDescent="0.3">
      <c r="F496" s="14">
        <v>486</v>
      </c>
      <c r="G496" s="15">
        <v>2132.4221066408963</v>
      </c>
      <c r="H496" s="15">
        <v>1933.6844954824744</v>
      </c>
      <c r="I496" s="16">
        <v>0</v>
      </c>
    </row>
    <row r="497" spans="6:9" x14ac:dyDescent="0.3">
      <c r="F497" s="14">
        <v>487</v>
      </c>
      <c r="G497" s="15">
        <v>2098.8419985552487</v>
      </c>
      <c r="H497" s="15">
        <v>1891.0701665706674</v>
      </c>
      <c r="I497" s="16">
        <v>0</v>
      </c>
    </row>
    <row r="498" spans="6:9" x14ac:dyDescent="0.3">
      <c r="F498" s="14">
        <v>488</v>
      </c>
      <c r="G498" s="15">
        <v>2309.4530123991563</v>
      </c>
      <c r="H498" s="15">
        <v>1950.239247025349</v>
      </c>
      <c r="I498" s="16">
        <v>0</v>
      </c>
    </row>
    <row r="499" spans="6:9" x14ac:dyDescent="0.3">
      <c r="F499" s="14">
        <v>489</v>
      </c>
      <c r="G499" s="15">
        <v>2176.8540557106226</v>
      </c>
      <c r="H499" s="15">
        <v>1664.4958391368607</v>
      </c>
      <c r="I499" s="16">
        <v>0</v>
      </c>
    </row>
    <row r="500" spans="6:9" x14ac:dyDescent="0.3">
      <c r="F500" s="14">
        <v>490</v>
      </c>
      <c r="G500" s="15">
        <v>2626.9189401302519</v>
      </c>
      <c r="H500" s="15">
        <v>2576.3079040228986</v>
      </c>
      <c r="I500" s="16">
        <v>0.03</v>
      </c>
    </row>
    <row r="501" spans="6:9" x14ac:dyDescent="0.3">
      <c r="F501" s="14">
        <v>491</v>
      </c>
      <c r="G501" s="15">
        <v>2191.1824228668647</v>
      </c>
      <c r="H501" s="15">
        <v>2084.3475571473678</v>
      </c>
      <c r="I501" s="16">
        <v>3.3436794319740677E-2</v>
      </c>
    </row>
    <row r="502" spans="6:9" x14ac:dyDescent="0.3">
      <c r="F502" s="14">
        <v>492</v>
      </c>
      <c r="G502" s="15">
        <v>2491.6273001159016</v>
      </c>
      <c r="H502" s="15">
        <v>1888.6848504969764</v>
      </c>
      <c r="I502" s="16">
        <v>0.03</v>
      </c>
    </row>
    <row r="503" spans="6:9" x14ac:dyDescent="0.3">
      <c r="F503" s="14">
        <v>493</v>
      </c>
      <c r="G503" s="15">
        <v>2129.7015223630242</v>
      </c>
      <c r="H503" s="15">
        <v>2102.1875181227838</v>
      </c>
      <c r="I503" s="16">
        <v>4.159727367207517E-2</v>
      </c>
    </row>
    <row r="504" spans="6:9" x14ac:dyDescent="0.3">
      <c r="F504" s="14">
        <v>494</v>
      </c>
      <c r="G504" s="15">
        <v>2320.7966426951971</v>
      </c>
      <c r="H504" s="15">
        <v>2105.5930313833464</v>
      </c>
      <c r="I504" s="16">
        <v>0.03</v>
      </c>
    </row>
    <row r="505" spans="6:9" x14ac:dyDescent="0.3">
      <c r="F505" s="14">
        <v>495</v>
      </c>
      <c r="G505" s="15">
        <v>2461.2072763316655</v>
      </c>
      <c r="H505" s="15">
        <v>2461.2072763316655</v>
      </c>
      <c r="I505" s="16">
        <v>0.03</v>
      </c>
    </row>
    <row r="506" spans="6:9" x14ac:dyDescent="0.3">
      <c r="F506" s="14">
        <v>496</v>
      </c>
      <c r="G506" s="15">
        <v>2134.8747296443453</v>
      </c>
      <c r="H506" s="15">
        <v>1830.8038836086073</v>
      </c>
      <c r="I506" s="16">
        <v>0</v>
      </c>
    </row>
    <row r="507" spans="6:9" x14ac:dyDescent="0.3">
      <c r="F507" s="14">
        <v>497</v>
      </c>
      <c r="G507" s="15">
        <v>2214.2467234247038</v>
      </c>
      <c r="H507" s="15">
        <v>1673.6887520459954</v>
      </c>
      <c r="I507" s="16">
        <v>0</v>
      </c>
    </row>
    <row r="508" spans="6:9" x14ac:dyDescent="0.3">
      <c r="F508" s="14">
        <v>498</v>
      </c>
      <c r="G508" s="15">
        <v>2082.1403217044481</v>
      </c>
      <c r="H508" s="15">
        <v>1668.1383295063849</v>
      </c>
      <c r="I508" s="16">
        <v>0</v>
      </c>
    </row>
    <row r="509" spans="6:9" x14ac:dyDescent="0.3">
      <c r="F509" s="14">
        <v>499</v>
      </c>
      <c r="G509" s="15">
        <v>2519.9179077454032</v>
      </c>
      <c r="H509" s="15">
        <v>2082.3912285885331</v>
      </c>
      <c r="I509" s="16">
        <v>0.03</v>
      </c>
    </row>
    <row r="510" spans="6:9" x14ac:dyDescent="0.3">
      <c r="F510" s="14">
        <v>500</v>
      </c>
      <c r="G510" s="15">
        <v>2511.2786599794322</v>
      </c>
      <c r="H510" s="15">
        <v>1990.7284803748992</v>
      </c>
      <c r="I510" s="16">
        <v>0.03</v>
      </c>
    </row>
    <row r="511" spans="6:9" x14ac:dyDescent="0.3">
      <c r="F511" s="14">
        <v>501</v>
      </c>
      <c r="G511" s="15">
        <v>2055.0733244644348</v>
      </c>
      <c r="H511" s="15">
        <v>1644.6107647100587</v>
      </c>
      <c r="I511" s="16">
        <v>0</v>
      </c>
    </row>
    <row r="512" spans="6:9" x14ac:dyDescent="0.3">
      <c r="F512" s="14">
        <v>502</v>
      </c>
      <c r="G512" s="15">
        <v>2319.4263794419417</v>
      </c>
      <c r="H512" s="15">
        <v>1977.9479738967564</v>
      </c>
      <c r="I512" s="16">
        <v>0.03</v>
      </c>
    </row>
    <row r="513" spans="6:9" x14ac:dyDescent="0.3">
      <c r="F513" s="14">
        <v>503</v>
      </c>
      <c r="G513" s="15">
        <v>2399.3261917330251</v>
      </c>
      <c r="H513" s="15">
        <v>2322.9833251886466</v>
      </c>
      <c r="I513" s="16">
        <v>0.03</v>
      </c>
    </row>
    <row r="514" spans="6:9" x14ac:dyDescent="0.3">
      <c r="F514" s="14">
        <v>504</v>
      </c>
      <c r="G514" s="15">
        <v>2780.7839807600071</v>
      </c>
      <c r="H514" s="15">
        <v>2218.9656171860261</v>
      </c>
      <c r="I514" s="16">
        <v>0.03</v>
      </c>
    </row>
    <row r="515" spans="6:9" x14ac:dyDescent="0.3">
      <c r="F515" s="14">
        <v>505</v>
      </c>
      <c r="G515" s="15">
        <v>2022.8123403501183</v>
      </c>
      <c r="H515" s="15">
        <v>1280.870843819979</v>
      </c>
      <c r="I515" s="16">
        <v>0</v>
      </c>
    </row>
    <row r="516" spans="6:9" x14ac:dyDescent="0.3">
      <c r="F516" s="14">
        <v>506</v>
      </c>
      <c r="G516" s="15">
        <v>2408.8477476269477</v>
      </c>
      <c r="H516" s="15">
        <v>2253.1975364791297</v>
      </c>
      <c r="I516" s="16">
        <v>0.03</v>
      </c>
    </row>
    <row r="517" spans="6:9" x14ac:dyDescent="0.3">
      <c r="F517" s="14">
        <v>507</v>
      </c>
      <c r="G517" s="15">
        <v>2559.7388830959953</v>
      </c>
      <c r="H517" s="15">
        <v>2559.7388830959953</v>
      </c>
      <c r="I517" s="16">
        <v>0.03</v>
      </c>
    </row>
    <row r="518" spans="6:9" x14ac:dyDescent="0.3">
      <c r="F518" s="14">
        <v>508</v>
      </c>
      <c r="G518" s="15">
        <v>2267.9276146426405</v>
      </c>
      <c r="H518" s="15">
        <v>1860.6212076296156</v>
      </c>
      <c r="I518" s="16">
        <v>0</v>
      </c>
    </row>
    <row r="519" spans="6:9" x14ac:dyDescent="0.3">
      <c r="F519" s="14">
        <v>509</v>
      </c>
      <c r="G519" s="15">
        <v>2225.9432911936447</v>
      </c>
      <c r="H519" s="15">
        <v>2141.5522006456763</v>
      </c>
      <c r="I519" s="16">
        <v>5.9603741252465946E-2</v>
      </c>
    </row>
    <row r="520" spans="6:9" x14ac:dyDescent="0.3">
      <c r="F520" s="14">
        <v>510</v>
      </c>
      <c r="G520" s="15">
        <v>2132.5487237255538</v>
      </c>
      <c r="H520" s="15">
        <v>1748.0752824387584</v>
      </c>
      <c r="I520" s="16">
        <v>0</v>
      </c>
    </row>
    <row r="521" spans="6:9" x14ac:dyDescent="0.3">
      <c r="F521" s="14">
        <v>511</v>
      </c>
      <c r="G521" s="15">
        <v>2372.7450232734432</v>
      </c>
      <c r="H521" s="15">
        <v>2026.4009022903094</v>
      </c>
      <c r="I521" s="16">
        <v>0.03</v>
      </c>
    </row>
    <row r="522" spans="6:9" x14ac:dyDescent="0.3">
      <c r="F522" s="14">
        <v>512</v>
      </c>
      <c r="G522" s="15">
        <v>2058.2128821334518</v>
      </c>
      <c r="H522" s="15">
        <v>1708.5202107276873</v>
      </c>
      <c r="I522" s="16">
        <v>0</v>
      </c>
    </row>
    <row r="523" spans="6:9" x14ac:dyDescent="0.3">
      <c r="F523" s="14">
        <v>513</v>
      </c>
      <c r="G523" s="15">
        <v>2364.2495154090207</v>
      </c>
      <c r="H523" s="15">
        <v>2019.8240748261414</v>
      </c>
      <c r="I523" s="16">
        <v>0.03</v>
      </c>
    </row>
    <row r="524" spans="6:9" x14ac:dyDescent="0.3">
      <c r="F524" s="14">
        <v>514</v>
      </c>
      <c r="G524" s="15">
        <v>2073.0575497249188</v>
      </c>
      <c r="H524" s="15">
        <v>1742.8086431554125</v>
      </c>
      <c r="I524" s="16">
        <v>0</v>
      </c>
    </row>
    <row r="525" spans="6:9" x14ac:dyDescent="0.3">
      <c r="F525" s="14">
        <v>515</v>
      </c>
      <c r="G525" s="15">
        <v>2235.2673416055004</v>
      </c>
      <c r="H525" s="15">
        <v>2012.1852849176869</v>
      </c>
      <c r="I525" s="16">
        <v>4.2782454904758186E-4</v>
      </c>
    </row>
    <row r="526" spans="6:9" x14ac:dyDescent="0.3">
      <c r="F526" s="14">
        <v>516</v>
      </c>
      <c r="G526" s="15">
        <v>2284.5028714497153</v>
      </c>
      <c r="H526" s="15">
        <v>1721.5114315478568</v>
      </c>
      <c r="I526" s="16">
        <v>0</v>
      </c>
    </row>
    <row r="527" spans="6:9" x14ac:dyDescent="0.3">
      <c r="F527" s="14">
        <v>517</v>
      </c>
      <c r="G527" s="15">
        <v>2011.25</v>
      </c>
      <c r="H527" s="15">
        <v>1650.0933951135632</v>
      </c>
      <c r="I527" s="16">
        <v>0</v>
      </c>
    </row>
    <row r="528" spans="6:9" x14ac:dyDescent="0.3">
      <c r="F528" s="14">
        <v>518</v>
      </c>
      <c r="G528" s="15">
        <v>2093.1725010403584</v>
      </c>
      <c r="H528" s="15">
        <v>1645.7719348340822</v>
      </c>
      <c r="I528" s="16">
        <v>0</v>
      </c>
    </row>
    <row r="529" spans="6:9" x14ac:dyDescent="0.3">
      <c r="F529" s="14">
        <v>519</v>
      </c>
      <c r="G529" s="15">
        <v>2038.1286371340186</v>
      </c>
      <c r="H529" s="15">
        <v>1827.0421539923946</v>
      </c>
      <c r="I529" s="16">
        <v>0</v>
      </c>
    </row>
    <row r="530" spans="6:9" x14ac:dyDescent="0.3">
      <c r="F530" s="14">
        <v>520</v>
      </c>
      <c r="G530" s="15">
        <v>3172.5735016228937</v>
      </c>
      <c r="H530" s="15">
        <v>3048.3788449303092</v>
      </c>
      <c r="I530" s="16">
        <v>0.03</v>
      </c>
    </row>
    <row r="531" spans="6:9" x14ac:dyDescent="0.3">
      <c r="F531" s="14">
        <v>521</v>
      </c>
      <c r="G531" s="15">
        <v>2296.7220754685086</v>
      </c>
      <c r="H531" s="15">
        <v>1870.597789701837</v>
      </c>
      <c r="I531" s="16">
        <v>0</v>
      </c>
    </row>
    <row r="532" spans="6:9" x14ac:dyDescent="0.3">
      <c r="F532" s="14">
        <v>522</v>
      </c>
      <c r="G532" s="15">
        <v>2267.9459067319099</v>
      </c>
      <c r="H532" s="15">
        <v>2018.3742447951186</v>
      </c>
      <c r="I532" s="16">
        <v>3.2588217335035811E-3</v>
      </c>
    </row>
    <row r="533" spans="6:9" x14ac:dyDescent="0.3">
      <c r="F533" s="14">
        <v>523</v>
      </c>
      <c r="G533" s="15">
        <v>2401.9882026491641</v>
      </c>
      <c r="H533" s="15">
        <v>2071.6169459855482</v>
      </c>
      <c r="I533" s="16">
        <v>0.03</v>
      </c>
    </row>
    <row r="534" spans="6:9" x14ac:dyDescent="0.3">
      <c r="F534" s="14">
        <v>524</v>
      </c>
      <c r="G534" s="15">
        <v>2194.1409721687028</v>
      </c>
      <c r="H534" s="15">
        <v>1986.2030445027438</v>
      </c>
      <c r="I534" s="16">
        <v>0</v>
      </c>
    </row>
    <row r="535" spans="6:9" x14ac:dyDescent="0.3">
      <c r="F535" s="14">
        <v>525</v>
      </c>
      <c r="G535" s="15">
        <v>2760.4736875816084</v>
      </c>
      <c r="H535" s="15">
        <v>2378.9409317599084</v>
      </c>
      <c r="I535" s="16">
        <v>0.03</v>
      </c>
    </row>
    <row r="536" spans="6:9" x14ac:dyDescent="0.3">
      <c r="F536" s="14">
        <v>526</v>
      </c>
      <c r="G536" s="15">
        <v>2181.2268257731221</v>
      </c>
      <c r="H536" s="15">
        <v>1934.035267522775</v>
      </c>
      <c r="I536" s="16">
        <v>0</v>
      </c>
    </row>
    <row r="537" spans="6:9" x14ac:dyDescent="0.3">
      <c r="F537" s="14">
        <v>527</v>
      </c>
      <c r="G537" s="15">
        <v>2012.3238175308666</v>
      </c>
      <c r="H537" s="15">
        <v>1804.2767836910157</v>
      </c>
      <c r="I537" s="16">
        <v>0</v>
      </c>
    </row>
    <row r="538" spans="6:9" x14ac:dyDescent="0.3">
      <c r="F538" s="14">
        <v>528</v>
      </c>
      <c r="G538" s="15">
        <v>2016.4105489967417</v>
      </c>
      <c r="H538" s="15">
        <v>1988.3938490827684</v>
      </c>
      <c r="I538" s="16">
        <v>0</v>
      </c>
    </row>
    <row r="539" spans="6:9" x14ac:dyDescent="0.3">
      <c r="F539" s="14">
        <v>529</v>
      </c>
      <c r="G539" s="15">
        <v>2011.25</v>
      </c>
      <c r="H539" s="15">
        <v>1715.3343889552218</v>
      </c>
      <c r="I539" s="16">
        <v>0</v>
      </c>
    </row>
    <row r="540" spans="6:9" x14ac:dyDescent="0.3">
      <c r="F540" s="14">
        <v>530</v>
      </c>
      <c r="G540" s="15">
        <v>2126.6904358165211</v>
      </c>
      <c r="H540" s="15">
        <v>1756.5343555976431</v>
      </c>
      <c r="I540" s="16">
        <v>0</v>
      </c>
    </row>
    <row r="541" spans="6:9" x14ac:dyDescent="0.3">
      <c r="F541" s="14">
        <v>531</v>
      </c>
      <c r="G541" s="15">
        <v>2067.9655780749545</v>
      </c>
      <c r="H541" s="15">
        <v>1993.0369696846726</v>
      </c>
      <c r="I541" s="16">
        <v>0</v>
      </c>
    </row>
    <row r="542" spans="6:9" x14ac:dyDescent="0.3">
      <c r="F542" s="14">
        <v>532</v>
      </c>
      <c r="G542" s="15">
        <v>2866.8383872729773</v>
      </c>
      <c r="H542" s="15">
        <v>2774.8627230251882</v>
      </c>
      <c r="I542" s="16">
        <v>0.03</v>
      </c>
    </row>
    <row r="543" spans="6:9" x14ac:dyDescent="0.3">
      <c r="F543" s="14">
        <v>533</v>
      </c>
      <c r="G543" s="15">
        <v>2043.7675341063361</v>
      </c>
      <c r="H543" s="15">
        <v>1723.4481669861666</v>
      </c>
      <c r="I543" s="16">
        <v>0</v>
      </c>
    </row>
    <row r="544" spans="6:9" x14ac:dyDescent="0.3">
      <c r="F544" s="14">
        <v>534</v>
      </c>
      <c r="G544" s="15">
        <v>2011.25</v>
      </c>
      <c r="H544" s="15">
        <v>1464.6719794398493</v>
      </c>
      <c r="I544" s="16">
        <v>0</v>
      </c>
    </row>
    <row r="545" spans="6:9" x14ac:dyDescent="0.3">
      <c r="F545" s="14">
        <v>535</v>
      </c>
      <c r="G545" s="15">
        <v>2189.253163490403</v>
      </c>
      <c r="H545" s="15">
        <v>1634.2271343481152</v>
      </c>
      <c r="I545" s="16">
        <v>0</v>
      </c>
    </row>
    <row r="546" spans="6:9" x14ac:dyDescent="0.3">
      <c r="F546" s="14">
        <v>536</v>
      </c>
      <c r="G546" s="15">
        <v>2929.8048256363204</v>
      </c>
      <c r="H546" s="15">
        <v>2249.0691144569623</v>
      </c>
      <c r="I546" s="16">
        <v>0.03</v>
      </c>
    </row>
    <row r="547" spans="6:9" x14ac:dyDescent="0.3">
      <c r="F547" s="14">
        <v>537</v>
      </c>
      <c r="G547" s="15">
        <v>2011.25</v>
      </c>
      <c r="H547" s="15">
        <v>1457.433359993159</v>
      </c>
      <c r="I547" s="16">
        <v>0</v>
      </c>
    </row>
    <row r="548" spans="6:9" x14ac:dyDescent="0.3">
      <c r="F548" s="14">
        <v>538</v>
      </c>
      <c r="G548" s="15">
        <v>2225.2531514028765</v>
      </c>
      <c r="H548" s="15">
        <v>2148.7507855602048</v>
      </c>
      <c r="I548" s="16">
        <v>6.2896568161784169E-2</v>
      </c>
    </row>
    <row r="549" spans="6:9" x14ac:dyDescent="0.3">
      <c r="F549" s="14">
        <v>539</v>
      </c>
      <c r="G549" s="15">
        <v>2098.4018161698223</v>
      </c>
      <c r="H549" s="15">
        <v>1374.0197181527217</v>
      </c>
      <c r="I549" s="16">
        <v>0</v>
      </c>
    </row>
    <row r="550" spans="6:9" x14ac:dyDescent="0.3">
      <c r="F550" s="14">
        <v>540</v>
      </c>
      <c r="G550" s="15">
        <v>2605.5935729955127</v>
      </c>
      <c r="H550" s="15">
        <v>1963.8958241793632</v>
      </c>
      <c r="I550" s="16">
        <v>0.03</v>
      </c>
    </row>
    <row r="551" spans="6:9" x14ac:dyDescent="0.3">
      <c r="F551" s="14">
        <v>541</v>
      </c>
      <c r="G551" s="15">
        <v>2443.0038715029027</v>
      </c>
      <c r="H551" s="15">
        <v>2263.7793785859835</v>
      </c>
      <c r="I551" s="16">
        <v>0.03</v>
      </c>
    </row>
    <row r="552" spans="6:9" x14ac:dyDescent="0.3">
      <c r="F552" s="14">
        <v>542</v>
      </c>
      <c r="G552" s="15">
        <v>2949.8488927589819</v>
      </c>
      <c r="H552" s="15">
        <v>2776.6624550556435</v>
      </c>
      <c r="I552" s="16">
        <v>0.03</v>
      </c>
    </row>
    <row r="553" spans="6:9" x14ac:dyDescent="0.3">
      <c r="F553" s="14">
        <v>543</v>
      </c>
      <c r="G553" s="15">
        <v>2011.25</v>
      </c>
      <c r="H553" s="15">
        <v>1163.5504717538288</v>
      </c>
      <c r="I553" s="16">
        <v>0</v>
      </c>
    </row>
    <row r="554" spans="6:9" x14ac:dyDescent="0.3">
      <c r="F554" s="14">
        <v>544</v>
      </c>
      <c r="G554" s="15">
        <v>2896.1072799337053</v>
      </c>
      <c r="H554" s="15">
        <v>2766.3570767294782</v>
      </c>
      <c r="I554" s="16">
        <v>0.03</v>
      </c>
    </row>
    <row r="555" spans="6:9" x14ac:dyDescent="0.3">
      <c r="F555" s="14">
        <v>545</v>
      </c>
      <c r="G555" s="15">
        <v>2663.3904425778837</v>
      </c>
      <c r="H555" s="15">
        <v>2648.2867556783926</v>
      </c>
      <c r="I555" s="16">
        <v>0.03</v>
      </c>
    </row>
    <row r="556" spans="6:9" x14ac:dyDescent="0.3">
      <c r="F556" s="14">
        <v>546</v>
      </c>
      <c r="G556" s="15">
        <v>2660.3241142220609</v>
      </c>
      <c r="H556" s="15">
        <v>2533.2539789311595</v>
      </c>
      <c r="I556" s="16">
        <v>0.03</v>
      </c>
    </row>
    <row r="557" spans="6:9" x14ac:dyDescent="0.3">
      <c r="F557" s="14">
        <v>547</v>
      </c>
      <c r="G557" s="15">
        <v>2450.5108407913694</v>
      </c>
      <c r="H557" s="15">
        <v>2127.4825160316141</v>
      </c>
      <c r="I557" s="16">
        <v>0.03</v>
      </c>
    </row>
    <row r="558" spans="6:9" x14ac:dyDescent="0.3">
      <c r="F558" s="14">
        <v>548</v>
      </c>
      <c r="G558" s="15">
        <v>2018.6664927280228</v>
      </c>
      <c r="H558" s="15">
        <v>1341.3144978036007</v>
      </c>
      <c r="I558" s="16">
        <v>0</v>
      </c>
    </row>
    <row r="559" spans="6:9" x14ac:dyDescent="0.3">
      <c r="F559" s="14">
        <v>549</v>
      </c>
      <c r="G559" s="15">
        <v>2324.0390246799448</v>
      </c>
      <c r="H559" s="15">
        <v>1969.0592645036252</v>
      </c>
      <c r="I559" s="16">
        <v>0.03</v>
      </c>
    </row>
    <row r="560" spans="6:9" x14ac:dyDescent="0.3">
      <c r="F560" s="14">
        <v>550</v>
      </c>
      <c r="G560" s="15">
        <v>2125.5371595053339</v>
      </c>
      <c r="H560" s="15">
        <v>1976.2098003671128</v>
      </c>
      <c r="I560" s="16">
        <v>0</v>
      </c>
    </row>
    <row r="561" spans="6:9" x14ac:dyDescent="0.3">
      <c r="F561" s="14">
        <v>551</v>
      </c>
      <c r="G561" s="15">
        <v>2508.58801914479</v>
      </c>
      <c r="H561" s="15">
        <v>2209.3831177615639</v>
      </c>
      <c r="I561" s="16">
        <v>0.03</v>
      </c>
    </row>
    <row r="562" spans="6:9" x14ac:dyDescent="0.3">
      <c r="F562" s="14">
        <v>552</v>
      </c>
      <c r="G562" s="15">
        <v>2186.7483001211172</v>
      </c>
      <c r="H562" s="15">
        <v>1550.9922678162145</v>
      </c>
      <c r="I562" s="16">
        <v>0</v>
      </c>
    </row>
    <row r="563" spans="6:9" x14ac:dyDescent="0.3">
      <c r="F563" s="14">
        <v>553</v>
      </c>
      <c r="G563" s="15">
        <v>2013.9854784076972</v>
      </c>
      <c r="H563" s="15">
        <v>1756.2719888506888</v>
      </c>
      <c r="I563" s="16">
        <v>0</v>
      </c>
    </row>
    <row r="564" spans="6:9" x14ac:dyDescent="0.3">
      <c r="F564" s="14">
        <v>554</v>
      </c>
      <c r="G564" s="15">
        <v>2239.138807126119</v>
      </c>
      <c r="H564" s="15">
        <v>2162.9372977513476</v>
      </c>
      <c r="I564" s="16">
        <v>6.938586149471225E-2</v>
      </c>
    </row>
    <row r="565" spans="6:9" x14ac:dyDescent="0.3">
      <c r="F565" s="14">
        <v>555</v>
      </c>
      <c r="G565" s="15">
        <v>2442.4755214685106</v>
      </c>
      <c r="H565" s="15">
        <v>2323.5283374965402</v>
      </c>
      <c r="I565" s="16">
        <v>0.03</v>
      </c>
    </row>
    <row r="566" spans="6:9" x14ac:dyDescent="0.3">
      <c r="F566" s="14">
        <v>556</v>
      </c>
      <c r="G566" s="15">
        <v>2754.8307551525909</v>
      </c>
      <c r="H566" s="15">
        <v>2708.046643737448</v>
      </c>
      <c r="I566" s="16">
        <v>0.03</v>
      </c>
    </row>
    <row r="567" spans="6:9" x14ac:dyDescent="0.3">
      <c r="F567" s="14">
        <v>557</v>
      </c>
      <c r="G567" s="15">
        <v>2524.1320149147336</v>
      </c>
      <c r="H567" s="15">
        <v>2330.2393238189343</v>
      </c>
      <c r="I567" s="16">
        <v>0.03</v>
      </c>
    </row>
    <row r="568" spans="6:9" x14ac:dyDescent="0.3">
      <c r="F568" s="14">
        <v>558</v>
      </c>
      <c r="G568" s="15">
        <v>2890.4191800630265</v>
      </c>
      <c r="H568" s="15">
        <v>2813.1097939130427</v>
      </c>
      <c r="I568" s="16">
        <v>0.03</v>
      </c>
    </row>
    <row r="569" spans="6:9" x14ac:dyDescent="0.3">
      <c r="F569" s="14">
        <v>559</v>
      </c>
      <c r="G569" s="15">
        <v>2441.103306394848</v>
      </c>
      <c r="H569" s="15">
        <v>2388.3778060769737</v>
      </c>
      <c r="I569" s="16">
        <v>0.03</v>
      </c>
    </row>
    <row r="570" spans="6:9" x14ac:dyDescent="0.3">
      <c r="F570" s="14">
        <v>560</v>
      </c>
      <c r="G570" s="15">
        <v>2296.174550885411</v>
      </c>
      <c r="H570" s="15">
        <v>1667.8683714688298</v>
      </c>
      <c r="I570" s="16">
        <v>0</v>
      </c>
    </row>
    <row r="571" spans="6:9" x14ac:dyDescent="0.3">
      <c r="F571" s="14">
        <v>561</v>
      </c>
      <c r="G571" s="15">
        <v>2156.869239115174</v>
      </c>
      <c r="H571" s="15">
        <v>1451.8088664473185</v>
      </c>
      <c r="I571" s="16">
        <v>0</v>
      </c>
    </row>
    <row r="572" spans="6:9" x14ac:dyDescent="0.3">
      <c r="F572" s="14">
        <v>562</v>
      </c>
      <c r="G572" s="15">
        <v>2573.016054357513</v>
      </c>
      <c r="H572" s="15">
        <v>2557.5348264186523</v>
      </c>
      <c r="I572" s="16">
        <v>0.03</v>
      </c>
    </row>
    <row r="573" spans="6:9" x14ac:dyDescent="0.3">
      <c r="F573" s="14">
        <v>563</v>
      </c>
      <c r="G573" s="15">
        <v>2926.7099890127756</v>
      </c>
      <c r="H573" s="15">
        <v>2360.3489764853821</v>
      </c>
      <c r="I573" s="16">
        <v>0.03</v>
      </c>
    </row>
    <row r="574" spans="6:9" x14ac:dyDescent="0.3">
      <c r="F574" s="14">
        <v>564</v>
      </c>
      <c r="G574" s="15">
        <v>2247.9554841858335</v>
      </c>
      <c r="H574" s="15">
        <v>2247.9554841858335</v>
      </c>
      <c r="I574" s="16">
        <v>0.10827547318879645</v>
      </c>
    </row>
    <row r="575" spans="6:9" x14ac:dyDescent="0.3">
      <c r="F575" s="14">
        <v>565</v>
      </c>
      <c r="G575" s="15">
        <v>2177.8958387372172</v>
      </c>
      <c r="H575" s="15">
        <v>2177.8958387372172</v>
      </c>
      <c r="I575" s="16">
        <v>7.6228301622493333E-2</v>
      </c>
    </row>
    <row r="576" spans="6:9" x14ac:dyDescent="0.3">
      <c r="F576" s="14">
        <v>566</v>
      </c>
      <c r="G576" s="15">
        <v>2629.0407755728393</v>
      </c>
      <c r="H576" s="15">
        <v>2600.7247198830737</v>
      </c>
      <c r="I576" s="16">
        <v>0.03</v>
      </c>
    </row>
    <row r="577" spans="6:9" x14ac:dyDescent="0.3">
      <c r="F577" s="14">
        <v>567</v>
      </c>
      <c r="G577" s="15">
        <v>2166.0610653560861</v>
      </c>
      <c r="H577" s="15">
        <v>1734.2643422301671</v>
      </c>
      <c r="I577" s="16">
        <v>0</v>
      </c>
    </row>
    <row r="578" spans="6:9" x14ac:dyDescent="0.3">
      <c r="F578" s="14">
        <v>568</v>
      </c>
      <c r="G578" s="15">
        <v>2336.9324849726709</v>
      </c>
      <c r="H578" s="15">
        <v>2027.908921441496</v>
      </c>
      <c r="I578" s="16">
        <v>0.03</v>
      </c>
    </row>
    <row r="579" spans="6:9" x14ac:dyDescent="0.3">
      <c r="F579" s="14">
        <v>569</v>
      </c>
      <c r="G579" s="15">
        <v>2338.7735092989528</v>
      </c>
      <c r="H579" s="15">
        <v>1564.2058513902332</v>
      </c>
      <c r="I579" s="16">
        <v>0.03</v>
      </c>
    </row>
    <row r="580" spans="6:9" x14ac:dyDescent="0.3">
      <c r="F580" s="14">
        <v>570</v>
      </c>
      <c r="G580" s="15">
        <v>2574.425878916973</v>
      </c>
      <c r="H580" s="15">
        <v>2574.425878916973</v>
      </c>
      <c r="I580" s="16">
        <v>0.03</v>
      </c>
    </row>
    <row r="581" spans="6:9" x14ac:dyDescent="0.3">
      <c r="F581" s="14">
        <v>571</v>
      </c>
      <c r="G581" s="15">
        <v>2062.0672119933365</v>
      </c>
      <c r="H581" s="15">
        <v>1696.1862407790163</v>
      </c>
      <c r="I581" s="16">
        <v>0</v>
      </c>
    </row>
    <row r="582" spans="6:9" x14ac:dyDescent="0.3">
      <c r="F582" s="14">
        <v>572</v>
      </c>
      <c r="G582" s="15">
        <v>2140.1324761535388</v>
      </c>
      <c r="H582" s="15">
        <v>2075.0831475410155</v>
      </c>
      <c r="I582" s="16">
        <v>2.9199003474323977E-2</v>
      </c>
    </row>
    <row r="583" spans="6:9" x14ac:dyDescent="0.3">
      <c r="F583" s="14">
        <v>573</v>
      </c>
      <c r="G583" s="15">
        <v>2115.2188373287349</v>
      </c>
      <c r="H583" s="15">
        <v>1957.5661934678794</v>
      </c>
      <c r="I583" s="16">
        <v>0</v>
      </c>
    </row>
    <row r="584" spans="6:9" x14ac:dyDescent="0.3">
      <c r="F584" s="14">
        <v>574</v>
      </c>
      <c r="G584" s="15">
        <v>2678.8486185809825</v>
      </c>
      <c r="H584" s="15">
        <v>2551.9994807797293</v>
      </c>
      <c r="I584" s="16">
        <v>0.03</v>
      </c>
    </row>
    <row r="585" spans="6:9" x14ac:dyDescent="0.3">
      <c r="F585" s="14">
        <v>575</v>
      </c>
      <c r="G585" s="15">
        <v>2046.4571089990948</v>
      </c>
      <c r="H585" s="15">
        <v>1987.0337931329168</v>
      </c>
      <c r="I585" s="16">
        <v>0</v>
      </c>
    </row>
    <row r="586" spans="6:9" x14ac:dyDescent="0.3">
      <c r="F586" s="14">
        <v>576</v>
      </c>
      <c r="G586" s="15">
        <v>2040.2710471001053</v>
      </c>
      <c r="H586" s="15">
        <v>1313.2983822421345</v>
      </c>
      <c r="I586" s="16">
        <v>0</v>
      </c>
    </row>
    <row r="587" spans="6:9" x14ac:dyDescent="0.3">
      <c r="F587" s="14">
        <v>577</v>
      </c>
      <c r="G587" s="15">
        <v>2510.0489164986961</v>
      </c>
      <c r="H587" s="15">
        <v>2386.8549958049293</v>
      </c>
      <c r="I587" s="16">
        <v>0.03</v>
      </c>
    </row>
    <row r="588" spans="6:9" x14ac:dyDescent="0.3">
      <c r="F588" s="14">
        <v>578</v>
      </c>
      <c r="G588" s="15">
        <v>2304.2124437147618</v>
      </c>
      <c r="H588" s="15">
        <v>2000.8809169040362</v>
      </c>
      <c r="I588" s="16">
        <v>0</v>
      </c>
    </row>
    <row r="589" spans="6:9" x14ac:dyDescent="0.3">
      <c r="F589" s="14">
        <v>579</v>
      </c>
      <c r="G589" s="15">
        <v>2150.9056730008469</v>
      </c>
      <c r="H589" s="15">
        <v>2090.5343869530566</v>
      </c>
      <c r="I589" s="16">
        <v>3.6266817151926416E-2</v>
      </c>
    </row>
    <row r="590" spans="6:9" x14ac:dyDescent="0.3">
      <c r="F590" s="14">
        <v>580</v>
      </c>
      <c r="G590" s="15">
        <v>2222.5140309495955</v>
      </c>
      <c r="H590" s="15">
        <v>2065.9880280724506</v>
      </c>
      <c r="I590" s="16">
        <v>2.5038650504240902E-2</v>
      </c>
    </row>
    <row r="591" spans="6:9" x14ac:dyDescent="0.3">
      <c r="F591" s="14">
        <v>581</v>
      </c>
      <c r="G591" s="15">
        <v>2824.7926239430799</v>
      </c>
      <c r="H591" s="15">
        <v>2203.6680469440057</v>
      </c>
      <c r="I591" s="16">
        <v>0.03</v>
      </c>
    </row>
    <row r="592" spans="6:9" x14ac:dyDescent="0.3">
      <c r="F592" s="14">
        <v>582</v>
      </c>
      <c r="G592" s="15">
        <v>2196.0805263142702</v>
      </c>
      <c r="H592" s="15">
        <v>1848.7334362516758</v>
      </c>
      <c r="I592" s="16">
        <v>0</v>
      </c>
    </row>
    <row r="593" spans="6:9" x14ac:dyDescent="0.3">
      <c r="F593" s="14">
        <v>583</v>
      </c>
      <c r="G593" s="15">
        <v>2692.5460055748358</v>
      </c>
      <c r="H593" s="15">
        <v>2692.5460055748358</v>
      </c>
      <c r="I593" s="16">
        <v>0.03</v>
      </c>
    </row>
    <row r="594" spans="6:9" x14ac:dyDescent="0.3">
      <c r="F594" s="14">
        <v>584</v>
      </c>
      <c r="G594" s="15">
        <v>2011.9182200883706</v>
      </c>
      <c r="H594" s="15">
        <v>1601.778952182817</v>
      </c>
      <c r="I594" s="16">
        <v>0</v>
      </c>
    </row>
    <row r="595" spans="6:9" x14ac:dyDescent="0.3">
      <c r="F595" s="14">
        <v>585</v>
      </c>
      <c r="G595" s="15">
        <v>2274.1995210366899</v>
      </c>
      <c r="H595" s="15">
        <v>2152.7439977821023</v>
      </c>
      <c r="I595" s="16">
        <v>6.4723171142092722E-2</v>
      </c>
    </row>
    <row r="596" spans="6:9" x14ac:dyDescent="0.3">
      <c r="F596" s="14">
        <v>586</v>
      </c>
      <c r="G596" s="15">
        <v>2283.1580294150835</v>
      </c>
      <c r="H596" s="15">
        <v>1935.0054675145323</v>
      </c>
      <c r="I596" s="16">
        <v>0</v>
      </c>
    </row>
    <row r="597" spans="6:9" x14ac:dyDescent="0.3">
      <c r="F597" s="14">
        <v>587</v>
      </c>
      <c r="G597" s="15">
        <v>2148.7114794818954</v>
      </c>
      <c r="H597" s="15">
        <v>2131.8253700897799</v>
      </c>
      <c r="I597" s="16">
        <v>5.5154426591720374E-2</v>
      </c>
    </row>
    <row r="598" spans="6:9" x14ac:dyDescent="0.3">
      <c r="F598" s="14">
        <v>588</v>
      </c>
      <c r="G598" s="15">
        <v>2258.9304058041166</v>
      </c>
      <c r="H598" s="15">
        <v>1968.1623483026553</v>
      </c>
      <c r="I598" s="16">
        <v>0</v>
      </c>
    </row>
    <row r="599" spans="6:9" x14ac:dyDescent="0.3">
      <c r="F599" s="14">
        <v>589</v>
      </c>
      <c r="G599" s="15">
        <v>2522.2295350891768</v>
      </c>
      <c r="H599" s="15">
        <v>2409.2661409873517</v>
      </c>
      <c r="I599" s="16">
        <v>0.03</v>
      </c>
    </row>
    <row r="600" spans="6:9" x14ac:dyDescent="0.3">
      <c r="F600" s="14">
        <v>590</v>
      </c>
      <c r="G600" s="15">
        <v>2554.4477017702097</v>
      </c>
      <c r="H600" s="15">
        <v>2307.8609581432988</v>
      </c>
      <c r="I600" s="16">
        <v>0.03</v>
      </c>
    </row>
    <row r="601" spans="6:9" x14ac:dyDescent="0.3">
      <c r="F601" s="14">
        <v>591</v>
      </c>
      <c r="G601" s="15">
        <v>2420.9056410076014</v>
      </c>
      <c r="H601" s="15">
        <v>2055.1794459506223</v>
      </c>
      <c r="I601" s="16">
        <v>0.03</v>
      </c>
    </row>
    <row r="602" spans="6:9" x14ac:dyDescent="0.3">
      <c r="F602" s="14">
        <v>592</v>
      </c>
      <c r="G602" s="15">
        <v>2459.959331331565</v>
      </c>
      <c r="H602" s="15">
        <v>2425.2432195235747</v>
      </c>
      <c r="I602" s="16">
        <v>0.03</v>
      </c>
    </row>
    <row r="603" spans="6:9" x14ac:dyDescent="0.3">
      <c r="F603" s="14">
        <v>593</v>
      </c>
      <c r="G603" s="15">
        <v>2212.7507443415725</v>
      </c>
      <c r="H603" s="15">
        <v>2031.3270018850653</v>
      </c>
      <c r="I603" s="16">
        <v>9.1837622047284389E-3</v>
      </c>
    </row>
    <row r="604" spans="6:9" x14ac:dyDescent="0.3">
      <c r="F604" s="14">
        <v>594</v>
      </c>
      <c r="G604" s="15">
        <v>2845.5139052695513</v>
      </c>
      <c r="H604" s="15">
        <v>2845.5139052695513</v>
      </c>
      <c r="I604" s="16">
        <v>0.03</v>
      </c>
    </row>
    <row r="605" spans="6:9" x14ac:dyDescent="0.3">
      <c r="F605" s="14">
        <v>595</v>
      </c>
      <c r="G605" s="15">
        <v>2208.0105021338481</v>
      </c>
      <c r="H605" s="15">
        <v>2123.809892819479</v>
      </c>
      <c r="I605" s="16">
        <v>5.1487931084609528E-2</v>
      </c>
    </row>
    <row r="606" spans="6:9" x14ac:dyDescent="0.3">
      <c r="F606" s="14">
        <v>596</v>
      </c>
      <c r="G606" s="15">
        <v>2143.5235942805375</v>
      </c>
      <c r="H606" s="15">
        <v>1934.8865676191906</v>
      </c>
      <c r="I606" s="16">
        <v>0</v>
      </c>
    </row>
    <row r="607" spans="6:9" x14ac:dyDescent="0.3">
      <c r="F607" s="14">
        <v>597</v>
      </c>
      <c r="G607" s="15">
        <v>2714.8325371381288</v>
      </c>
      <c r="H607" s="15">
        <v>2691.8829159290522</v>
      </c>
      <c r="I607" s="16">
        <v>0.03</v>
      </c>
    </row>
    <row r="608" spans="6:9" x14ac:dyDescent="0.3">
      <c r="F608" s="14">
        <v>598</v>
      </c>
      <c r="G608" s="15">
        <v>2194.659114710656</v>
      </c>
      <c r="H608" s="15">
        <v>2020.3455785675517</v>
      </c>
      <c r="I608" s="16">
        <v>4.1605629743431292E-3</v>
      </c>
    </row>
    <row r="609" spans="6:9" x14ac:dyDescent="0.3">
      <c r="F609" s="14">
        <v>599</v>
      </c>
      <c r="G609" s="15">
        <v>2111.5973495634344</v>
      </c>
      <c r="H609" s="15">
        <v>1653.7735207068629</v>
      </c>
      <c r="I609" s="16">
        <v>0</v>
      </c>
    </row>
    <row r="610" spans="6:9" x14ac:dyDescent="0.3">
      <c r="F610" s="14">
        <v>600</v>
      </c>
      <c r="G610" s="15">
        <v>3098.3768349340094</v>
      </c>
      <c r="H610" s="15">
        <v>3059.469167223393</v>
      </c>
      <c r="I610" s="16">
        <v>0.03</v>
      </c>
    </row>
    <row r="611" spans="6:9" x14ac:dyDescent="0.3">
      <c r="F611" s="14">
        <v>601</v>
      </c>
      <c r="G611" s="15">
        <v>2289.7804048352923</v>
      </c>
      <c r="H611" s="15">
        <v>1629.9276767513045</v>
      </c>
      <c r="I611" s="16">
        <v>0</v>
      </c>
    </row>
    <row r="612" spans="6:9" x14ac:dyDescent="0.3">
      <c r="F612" s="14">
        <v>602</v>
      </c>
      <c r="G612" s="15">
        <v>2185.5518253747882</v>
      </c>
      <c r="H612" s="15">
        <v>1790.4375130718499</v>
      </c>
      <c r="I612" s="16">
        <v>0</v>
      </c>
    </row>
    <row r="613" spans="6:9" x14ac:dyDescent="0.3">
      <c r="F613" s="14">
        <v>603</v>
      </c>
      <c r="G613" s="15">
        <v>2011.25</v>
      </c>
      <c r="H613" s="15">
        <v>1838.0911993040536</v>
      </c>
      <c r="I613" s="16">
        <v>0</v>
      </c>
    </row>
    <row r="614" spans="6:9" x14ac:dyDescent="0.3">
      <c r="F614" s="14">
        <v>604</v>
      </c>
      <c r="G614" s="15">
        <v>2294.6214681341471</v>
      </c>
      <c r="H614" s="15">
        <v>1994.0281345589851</v>
      </c>
      <c r="I614" s="16">
        <v>0</v>
      </c>
    </row>
    <row r="615" spans="6:9" x14ac:dyDescent="0.3">
      <c r="F615" s="14">
        <v>605</v>
      </c>
      <c r="G615" s="15">
        <v>3249.8932804918818</v>
      </c>
      <c r="H615" s="15">
        <v>2995.3084553483031</v>
      </c>
      <c r="I615" s="16">
        <v>0.03</v>
      </c>
    </row>
    <row r="616" spans="6:9" x14ac:dyDescent="0.3">
      <c r="F616" s="14">
        <v>606</v>
      </c>
      <c r="G616" s="15">
        <v>2305.9068864404253</v>
      </c>
      <c r="H616" s="15">
        <v>2041.921169168123</v>
      </c>
      <c r="I616" s="16">
        <v>1.402982007939004E-2</v>
      </c>
    </row>
    <row r="617" spans="6:9" x14ac:dyDescent="0.3">
      <c r="F617" s="14">
        <v>607</v>
      </c>
      <c r="G617" s="15">
        <v>2276.4229312185321</v>
      </c>
      <c r="H617" s="15">
        <v>2227.9735810190409</v>
      </c>
      <c r="I617" s="16">
        <v>9.9135211702929951E-2</v>
      </c>
    </row>
    <row r="618" spans="6:9" x14ac:dyDescent="0.3">
      <c r="F618" s="14">
        <v>608</v>
      </c>
      <c r="G618" s="15">
        <v>2505.3047393729867</v>
      </c>
      <c r="H618" s="15">
        <v>2275.7154994178072</v>
      </c>
      <c r="I618" s="16">
        <v>0.03</v>
      </c>
    </row>
    <row r="619" spans="6:9" x14ac:dyDescent="0.3">
      <c r="F619" s="14">
        <v>609</v>
      </c>
      <c r="G619" s="15">
        <v>2312.2874836305509</v>
      </c>
      <c r="H619" s="15">
        <v>2225.2135092282592</v>
      </c>
      <c r="I619" s="16">
        <v>9.7872680417649904E-2</v>
      </c>
    </row>
    <row r="620" spans="6:9" x14ac:dyDescent="0.3">
      <c r="F620" s="14">
        <v>610</v>
      </c>
      <c r="G620" s="15">
        <v>2014.1755448311899</v>
      </c>
      <c r="H620" s="15">
        <v>1472.457471278108</v>
      </c>
      <c r="I620" s="16">
        <v>0</v>
      </c>
    </row>
    <row r="621" spans="6:9" x14ac:dyDescent="0.3">
      <c r="F621" s="14">
        <v>611</v>
      </c>
      <c r="G621" s="15">
        <v>2119.3109694460336</v>
      </c>
      <c r="H621" s="15">
        <v>1808.7321450952338</v>
      </c>
      <c r="I621" s="16">
        <v>0</v>
      </c>
    </row>
    <row r="622" spans="6:9" x14ac:dyDescent="0.3">
      <c r="F622" s="14">
        <v>612</v>
      </c>
      <c r="G622" s="15">
        <v>2705.6448987999079</v>
      </c>
      <c r="H622" s="15">
        <v>2647.8233521796487</v>
      </c>
      <c r="I622" s="16">
        <v>0.03</v>
      </c>
    </row>
    <row r="623" spans="6:9" x14ac:dyDescent="0.3">
      <c r="F623" s="14">
        <v>613</v>
      </c>
      <c r="G623" s="15">
        <v>2377.0581746988319</v>
      </c>
      <c r="H623" s="15">
        <v>2257.3960514799778</v>
      </c>
      <c r="I623" s="16">
        <v>0.03</v>
      </c>
    </row>
    <row r="624" spans="6:9" x14ac:dyDescent="0.3">
      <c r="F624" s="14">
        <v>614</v>
      </c>
      <c r="G624" s="15">
        <v>2129.8415962934032</v>
      </c>
      <c r="H624" s="15">
        <v>2093.886234920622</v>
      </c>
      <c r="I624" s="16">
        <v>3.780004282260898E-2</v>
      </c>
    </row>
    <row r="625" spans="6:9" x14ac:dyDescent="0.3">
      <c r="F625" s="14">
        <v>615</v>
      </c>
      <c r="G625" s="15">
        <v>2254.1924993095613</v>
      </c>
      <c r="H625" s="15">
        <v>1977.7314047326001</v>
      </c>
      <c r="I625" s="16">
        <v>0</v>
      </c>
    </row>
    <row r="626" spans="6:9" x14ac:dyDescent="0.3">
      <c r="F626" s="14">
        <v>616</v>
      </c>
      <c r="G626" s="15">
        <v>2553.3275783568661</v>
      </c>
      <c r="H626" s="15">
        <v>2325.4047712338288</v>
      </c>
      <c r="I626" s="16">
        <v>0.03</v>
      </c>
    </row>
    <row r="627" spans="6:9" x14ac:dyDescent="0.3">
      <c r="F627" s="14">
        <v>617</v>
      </c>
      <c r="G627" s="15">
        <v>2079.1203442000478</v>
      </c>
      <c r="H627" s="15">
        <v>1681.1077656697867</v>
      </c>
      <c r="I627" s="16">
        <v>0</v>
      </c>
    </row>
    <row r="628" spans="6:9" x14ac:dyDescent="0.3">
      <c r="F628" s="14">
        <v>618</v>
      </c>
      <c r="G628" s="15">
        <v>2221.0791158454226</v>
      </c>
      <c r="H628" s="15">
        <v>1580.9290573198675</v>
      </c>
      <c r="I628" s="16">
        <v>0</v>
      </c>
    </row>
    <row r="629" spans="6:9" x14ac:dyDescent="0.3">
      <c r="F629" s="14">
        <v>619</v>
      </c>
      <c r="G629" s="15">
        <v>2046.1403413952055</v>
      </c>
      <c r="H629" s="15">
        <v>1302.9407726223737</v>
      </c>
      <c r="I629" s="16">
        <v>0</v>
      </c>
    </row>
    <row r="630" spans="6:9" x14ac:dyDescent="0.3">
      <c r="F630" s="14">
        <v>620</v>
      </c>
      <c r="G630" s="15">
        <v>2011.25</v>
      </c>
      <c r="H630" s="15">
        <v>1892.7922932468709</v>
      </c>
      <c r="I630" s="16">
        <v>0</v>
      </c>
    </row>
    <row r="631" spans="6:9" x14ac:dyDescent="0.3">
      <c r="F631" s="14">
        <v>621</v>
      </c>
      <c r="G631" s="15">
        <v>2507.5747998271881</v>
      </c>
      <c r="H631" s="15">
        <v>2231.0014328534903</v>
      </c>
      <c r="I631" s="16">
        <v>0.03</v>
      </c>
    </row>
    <row r="632" spans="6:9" x14ac:dyDescent="0.3">
      <c r="F632" s="14">
        <v>622</v>
      </c>
      <c r="G632" s="15">
        <v>2308.7612982558658</v>
      </c>
      <c r="H632" s="15">
        <v>2027.6406952579864</v>
      </c>
      <c r="I632" s="16">
        <v>7.4975461217388784E-3</v>
      </c>
    </row>
    <row r="633" spans="6:9" x14ac:dyDescent="0.3">
      <c r="F633" s="14">
        <v>623</v>
      </c>
      <c r="G633" s="15">
        <v>2570.4245376042168</v>
      </c>
      <c r="H633" s="15">
        <v>2536.7601403757621</v>
      </c>
      <c r="I633" s="16">
        <v>0.03</v>
      </c>
    </row>
    <row r="634" spans="6:9" x14ac:dyDescent="0.3">
      <c r="F634" s="14">
        <v>624</v>
      </c>
      <c r="G634" s="15">
        <v>2529.3443685517268</v>
      </c>
      <c r="H634" s="15">
        <v>2292.1264825550415</v>
      </c>
      <c r="I634" s="16">
        <v>0.03</v>
      </c>
    </row>
    <row r="635" spans="6:9" x14ac:dyDescent="0.3">
      <c r="F635" s="14">
        <v>625</v>
      </c>
      <c r="G635" s="15">
        <v>2118.9498120106887</v>
      </c>
      <c r="H635" s="15">
        <v>2118.9498120106887</v>
      </c>
      <c r="I635" s="16">
        <v>4.9264799030370968E-2</v>
      </c>
    </row>
    <row r="636" spans="6:9" x14ac:dyDescent="0.3">
      <c r="F636" s="14">
        <v>626</v>
      </c>
      <c r="G636" s="15">
        <v>2226.7116373165318</v>
      </c>
      <c r="H636" s="15">
        <v>1836.2420322865639</v>
      </c>
      <c r="I636" s="16">
        <v>0</v>
      </c>
    </row>
    <row r="637" spans="6:9" x14ac:dyDescent="0.3">
      <c r="F637" s="14">
        <v>627</v>
      </c>
      <c r="G637" s="15">
        <v>2162.4159086675368</v>
      </c>
      <c r="H637" s="15">
        <v>1705.7190298681837</v>
      </c>
      <c r="I637" s="16">
        <v>0</v>
      </c>
    </row>
    <row r="638" spans="6:9" x14ac:dyDescent="0.3">
      <c r="F638" s="14">
        <v>628</v>
      </c>
      <c r="G638" s="15">
        <v>2075.8876204544313</v>
      </c>
      <c r="H638" s="15">
        <v>1865.9074197835446</v>
      </c>
      <c r="I638" s="16">
        <v>0</v>
      </c>
    </row>
    <row r="639" spans="6:9" x14ac:dyDescent="0.3">
      <c r="F639" s="14">
        <v>629</v>
      </c>
      <c r="G639" s="15">
        <v>2284.662416027722</v>
      </c>
      <c r="H639" s="15">
        <v>1787.6404700850005</v>
      </c>
      <c r="I639" s="16">
        <v>0</v>
      </c>
    </row>
    <row r="640" spans="6:9" x14ac:dyDescent="0.3">
      <c r="F640" s="14">
        <v>630</v>
      </c>
      <c r="G640" s="15">
        <v>2339.2457776341257</v>
      </c>
      <c r="H640" s="15">
        <v>1964.3062672423143</v>
      </c>
      <c r="I640" s="16">
        <v>0.03</v>
      </c>
    </row>
    <row r="641" spans="6:9" x14ac:dyDescent="0.3">
      <c r="F641" s="14">
        <v>631</v>
      </c>
      <c r="G641" s="15">
        <v>2151.4887145539305</v>
      </c>
      <c r="H641" s="15">
        <v>2136.3676959369691</v>
      </c>
      <c r="I641" s="16">
        <v>5.7232208955630332E-2</v>
      </c>
    </row>
    <row r="642" spans="6:9" x14ac:dyDescent="0.3">
      <c r="F642" s="14">
        <v>632</v>
      </c>
      <c r="G642" s="15">
        <v>2034.6913078254258</v>
      </c>
      <c r="H642" s="15">
        <v>1972.4124610995207</v>
      </c>
      <c r="I642" s="16">
        <v>0</v>
      </c>
    </row>
    <row r="643" spans="6:9" x14ac:dyDescent="0.3">
      <c r="F643" s="14">
        <v>633</v>
      </c>
      <c r="G643" s="15">
        <v>2048.8615473110062</v>
      </c>
      <c r="H643" s="15">
        <v>2030.4341999760366</v>
      </c>
      <c r="I643" s="16">
        <v>8.7753705297470667E-3</v>
      </c>
    </row>
    <row r="644" spans="6:9" x14ac:dyDescent="0.3">
      <c r="F644" s="14">
        <v>634</v>
      </c>
      <c r="G644" s="15">
        <v>2470.476501254951</v>
      </c>
      <c r="H644" s="15">
        <v>2171.9087714513139</v>
      </c>
      <c r="I644" s="16">
        <v>0.03</v>
      </c>
    </row>
    <row r="645" spans="6:9" x14ac:dyDescent="0.3">
      <c r="F645" s="14">
        <v>635</v>
      </c>
      <c r="G645" s="15">
        <v>2774.3966016445715</v>
      </c>
      <c r="H645" s="15">
        <v>2735.6690486226194</v>
      </c>
      <c r="I645" s="16">
        <v>0.03</v>
      </c>
    </row>
    <row r="646" spans="6:9" x14ac:dyDescent="0.3">
      <c r="F646" s="14">
        <v>636</v>
      </c>
      <c r="G646" s="15">
        <v>2546.9704472995468</v>
      </c>
      <c r="H646" s="15">
        <v>2508.3636800157519</v>
      </c>
      <c r="I646" s="16">
        <v>0.03</v>
      </c>
    </row>
    <row r="647" spans="6:9" x14ac:dyDescent="0.3">
      <c r="F647" s="14">
        <v>637</v>
      </c>
      <c r="G647" s="15">
        <v>2262.6736376448712</v>
      </c>
      <c r="H647" s="15">
        <v>1822.0475544257754</v>
      </c>
      <c r="I647" s="16">
        <v>0</v>
      </c>
    </row>
    <row r="648" spans="6:9" x14ac:dyDescent="0.3">
      <c r="F648" s="14">
        <v>638</v>
      </c>
      <c r="G648" s="15">
        <v>2602.006624435176</v>
      </c>
      <c r="H648" s="15">
        <v>2602.006624435176</v>
      </c>
      <c r="I648" s="16">
        <v>0.03</v>
      </c>
    </row>
    <row r="649" spans="6:9" x14ac:dyDescent="0.3">
      <c r="F649" s="14">
        <v>639</v>
      </c>
      <c r="G649" s="15">
        <v>2260.5164765408858</v>
      </c>
      <c r="H649" s="15">
        <v>2041.7552838011723</v>
      </c>
      <c r="I649" s="16">
        <v>1.3953939638075044E-2</v>
      </c>
    </row>
    <row r="650" spans="6:9" x14ac:dyDescent="0.3">
      <c r="F650" s="14">
        <v>640</v>
      </c>
      <c r="G650" s="15">
        <v>2102.4364227185752</v>
      </c>
      <c r="H650" s="15">
        <v>1938.8872541215626</v>
      </c>
      <c r="I650" s="16">
        <v>0</v>
      </c>
    </row>
    <row r="651" spans="6:9" x14ac:dyDescent="0.3">
      <c r="F651" s="14">
        <v>641</v>
      </c>
      <c r="G651" s="15">
        <v>2265.6013429237842</v>
      </c>
      <c r="H651" s="15">
        <v>1784.5356233823759</v>
      </c>
      <c r="I651" s="16">
        <v>0</v>
      </c>
    </row>
    <row r="652" spans="6:9" x14ac:dyDescent="0.3">
      <c r="F652" s="14">
        <v>642</v>
      </c>
      <c r="G652" s="15">
        <v>2330.8167697049721</v>
      </c>
      <c r="H652" s="15">
        <v>1899.7795300815242</v>
      </c>
      <c r="I652" s="16">
        <v>0.03</v>
      </c>
    </row>
    <row r="653" spans="6:9" x14ac:dyDescent="0.3">
      <c r="F653" s="14">
        <v>643</v>
      </c>
      <c r="G653" s="15">
        <v>2273.0983024814141</v>
      </c>
      <c r="H653" s="15">
        <v>2037.5434027390099</v>
      </c>
      <c r="I653" s="16">
        <v>1.2027311632014391E-2</v>
      </c>
    </row>
    <row r="654" spans="6:9" x14ac:dyDescent="0.3">
      <c r="F654" s="14">
        <v>644</v>
      </c>
      <c r="G654" s="15">
        <v>2468.7587042519085</v>
      </c>
      <c r="H654" s="15">
        <v>2468.7587042519085</v>
      </c>
      <c r="I654" s="16">
        <v>0.03</v>
      </c>
    </row>
    <row r="655" spans="6:9" x14ac:dyDescent="0.3">
      <c r="F655" s="14">
        <v>645</v>
      </c>
      <c r="G655" s="15">
        <v>2670.2597900989217</v>
      </c>
      <c r="H655" s="15">
        <v>2569.1498867055498</v>
      </c>
      <c r="I655" s="16">
        <v>0.03</v>
      </c>
    </row>
    <row r="656" spans="6:9" x14ac:dyDescent="0.3">
      <c r="F656" s="14">
        <v>646</v>
      </c>
      <c r="G656" s="15">
        <v>2146.2310394286474</v>
      </c>
      <c r="H656" s="15">
        <v>2044.4628376587864</v>
      </c>
      <c r="I656" s="16">
        <v>1.5192447804143453E-2</v>
      </c>
    </row>
    <row r="657" spans="6:9" x14ac:dyDescent="0.3">
      <c r="F657" s="14">
        <v>647</v>
      </c>
      <c r="G657" s="15">
        <v>2260.8485275658936</v>
      </c>
      <c r="H657" s="15">
        <v>1491.5764216999828</v>
      </c>
      <c r="I657" s="16">
        <v>0</v>
      </c>
    </row>
    <row r="658" spans="6:9" x14ac:dyDescent="0.3">
      <c r="F658" s="14">
        <v>648</v>
      </c>
      <c r="G658" s="15">
        <v>2269.8912849109056</v>
      </c>
      <c r="H658" s="15">
        <v>2022.2275107682788</v>
      </c>
      <c r="I658" s="16">
        <v>5.0214095248309757E-3</v>
      </c>
    </row>
    <row r="659" spans="6:9" x14ac:dyDescent="0.3">
      <c r="F659" s="14">
        <v>649</v>
      </c>
      <c r="G659" s="15">
        <v>3011.4911567760728</v>
      </c>
      <c r="H659" s="15">
        <v>2456.769907410373</v>
      </c>
      <c r="I659" s="16">
        <v>0.03</v>
      </c>
    </row>
    <row r="660" spans="6:9" x14ac:dyDescent="0.3">
      <c r="F660" s="14">
        <v>650</v>
      </c>
      <c r="G660" s="15">
        <v>2098.8073850998089</v>
      </c>
      <c r="H660" s="15">
        <v>1996.3510619945889</v>
      </c>
      <c r="I660" s="16">
        <v>0</v>
      </c>
    </row>
    <row r="661" spans="6:9" x14ac:dyDescent="0.3">
      <c r="F661" s="14">
        <v>651</v>
      </c>
      <c r="G661" s="15">
        <v>2480.5633865569766</v>
      </c>
      <c r="H661" s="15">
        <v>2285.8727009997233</v>
      </c>
      <c r="I661" s="16">
        <v>0.03</v>
      </c>
    </row>
    <row r="662" spans="6:9" x14ac:dyDescent="0.3">
      <c r="F662" s="14">
        <v>652</v>
      </c>
      <c r="G662" s="15">
        <v>2733.9383254912545</v>
      </c>
      <c r="H662" s="15">
        <v>2300.5975852620672</v>
      </c>
      <c r="I662" s="16">
        <v>0.03</v>
      </c>
    </row>
    <row r="663" spans="6:9" x14ac:dyDescent="0.3">
      <c r="F663" s="14">
        <v>653</v>
      </c>
      <c r="G663" s="15">
        <v>2338.8648787791344</v>
      </c>
      <c r="H663" s="15">
        <v>2269.4879508072249</v>
      </c>
      <c r="I663" s="16">
        <v>0.03</v>
      </c>
    </row>
    <row r="664" spans="6:9" x14ac:dyDescent="0.3">
      <c r="F664" s="14">
        <v>654</v>
      </c>
      <c r="G664" s="15">
        <v>2537.3610189176425</v>
      </c>
      <c r="H664" s="15">
        <v>2537.3610189176425</v>
      </c>
      <c r="I664" s="16">
        <v>0.03</v>
      </c>
    </row>
    <row r="665" spans="6:9" x14ac:dyDescent="0.3">
      <c r="F665" s="14">
        <v>655</v>
      </c>
      <c r="G665" s="15">
        <v>2536.1496785958143</v>
      </c>
      <c r="H665" s="15">
        <v>2483.1803505463922</v>
      </c>
      <c r="I665" s="16">
        <v>0.03</v>
      </c>
    </row>
    <row r="666" spans="6:9" x14ac:dyDescent="0.3">
      <c r="F666" s="14">
        <v>656</v>
      </c>
      <c r="G666" s="15">
        <v>2224.196312597805</v>
      </c>
      <c r="H666" s="15">
        <v>2000.2415436074625</v>
      </c>
      <c r="I666" s="16">
        <v>0</v>
      </c>
    </row>
    <row r="667" spans="6:9" x14ac:dyDescent="0.3">
      <c r="F667" s="14">
        <v>657</v>
      </c>
      <c r="G667" s="15">
        <v>2884.4310474830663</v>
      </c>
      <c r="H667" s="15">
        <v>2884.4310474830663</v>
      </c>
      <c r="I667" s="16">
        <v>0.03</v>
      </c>
    </row>
    <row r="668" spans="6:9" x14ac:dyDescent="0.3">
      <c r="F668" s="14">
        <v>658</v>
      </c>
      <c r="G668" s="15">
        <v>2556.8458033346369</v>
      </c>
      <c r="H668" s="15">
        <v>2300.145188582128</v>
      </c>
      <c r="I668" s="16">
        <v>0.03</v>
      </c>
    </row>
    <row r="669" spans="6:9" x14ac:dyDescent="0.3">
      <c r="F669" s="14">
        <v>659</v>
      </c>
      <c r="G669" s="15">
        <v>2433.2426730066668</v>
      </c>
      <c r="H669" s="15">
        <v>2204.9141884848264</v>
      </c>
      <c r="I669" s="16">
        <v>0.03</v>
      </c>
    </row>
    <row r="670" spans="6:9" x14ac:dyDescent="0.3">
      <c r="F670" s="14">
        <v>660</v>
      </c>
      <c r="G670" s="15">
        <v>2606.1611033817221</v>
      </c>
      <c r="H670" s="15">
        <v>2169.2343161320655</v>
      </c>
      <c r="I670" s="16">
        <v>0.03</v>
      </c>
    </row>
    <row r="671" spans="6:9" x14ac:dyDescent="0.3">
      <c r="F671" s="14">
        <v>661</v>
      </c>
      <c r="G671" s="15">
        <v>2248.5350669653976</v>
      </c>
      <c r="H671" s="15">
        <v>1660.6309369598689</v>
      </c>
      <c r="I671" s="16">
        <v>0</v>
      </c>
    </row>
    <row r="672" spans="6:9" x14ac:dyDescent="0.3">
      <c r="F672" s="14">
        <v>662</v>
      </c>
      <c r="G672" s="15">
        <v>2503.242152890326</v>
      </c>
      <c r="H672" s="15">
        <v>2338.4783436810139</v>
      </c>
      <c r="I672" s="16">
        <v>0.03</v>
      </c>
    </row>
    <row r="673" spans="6:9" x14ac:dyDescent="0.3">
      <c r="F673" s="14">
        <v>663</v>
      </c>
      <c r="G673" s="15">
        <v>2258.9528689155254</v>
      </c>
      <c r="H673" s="15">
        <v>2135.7548852149212</v>
      </c>
      <c r="I673" s="16">
        <v>5.6951892801853268E-2</v>
      </c>
    </row>
    <row r="674" spans="6:9" x14ac:dyDescent="0.3">
      <c r="F674" s="14">
        <v>664</v>
      </c>
      <c r="G674" s="15">
        <v>2102.9828203442771</v>
      </c>
      <c r="H674" s="15">
        <v>1646.7651364294024</v>
      </c>
      <c r="I674" s="16">
        <v>0</v>
      </c>
    </row>
    <row r="675" spans="6:9" x14ac:dyDescent="0.3">
      <c r="F675" s="14">
        <v>665</v>
      </c>
      <c r="G675" s="15">
        <v>2274.5906712021824</v>
      </c>
      <c r="H675" s="15">
        <v>1892.0872175249312</v>
      </c>
      <c r="I675" s="16">
        <v>0</v>
      </c>
    </row>
    <row r="676" spans="6:9" x14ac:dyDescent="0.3">
      <c r="F676" s="14">
        <v>666</v>
      </c>
      <c r="G676" s="15">
        <v>2431.9302791760497</v>
      </c>
      <c r="H676" s="15">
        <v>2431.9302791760497</v>
      </c>
      <c r="I676" s="16">
        <v>0.03</v>
      </c>
    </row>
    <row r="677" spans="6:9" x14ac:dyDescent="0.3">
      <c r="F677" s="14">
        <v>667</v>
      </c>
      <c r="G677" s="15">
        <v>2118.4766682989125</v>
      </c>
      <c r="H677" s="15">
        <v>1956.0310027253399</v>
      </c>
      <c r="I677" s="16">
        <v>0</v>
      </c>
    </row>
    <row r="678" spans="6:9" x14ac:dyDescent="0.3">
      <c r="F678" s="14">
        <v>668</v>
      </c>
      <c r="G678" s="15">
        <v>2265.4762191614195</v>
      </c>
      <c r="H678" s="15">
        <v>2014.7606827623413</v>
      </c>
      <c r="I678" s="16">
        <v>1.6058809901077088E-3</v>
      </c>
    </row>
    <row r="679" spans="6:9" x14ac:dyDescent="0.3">
      <c r="F679" s="14">
        <v>669</v>
      </c>
      <c r="G679" s="15">
        <v>2637.6908757630285</v>
      </c>
      <c r="H679" s="15">
        <v>2433.6693653930183</v>
      </c>
      <c r="I679" s="16">
        <v>0.03</v>
      </c>
    </row>
    <row r="680" spans="6:9" x14ac:dyDescent="0.3">
      <c r="F680" s="14">
        <v>670</v>
      </c>
      <c r="G680" s="15">
        <v>2240.2082543944816</v>
      </c>
      <c r="H680" s="15">
        <v>1802.0058839898397</v>
      </c>
      <c r="I680" s="16">
        <v>0</v>
      </c>
    </row>
    <row r="681" spans="6:9" x14ac:dyDescent="0.3">
      <c r="F681" s="14">
        <v>671</v>
      </c>
      <c r="G681" s="15">
        <v>2163.1542491795171</v>
      </c>
      <c r="H681" s="15">
        <v>2044.3191399966811</v>
      </c>
      <c r="I681" s="16">
        <v>1.5126716617499767E-2</v>
      </c>
    </row>
    <row r="682" spans="6:9" x14ac:dyDescent="0.3">
      <c r="F682" s="14">
        <v>672</v>
      </c>
      <c r="G682" s="15">
        <v>2809.5789613707198</v>
      </c>
      <c r="H682" s="15">
        <v>2796.5093307181255</v>
      </c>
      <c r="I682" s="16">
        <v>0.03</v>
      </c>
    </row>
    <row r="683" spans="6:9" x14ac:dyDescent="0.3">
      <c r="F683" s="14">
        <v>673</v>
      </c>
      <c r="G683" s="15">
        <v>2518.7003813222377</v>
      </c>
      <c r="H683" s="15">
        <v>2322.5235388950637</v>
      </c>
      <c r="I683" s="16">
        <v>0.03</v>
      </c>
    </row>
    <row r="684" spans="6:9" x14ac:dyDescent="0.3">
      <c r="F684" s="14">
        <v>674</v>
      </c>
      <c r="G684" s="15">
        <v>2224.0386782886026</v>
      </c>
      <c r="H684" s="15">
        <v>1658.3880669372461</v>
      </c>
      <c r="I684" s="16">
        <v>0</v>
      </c>
    </row>
    <row r="685" spans="6:9" x14ac:dyDescent="0.3">
      <c r="F685" s="14">
        <v>675</v>
      </c>
      <c r="G685" s="15">
        <v>2488.627174168972</v>
      </c>
      <c r="H685" s="15">
        <v>1780.4225330585077</v>
      </c>
      <c r="I685" s="16">
        <v>0.03</v>
      </c>
    </row>
    <row r="686" spans="6:9" x14ac:dyDescent="0.3">
      <c r="F686" s="14">
        <v>676</v>
      </c>
      <c r="G686" s="15">
        <v>2359.5859088283541</v>
      </c>
      <c r="H686" s="15">
        <v>2077.8987595961221</v>
      </c>
      <c r="I686" s="16">
        <v>0.03</v>
      </c>
    </row>
    <row r="687" spans="6:9" x14ac:dyDescent="0.3">
      <c r="F687" s="14">
        <v>677</v>
      </c>
      <c r="G687" s="15">
        <v>3343.4482605049338</v>
      </c>
      <c r="H687" s="15">
        <v>2882.3969659915547</v>
      </c>
      <c r="I687" s="16">
        <v>0.03</v>
      </c>
    </row>
    <row r="688" spans="6:9" x14ac:dyDescent="0.3">
      <c r="F688" s="14">
        <v>678</v>
      </c>
      <c r="G688" s="15">
        <v>2011.25</v>
      </c>
      <c r="H688" s="15">
        <v>1353.2590687229908</v>
      </c>
      <c r="I688" s="16">
        <v>0</v>
      </c>
    </row>
    <row r="689" spans="6:9" x14ac:dyDescent="0.3">
      <c r="F689" s="14">
        <v>679</v>
      </c>
      <c r="G689" s="15">
        <v>2214.3813862739194</v>
      </c>
      <c r="H689" s="15">
        <v>1766.3992777084222</v>
      </c>
      <c r="I689" s="16">
        <v>0</v>
      </c>
    </row>
    <row r="690" spans="6:9" x14ac:dyDescent="0.3">
      <c r="F690" s="14">
        <v>680</v>
      </c>
      <c r="G690" s="15">
        <v>2893.7648750739886</v>
      </c>
      <c r="H690" s="15">
        <v>2634.6491470273731</v>
      </c>
      <c r="I690" s="16">
        <v>0.03</v>
      </c>
    </row>
    <row r="691" spans="6:9" x14ac:dyDescent="0.3">
      <c r="F691" s="14">
        <v>681</v>
      </c>
      <c r="G691" s="15">
        <v>2329.3826723878278</v>
      </c>
      <c r="H691" s="15">
        <v>1460.0785284611416</v>
      </c>
      <c r="I691" s="16">
        <v>0.03</v>
      </c>
    </row>
    <row r="692" spans="6:9" x14ac:dyDescent="0.3">
      <c r="F692" s="14">
        <v>682</v>
      </c>
      <c r="G692" s="15">
        <v>2166.7193777284328</v>
      </c>
      <c r="H692" s="15">
        <v>1372.3715885127101</v>
      </c>
      <c r="I692" s="16">
        <v>0</v>
      </c>
    </row>
    <row r="693" spans="6:9" x14ac:dyDescent="0.3">
      <c r="F693" s="14">
        <v>683</v>
      </c>
      <c r="G693" s="15">
        <v>3103.6063843224119</v>
      </c>
      <c r="H693" s="15">
        <v>2718.6315264117393</v>
      </c>
      <c r="I693" s="16">
        <v>0.03</v>
      </c>
    </row>
    <row r="694" spans="6:9" x14ac:dyDescent="0.3">
      <c r="F694" s="14">
        <v>684</v>
      </c>
      <c r="G694" s="15">
        <v>2189.6993687733743</v>
      </c>
      <c r="H694" s="15">
        <v>1798.0391341988832</v>
      </c>
      <c r="I694" s="16">
        <v>0</v>
      </c>
    </row>
    <row r="695" spans="6:9" x14ac:dyDescent="0.3">
      <c r="F695" s="14">
        <v>685</v>
      </c>
      <c r="G695" s="15">
        <v>2620.1575147844997</v>
      </c>
      <c r="H695" s="15">
        <v>2551.8590494928981</v>
      </c>
      <c r="I695" s="16">
        <v>0.03</v>
      </c>
    </row>
    <row r="696" spans="6:9" x14ac:dyDescent="0.3">
      <c r="F696" s="14">
        <v>686</v>
      </c>
      <c r="G696" s="15">
        <v>2747.5100596198758</v>
      </c>
      <c r="H696" s="15">
        <v>2555.1166504615617</v>
      </c>
      <c r="I696" s="16">
        <v>0.03</v>
      </c>
    </row>
    <row r="697" spans="6:9" x14ac:dyDescent="0.3">
      <c r="F697" s="14">
        <v>687</v>
      </c>
      <c r="G697" s="15">
        <v>2526.9011308893246</v>
      </c>
      <c r="H697" s="15">
        <v>2472.0999928964516</v>
      </c>
      <c r="I697" s="16">
        <v>0.03</v>
      </c>
    </row>
    <row r="698" spans="6:9" x14ac:dyDescent="0.3">
      <c r="F698" s="14">
        <v>688</v>
      </c>
      <c r="G698" s="15">
        <v>2038.8385886084284</v>
      </c>
      <c r="H698" s="15">
        <v>1507.4526111679393</v>
      </c>
      <c r="I698" s="16">
        <v>0</v>
      </c>
    </row>
    <row r="699" spans="6:9" x14ac:dyDescent="0.3">
      <c r="F699" s="14">
        <v>689</v>
      </c>
      <c r="G699" s="15">
        <v>2172.6486351907765</v>
      </c>
      <c r="H699" s="15">
        <v>1989.5942175748526</v>
      </c>
      <c r="I699" s="16">
        <v>0</v>
      </c>
    </row>
    <row r="700" spans="6:9" x14ac:dyDescent="0.3">
      <c r="F700" s="14">
        <v>690</v>
      </c>
      <c r="G700" s="15">
        <v>2064.7109183215543</v>
      </c>
      <c r="H700" s="15">
        <v>1659.4215528924863</v>
      </c>
      <c r="I700" s="16">
        <v>0</v>
      </c>
    </row>
    <row r="701" spans="6:9" x14ac:dyDescent="0.3">
      <c r="F701" s="14">
        <v>691</v>
      </c>
      <c r="G701" s="15">
        <v>2335.0806174772379</v>
      </c>
      <c r="H701" s="15">
        <v>1725.3814653900661</v>
      </c>
      <c r="I701" s="16">
        <v>0.03</v>
      </c>
    </row>
    <row r="702" spans="6:9" x14ac:dyDescent="0.3">
      <c r="F702" s="14">
        <v>692</v>
      </c>
      <c r="G702" s="15">
        <v>2324.1873774302794</v>
      </c>
      <c r="H702" s="15">
        <v>2003.5234267202161</v>
      </c>
      <c r="I702" s="16">
        <v>0.03</v>
      </c>
    </row>
    <row r="703" spans="6:9" x14ac:dyDescent="0.3">
      <c r="F703" s="14">
        <v>693</v>
      </c>
      <c r="G703" s="15">
        <v>2360.1052598477845</v>
      </c>
      <c r="H703" s="15">
        <v>1768.9235565880685</v>
      </c>
      <c r="I703" s="16">
        <v>0.03</v>
      </c>
    </row>
    <row r="704" spans="6:9" x14ac:dyDescent="0.3">
      <c r="F704" s="14">
        <v>694</v>
      </c>
      <c r="G704" s="15">
        <v>2091.7631406070595</v>
      </c>
      <c r="H704" s="15">
        <v>2006.935008394456</v>
      </c>
      <c r="I704" s="16">
        <v>0</v>
      </c>
    </row>
    <row r="705" spans="6:9" x14ac:dyDescent="0.3">
      <c r="F705" s="14">
        <v>695</v>
      </c>
      <c r="G705" s="15">
        <v>2589.4248466176368</v>
      </c>
      <c r="H705" s="15">
        <v>2342.7959770817938</v>
      </c>
      <c r="I705" s="16">
        <v>0.03</v>
      </c>
    </row>
    <row r="706" spans="6:9" x14ac:dyDescent="0.3">
      <c r="F706" s="14">
        <v>696</v>
      </c>
      <c r="G706" s="15">
        <v>2153.3586424733367</v>
      </c>
      <c r="H706" s="15">
        <v>1646.3402746078261</v>
      </c>
      <c r="I706" s="16">
        <v>0</v>
      </c>
    </row>
    <row r="707" spans="6:9" x14ac:dyDescent="0.3">
      <c r="F707" s="14">
        <v>697</v>
      </c>
      <c r="G707" s="15">
        <v>2513.8070309066529</v>
      </c>
      <c r="H707" s="15">
        <v>2443.7954738996937</v>
      </c>
      <c r="I707" s="16">
        <v>0.03</v>
      </c>
    </row>
    <row r="708" spans="6:9" x14ac:dyDescent="0.3">
      <c r="F708" s="14">
        <v>698</v>
      </c>
      <c r="G708" s="15">
        <v>2605.7313403332</v>
      </c>
      <c r="H708" s="15">
        <v>2255.1128855721458</v>
      </c>
      <c r="I708" s="16">
        <v>0.03</v>
      </c>
    </row>
    <row r="709" spans="6:9" x14ac:dyDescent="0.3">
      <c r="F709" s="14">
        <v>699</v>
      </c>
      <c r="G709" s="15">
        <v>2467.7414645144936</v>
      </c>
      <c r="H709" s="15">
        <v>2069.7147532974886</v>
      </c>
      <c r="I709" s="16">
        <v>0.03</v>
      </c>
    </row>
    <row r="710" spans="6:9" x14ac:dyDescent="0.3">
      <c r="F710" s="14">
        <v>700</v>
      </c>
      <c r="G710" s="15">
        <v>2890.7814178240797</v>
      </c>
      <c r="H710" s="15">
        <v>2691.8026213275425</v>
      </c>
      <c r="I710" s="16">
        <v>0.03</v>
      </c>
    </row>
    <row r="711" spans="6:9" x14ac:dyDescent="0.3">
      <c r="F711" s="14">
        <v>701</v>
      </c>
      <c r="G711" s="15">
        <v>2230.3038540893863</v>
      </c>
      <c r="H711" s="15">
        <v>2046.3925753024225</v>
      </c>
      <c r="I711" s="16">
        <v>1.6075161853687459E-2</v>
      </c>
    </row>
    <row r="712" spans="6:9" x14ac:dyDescent="0.3">
      <c r="F712" s="14">
        <v>702</v>
      </c>
      <c r="G712" s="15">
        <v>2465.7210966103171</v>
      </c>
      <c r="H712" s="15">
        <v>2087.1387581719023</v>
      </c>
      <c r="I712" s="16">
        <v>0.03</v>
      </c>
    </row>
    <row r="713" spans="6:9" x14ac:dyDescent="0.3">
      <c r="F713" s="14">
        <v>703</v>
      </c>
      <c r="G713" s="15">
        <v>2499.056364443747</v>
      </c>
      <c r="H713" s="15">
        <v>2445.0031121817183</v>
      </c>
      <c r="I713" s="16">
        <v>0.03</v>
      </c>
    </row>
    <row r="714" spans="6:9" x14ac:dyDescent="0.3">
      <c r="F714" s="14">
        <v>704</v>
      </c>
      <c r="G714" s="15">
        <v>2671.8792966516794</v>
      </c>
      <c r="H714" s="15">
        <v>2599.8525376029997</v>
      </c>
      <c r="I714" s="16">
        <v>0.03</v>
      </c>
    </row>
    <row r="715" spans="6:9" x14ac:dyDescent="0.3">
      <c r="F715" s="14">
        <v>705</v>
      </c>
      <c r="G715" s="15">
        <v>2603.0278713807561</v>
      </c>
      <c r="H715" s="15">
        <v>2603.0278713807561</v>
      </c>
      <c r="I715" s="16">
        <v>0.03</v>
      </c>
    </row>
    <row r="716" spans="6:9" x14ac:dyDescent="0.3">
      <c r="F716" s="14">
        <v>706</v>
      </c>
      <c r="G716" s="15">
        <v>2188.3580809974651</v>
      </c>
      <c r="H716" s="15">
        <v>2092.0073239490348</v>
      </c>
      <c r="I716" s="16">
        <v>3.6940578263822008E-2</v>
      </c>
    </row>
    <row r="717" spans="6:9" x14ac:dyDescent="0.3">
      <c r="F717" s="14">
        <v>707</v>
      </c>
      <c r="G717" s="15">
        <v>2011.25</v>
      </c>
      <c r="H717" s="15">
        <v>1828.7910402076377</v>
      </c>
      <c r="I717" s="16">
        <v>0</v>
      </c>
    </row>
    <row r="718" spans="6:9" x14ac:dyDescent="0.3">
      <c r="F718" s="14">
        <v>708</v>
      </c>
      <c r="G718" s="15">
        <v>2474.6920337540223</v>
      </c>
      <c r="H718" s="15">
        <v>2364.7613802537344</v>
      </c>
      <c r="I718" s="16">
        <v>0.03</v>
      </c>
    </row>
    <row r="719" spans="6:9" x14ac:dyDescent="0.3">
      <c r="F719" s="14">
        <v>709</v>
      </c>
      <c r="G719" s="15">
        <v>2476.8648396913586</v>
      </c>
      <c r="H719" s="15">
        <v>2089.5488164614121</v>
      </c>
      <c r="I719" s="16">
        <v>0.03</v>
      </c>
    </row>
    <row r="720" spans="6:9" x14ac:dyDescent="0.3">
      <c r="F720" s="14">
        <v>710</v>
      </c>
      <c r="G720" s="15">
        <v>2667.3713577047461</v>
      </c>
      <c r="H720" s="15">
        <v>2064.8220102172863</v>
      </c>
      <c r="I720" s="16">
        <v>0.03</v>
      </c>
    </row>
    <row r="721" spans="6:9" x14ac:dyDescent="0.3">
      <c r="F721" s="14">
        <v>711</v>
      </c>
      <c r="G721" s="15">
        <v>2038.5216484902762</v>
      </c>
      <c r="H721" s="15">
        <v>1903.1619674319504</v>
      </c>
      <c r="I721" s="16">
        <v>0</v>
      </c>
    </row>
    <row r="722" spans="6:9" x14ac:dyDescent="0.3">
      <c r="F722" s="14">
        <v>712</v>
      </c>
      <c r="G722" s="15">
        <v>2501.4035396502936</v>
      </c>
      <c r="H722" s="15">
        <v>2063.1443937007884</v>
      </c>
      <c r="I722" s="16">
        <v>0.03</v>
      </c>
    </row>
    <row r="723" spans="6:9" x14ac:dyDescent="0.3">
      <c r="F723" s="14">
        <v>713</v>
      </c>
      <c r="G723" s="15">
        <v>2629.1443827089824</v>
      </c>
      <c r="H723" s="15">
        <v>2488.199990281124</v>
      </c>
      <c r="I723" s="16">
        <v>0.03</v>
      </c>
    </row>
    <row r="724" spans="6:9" x14ac:dyDescent="0.3">
      <c r="F724" s="14">
        <v>714</v>
      </c>
      <c r="G724" s="15">
        <v>2068.6743825990866</v>
      </c>
      <c r="H724" s="15">
        <v>1852.5735955816831</v>
      </c>
      <c r="I724" s="16">
        <v>0</v>
      </c>
    </row>
    <row r="725" spans="6:9" x14ac:dyDescent="0.3">
      <c r="F725" s="14">
        <v>715</v>
      </c>
      <c r="G725" s="15">
        <v>2426.5806872815706</v>
      </c>
      <c r="H725" s="15">
        <v>2072.7060033858475</v>
      </c>
      <c r="I725" s="16">
        <v>0.03</v>
      </c>
    </row>
    <row r="726" spans="6:9" x14ac:dyDescent="0.3">
      <c r="F726" s="14">
        <v>716</v>
      </c>
      <c r="G726" s="15">
        <v>2042.6533004688158</v>
      </c>
      <c r="H726" s="15">
        <v>1482.8434765295094</v>
      </c>
      <c r="I726" s="16">
        <v>0</v>
      </c>
    </row>
    <row r="727" spans="6:9" x14ac:dyDescent="0.3">
      <c r="F727" s="14">
        <v>717</v>
      </c>
      <c r="G727" s="15">
        <v>2334.0715363013778</v>
      </c>
      <c r="H727" s="15">
        <v>2182.793389436114</v>
      </c>
      <c r="I727" s="16">
        <v>0.03</v>
      </c>
    </row>
    <row r="728" spans="6:9" x14ac:dyDescent="0.3">
      <c r="F728" s="14">
        <v>718</v>
      </c>
      <c r="G728" s="15">
        <v>2882.7934463331121</v>
      </c>
      <c r="H728" s="15">
        <v>2726.6399024386747</v>
      </c>
      <c r="I728" s="16">
        <v>0.03</v>
      </c>
    </row>
    <row r="729" spans="6:9" x14ac:dyDescent="0.3">
      <c r="F729" s="14">
        <v>719</v>
      </c>
      <c r="G729" s="15">
        <v>2272.8508597276636</v>
      </c>
      <c r="H729" s="15">
        <v>2248.245793965878</v>
      </c>
      <c r="I729" s="16">
        <v>0.10840826871279446</v>
      </c>
    </row>
    <row r="730" spans="6:9" x14ac:dyDescent="0.3">
      <c r="F730" s="14">
        <v>720</v>
      </c>
      <c r="G730" s="15">
        <v>2347.9957778827184</v>
      </c>
      <c r="H730" s="15">
        <v>1651.7443908502125</v>
      </c>
      <c r="I730" s="16">
        <v>0.03</v>
      </c>
    </row>
    <row r="731" spans="6:9" x14ac:dyDescent="0.3">
      <c r="F731" s="14">
        <v>721</v>
      </c>
      <c r="G731" s="15">
        <v>2019.9858282234395</v>
      </c>
      <c r="H731" s="15">
        <v>1586.057421955036</v>
      </c>
      <c r="I731" s="16">
        <v>0</v>
      </c>
    </row>
    <row r="732" spans="6:9" x14ac:dyDescent="0.3">
      <c r="F732" s="14">
        <v>722</v>
      </c>
      <c r="G732" s="15">
        <v>2069.0309458643887</v>
      </c>
      <c r="H732" s="15">
        <v>1862.4308242092986</v>
      </c>
      <c r="I732" s="16">
        <v>0</v>
      </c>
    </row>
    <row r="733" spans="6:9" x14ac:dyDescent="0.3">
      <c r="F733" s="14">
        <v>723</v>
      </c>
      <c r="G733" s="15">
        <v>2134.1673456283993</v>
      </c>
      <c r="H733" s="15">
        <v>1885.0852320673439</v>
      </c>
      <c r="I733" s="16">
        <v>0</v>
      </c>
    </row>
    <row r="734" spans="6:9" x14ac:dyDescent="0.3">
      <c r="F734" s="14">
        <v>724</v>
      </c>
      <c r="G734" s="15">
        <v>3200.0101966913726</v>
      </c>
      <c r="H734" s="15">
        <v>3096.2371189471482</v>
      </c>
      <c r="I734" s="16">
        <v>0.03</v>
      </c>
    </row>
    <row r="735" spans="6:9" x14ac:dyDescent="0.3">
      <c r="F735" s="14">
        <v>725</v>
      </c>
      <c r="G735" s="15">
        <v>2686.5723440216793</v>
      </c>
      <c r="H735" s="15">
        <v>2651.4770444538235</v>
      </c>
      <c r="I735" s="16">
        <v>0.03</v>
      </c>
    </row>
    <row r="736" spans="6:9" x14ac:dyDescent="0.3">
      <c r="F736" s="14">
        <v>726</v>
      </c>
      <c r="G736" s="15">
        <v>2280.6710332876041</v>
      </c>
      <c r="H736" s="15">
        <v>1884.1474770054599</v>
      </c>
      <c r="I736" s="16">
        <v>0</v>
      </c>
    </row>
    <row r="737" spans="6:9" x14ac:dyDescent="0.3">
      <c r="F737" s="14">
        <v>727</v>
      </c>
      <c r="G737" s="15">
        <v>2291.6986066474451</v>
      </c>
      <c r="H737" s="15">
        <v>1918.8569149620535</v>
      </c>
      <c r="I737" s="16">
        <v>0</v>
      </c>
    </row>
    <row r="738" spans="6:9" x14ac:dyDescent="0.3">
      <c r="F738" s="14">
        <v>728</v>
      </c>
      <c r="G738" s="15">
        <v>2192.8176165892801</v>
      </c>
      <c r="H738" s="15">
        <v>1740.3781125530118</v>
      </c>
      <c r="I738" s="16">
        <v>0</v>
      </c>
    </row>
    <row r="739" spans="6:9" x14ac:dyDescent="0.3">
      <c r="F739" s="14">
        <v>729</v>
      </c>
      <c r="G739" s="15">
        <v>2214.6985506341261</v>
      </c>
      <c r="H739" s="15">
        <v>1494.8132928300256</v>
      </c>
      <c r="I739" s="16">
        <v>0</v>
      </c>
    </row>
    <row r="740" spans="6:9" x14ac:dyDescent="0.3">
      <c r="F740" s="14">
        <v>730</v>
      </c>
      <c r="G740" s="15">
        <v>2011.25</v>
      </c>
      <c r="H740" s="15">
        <v>1443.0688660114934</v>
      </c>
      <c r="I740" s="16">
        <v>0</v>
      </c>
    </row>
    <row r="741" spans="6:9" x14ac:dyDescent="0.3">
      <c r="F741" s="14">
        <v>731</v>
      </c>
      <c r="G741" s="15">
        <v>2226.1626002112262</v>
      </c>
      <c r="H741" s="15">
        <v>1913.441730698592</v>
      </c>
      <c r="I741" s="16">
        <v>0</v>
      </c>
    </row>
    <row r="742" spans="6:9" x14ac:dyDescent="0.3">
      <c r="F742" s="14">
        <v>732</v>
      </c>
      <c r="G742" s="15">
        <v>2520.6606623973025</v>
      </c>
      <c r="H742" s="15">
        <v>2242.9010687507475</v>
      </c>
      <c r="I742" s="16">
        <v>0.03</v>
      </c>
    </row>
    <row r="743" spans="6:9" x14ac:dyDescent="0.3">
      <c r="F743" s="14">
        <v>733</v>
      </c>
      <c r="G743" s="15">
        <v>2452.0068200957967</v>
      </c>
      <c r="H743" s="15">
        <v>2090.0905722625866</v>
      </c>
      <c r="I743" s="16">
        <v>0.03</v>
      </c>
    </row>
    <row r="744" spans="6:9" x14ac:dyDescent="0.3">
      <c r="F744" s="14">
        <v>734</v>
      </c>
      <c r="G744" s="15">
        <v>2845.3447032357485</v>
      </c>
      <c r="H744" s="15">
        <v>2725.8815461159606</v>
      </c>
      <c r="I744" s="16">
        <v>0.03</v>
      </c>
    </row>
    <row r="745" spans="6:9" x14ac:dyDescent="0.3">
      <c r="F745" s="14">
        <v>735</v>
      </c>
      <c r="G745" s="15">
        <v>2513.6696375251117</v>
      </c>
      <c r="H745" s="15">
        <v>2513.6696375251117</v>
      </c>
      <c r="I745" s="16">
        <v>0.03</v>
      </c>
    </row>
    <row r="746" spans="6:9" x14ac:dyDescent="0.3">
      <c r="F746" s="14">
        <v>736</v>
      </c>
      <c r="G746" s="15">
        <v>2542.9179580344835</v>
      </c>
      <c r="H746" s="15">
        <v>2254.8163456573852</v>
      </c>
      <c r="I746" s="16">
        <v>0.03</v>
      </c>
    </row>
    <row r="747" spans="6:9" x14ac:dyDescent="0.3">
      <c r="F747" s="14">
        <v>737</v>
      </c>
      <c r="G747" s="15">
        <v>2479.9342439403722</v>
      </c>
      <c r="H747" s="15">
        <v>2324.2135523940324</v>
      </c>
      <c r="I747" s="16">
        <v>0.03</v>
      </c>
    </row>
    <row r="748" spans="6:9" x14ac:dyDescent="0.3">
      <c r="F748" s="14">
        <v>738</v>
      </c>
      <c r="G748" s="15">
        <v>2299.5101105466156</v>
      </c>
      <c r="H748" s="15">
        <v>2025.6328728042213</v>
      </c>
      <c r="I748" s="16">
        <v>6.5791139738390035E-3</v>
      </c>
    </row>
    <row r="749" spans="6:9" x14ac:dyDescent="0.3">
      <c r="F749" s="14">
        <v>739</v>
      </c>
      <c r="G749" s="15">
        <v>2277.9813634155976</v>
      </c>
      <c r="H749" s="15">
        <v>1604.914699970185</v>
      </c>
      <c r="I749" s="16">
        <v>0</v>
      </c>
    </row>
    <row r="750" spans="6:9" x14ac:dyDescent="0.3">
      <c r="F750" s="14">
        <v>740</v>
      </c>
      <c r="G750" s="15">
        <v>2489.8221185915913</v>
      </c>
      <c r="H750" s="15">
        <v>2487.5730227548929</v>
      </c>
      <c r="I750" s="16">
        <v>0.03</v>
      </c>
    </row>
    <row r="751" spans="6:9" x14ac:dyDescent="0.3">
      <c r="F751" s="14">
        <v>741</v>
      </c>
      <c r="G751" s="15">
        <v>2325.3594138603603</v>
      </c>
      <c r="H751" s="15">
        <v>2062.0497124110766</v>
      </c>
      <c r="I751" s="16">
        <v>0.03</v>
      </c>
    </row>
    <row r="752" spans="6:9" x14ac:dyDescent="0.3">
      <c r="F752" s="14">
        <v>742</v>
      </c>
      <c r="G752" s="15">
        <v>2478.4073733469713</v>
      </c>
      <c r="H752" s="15">
        <v>2453.6927062050941</v>
      </c>
      <c r="I752" s="16">
        <v>0.03</v>
      </c>
    </row>
    <row r="753" spans="6:9" x14ac:dyDescent="0.3">
      <c r="F753" s="14">
        <v>743</v>
      </c>
      <c r="G753" s="15">
        <v>2137.3268867901265</v>
      </c>
      <c r="H753" s="15">
        <v>1420.3583094916371</v>
      </c>
      <c r="I753" s="16">
        <v>0</v>
      </c>
    </row>
    <row r="754" spans="6:9" x14ac:dyDescent="0.3">
      <c r="F754" s="14">
        <v>744</v>
      </c>
      <c r="G754" s="15">
        <v>2499.4616783449574</v>
      </c>
      <c r="H754" s="15">
        <v>2214.2295210567827</v>
      </c>
      <c r="I754" s="16">
        <v>0.03</v>
      </c>
    </row>
    <row r="755" spans="6:9" x14ac:dyDescent="0.3">
      <c r="F755" s="14">
        <v>745</v>
      </c>
      <c r="G755" s="15">
        <v>2132.6617756976157</v>
      </c>
      <c r="H755" s="15">
        <v>1622.6866163219711</v>
      </c>
      <c r="I755" s="16">
        <v>0</v>
      </c>
    </row>
    <row r="756" spans="6:9" x14ac:dyDescent="0.3">
      <c r="F756" s="14">
        <v>746</v>
      </c>
      <c r="G756" s="15">
        <v>2715.4849882736798</v>
      </c>
      <c r="H756" s="15">
        <v>2580.6012563972126</v>
      </c>
      <c r="I756" s="16">
        <v>0.03</v>
      </c>
    </row>
    <row r="757" spans="6:9" x14ac:dyDescent="0.3">
      <c r="F757" s="14">
        <v>747</v>
      </c>
      <c r="G757" s="15">
        <v>2135.4416981539143</v>
      </c>
      <c r="H757" s="15">
        <v>1862.0682849892721</v>
      </c>
      <c r="I757" s="16">
        <v>0</v>
      </c>
    </row>
    <row r="758" spans="6:9" x14ac:dyDescent="0.3">
      <c r="F758" s="14">
        <v>748</v>
      </c>
      <c r="G758" s="15">
        <v>2337.090281430997</v>
      </c>
      <c r="H758" s="15">
        <v>1872.4876355147858</v>
      </c>
      <c r="I758" s="16">
        <v>0.03</v>
      </c>
    </row>
    <row r="759" spans="6:9" x14ac:dyDescent="0.3">
      <c r="F759" s="14">
        <v>749</v>
      </c>
      <c r="G759" s="15">
        <v>2216.3952229062788</v>
      </c>
      <c r="H759" s="15">
        <v>1836.6927848000462</v>
      </c>
      <c r="I759" s="16">
        <v>0</v>
      </c>
    </row>
    <row r="760" spans="6:9" x14ac:dyDescent="0.3">
      <c r="F760" s="14">
        <v>750</v>
      </c>
      <c r="G760" s="15">
        <v>2649.4257759936622</v>
      </c>
      <c r="H760" s="15">
        <v>2538.1866987113922</v>
      </c>
      <c r="I760" s="16">
        <v>0.03</v>
      </c>
    </row>
    <row r="761" spans="6:9" x14ac:dyDescent="0.3">
      <c r="F761" s="14">
        <v>751</v>
      </c>
      <c r="G761" s="15">
        <v>2760.1570527370081</v>
      </c>
      <c r="H761" s="15">
        <v>2585.3673516363679</v>
      </c>
      <c r="I761" s="16">
        <v>0.03</v>
      </c>
    </row>
    <row r="762" spans="6:9" x14ac:dyDescent="0.3">
      <c r="F762" s="14">
        <v>752</v>
      </c>
      <c r="G762" s="15">
        <v>2385.3984579133594</v>
      </c>
      <c r="H762" s="15">
        <v>2222.7286009802383</v>
      </c>
      <c r="I762" s="16">
        <v>0.03</v>
      </c>
    </row>
    <row r="763" spans="6:9" x14ac:dyDescent="0.3">
      <c r="F763" s="14">
        <v>753</v>
      </c>
      <c r="G763" s="15">
        <v>2125.2259874504489</v>
      </c>
      <c r="H763" s="15">
        <v>1702.5786243641437</v>
      </c>
      <c r="I763" s="16">
        <v>0</v>
      </c>
    </row>
    <row r="764" spans="6:9" x14ac:dyDescent="0.3">
      <c r="F764" s="14">
        <v>754</v>
      </c>
      <c r="G764" s="15">
        <v>2295.7473062026506</v>
      </c>
      <c r="H764" s="15">
        <v>2099.5322854942315</v>
      </c>
      <c r="I764" s="16">
        <v>4.0382698647454536E-2</v>
      </c>
    </row>
    <row r="765" spans="6:9" x14ac:dyDescent="0.3">
      <c r="F765" s="14">
        <v>755</v>
      </c>
      <c r="G765" s="15">
        <v>3157.0527003560728</v>
      </c>
      <c r="H765" s="15">
        <v>3004.0783896871721</v>
      </c>
      <c r="I765" s="16">
        <v>0.03</v>
      </c>
    </row>
    <row r="766" spans="6:9" x14ac:dyDescent="0.3">
      <c r="F766" s="14">
        <v>756</v>
      </c>
      <c r="G766" s="15">
        <v>2347.1971626262412</v>
      </c>
      <c r="H766" s="15">
        <v>1881.2682400098354</v>
      </c>
      <c r="I766" s="16">
        <v>0.03</v>
      </c>
    </row>
    <row r="767" spans="6:9" x14ac:dyDescent="0.3">
      <c r="F767" s="14">
        <v>757</v>
      </c>
      <c r="G767" s="15">
        <v>2666.6024687111544</v>
      </c>
      <c r="H767" s="15">
        <v>2236.6028973295652</v>
      </c>
      <c r="I767" s="16">
        <v>0.03</v>
      </c>
    </row>
    <row r="768" spans="6:9" x14ac:dyDescent="0.3">
      <c r="F768" s="14">
        <v>758</v>
      </c>
      <c r="G768" s="15">
        <v>2662.4268696932872</v>
      </c>
      <c r="H768" s="15">
        <v>2662.4268696932872</v>
      </c>
      <c r="I768" s="16">
        <v>0.03</v>
      </c>
    </row>
    <row r="769" spans="6:9" x14ac:dyDescent="0.3">
      <c r="F769" s="14">
        <v>759</v>
      </c>
      <c r="G769" s="15">
        <v>2920.9832218844053</v>
      </c>
      <c r="H769" s="15">
        <v>2358.5051277749408</v>
      </c>
      <c r="I769" s="16">
        <v>0.03</v>
      </c>
    </row>
    <row r="770" spans="6:9" x14ac:dyDescent="0.3">
      <c r="F770" s="14">
        <v>760</v>
      </c>
      <c r="G770" s="15">
        <v>2478.2912624087044</v>
      </c>
      <c r="H770" s="15">
        <v>2334.4832080798105</v>
      </c>
      <c r="I770" s="16">
        <v>0.03</v>
      </c>
    </row>
    <row r="771" spans="6:9" x14ac:dyDescent="0.3">
      <c r="F771" s="14">
        <v>761</v>
      </c>
      <c r="G771" s="15">
        <v>2364.894225995356</v>
      </c>
      <c r="H771" s="15">
        <v>2195.9169417362705</v>
      </c>
      <c r="I771" s="16">
        <v>0.03</v>
      </c>
    </row>
    <row r="772" spans="6:9" x14ac:dyDescent="0.3">
      <c r="F772" s="14">
        <v>762</v>
      </c>
      <c r="G772" s="15">
        <v>2011.25</v>
      </c>
      <c r="H772" s="15">
        <v>1616.9862900476073</v>
      </c>
      <c r="I772" s="16">
        <v>0</v>
      </c>
    </row>
    <row r="773" spans="6:9" x14ac:dyDescent="0.3">
      <c r="F773" s="14">
        <v>763</v>
      </c>
      <c r="G773" s="15">
        <v>2296.5838089729186</v>
      </c>
      <c r="H773" s="15">
        <v>1888.6324498348738</v>
      </c>
      <c r="I773" s="16">
        <v>0</v>
      </c>
    </row>
    <row r="774" spans="6:9" x14ac:dyDescent="0.3">
      <c r="F774" s="14">
        <v>764</v>
      </c>
      <c r="G774" s="15">
        <v>2677.0801655406544</v>
      </c>
      <c r="H774" s="15">
        <v>2438.1743611948841</v>
      </c>
      <c r="I774" s="16">
        <v>0.03</v>
      </c>
    </row>
    <row r="775" spans="6:9" x14ac:dyDescent="0.3">
      <c r="F775" s="14">
        <v>765</v>
      </c>
      <c r="G775" s="15">
        <v>2803.396606155517</v>
      </c>
      <c r="H775" s="15">
        <v>2726.4250352040285</v>
      </c>
      <c r="I775" s="16">
        <v>0.03</v>
      </c>
    </row>
    <row r="776" spans="6:9" x14ac:dyDescent="0.3">
      <c r="F776" s="14">
        <v>766</v>
      </c>
      <c r="G776" s="15">
        <v>2667.3533606226401</v>
      </c>
      <c r="H776" s="15">
        <v>2428.01870368358</v>
      </c>
      <c r="I776" s="16">
        <v>0.03</v>
      </c>
    </row>
    <row r="777" spans="6:9" x14ac:dyDescent="0.3">
      <c r="F777" s="14">
        <v>767</v>
      </c>
      <c r="G777" s="15">
        <v>2352.7654133392184</v>
      </c>
      <c r="H777" s="15">
        <v>1785.2323472591524</v>
      </c>
      <c r="I777" s="16">
        <v>0.03</v>
      </c>
    </row>
    <row r="778" spans="6:9" x14ac:dyDescent="0.3">
      <c r="F778" s="14">
        <v>768</v>
      </c>
      <c r="G778" s="15">
        <v>2277.0647238910688</v>
      </c>
      <c r="H778" s="15">
        <v>2174.6605019295498</v>
      </c>
      <c r="I778" s="16">
        <v>7.4748371299035749E-2</v>
      </c>
    </row>
    <row r="779" spans="6:9" x14ac:dyDescent="0.3">
      <c r="F779" s="14">
        <v>769</v>
      </c>
      <c r="G779" s="15">
        <v>2195.5447134872979</v>
      </c>
      <c r="H779" s="15">
        <v>1562.0612506554544</v>
      </c>
      <c r="I779" s="16">
        <v>0</v>
      </c>
    </row>
    <row r="780" spans="6:9" x14ac:dyDescent="0.3">
      <c r="F780" s="14">
        <v>770</v>
      </c>
      <c r="G780" s="15">
        <v>2147.4367168360736</v>
      </c>
      <c r="H780" s="15">
        <v>1451.9614299231694</v>
      </c>
      <c r="I780" s="16">
        <v>0</v>
      </c>
    </row>
    <row r="781" spans="6:9" x14ac:dyDescent="0.3">
      <c r="F781" s="14">
        <v>771</v>
      </c>
      <c r="G781" s="15">
        <v>2190.212254778126</v>
      </c>
      <c r="H781" s="15">
        <v>2119.7746795249241</v>
      </c>
      <c r="I781" s="16">
        <v>4.9642115680760865E-2</v>
      </c>
    </row>
    <row r="782" spans="6:9" x14ac:dyDescent="0.3">
      <c r="F782" s="14">
        <v>772</v>
      </c>
      <c r="G782" s="15">
        <v>2359.1027597115353</v>
      </c>
      <c r="H782" s="15">
        <v>1930.9310518448258</v>
      </c>
      <c r="I782" s="16">
        <v>0.03</v>
      </c>
    </row>
    <row r="783" spans="6:9" x14ac:dyDescent="0.3">
      <c r="F783" s="14">
        <v>773</v>
      </c>
      <c r="G783" s="15">
        <v>2583.8515004960796</v>
      </c>
      <c r="H783" s="15">
        <v>1879.5354182191147</v>
      </c>
      <c r="I783" s="16">
        <v>0.03</v>
      </c>
    </row>
    <row r="784" spans="6:9" x14ac:dyDescent="0.3">
      <c r="F784" s="14">
        <v>774</v>
      </c>
      <c r="G784" s="15">
        <v>2161.6383792175443</v>
      </c>
      <c r="H784" s="15">
        <v>1763.5324605465162</v>
      </c>
      <c r="I784" s="16">
        <v>0</v>
      </c>
    </row>
    <row r="785" spans="6:9" x14ac:dyDescent="0.3">
      <c r="F785" s="14">
        <v>775</v>
      </c>
      <c r="G785" s="15">
        <v>2065.4155113368092</v>
      </c>
      <c r="H785" s="15">
        <v>1631.1289815889684</v>
      </c>
      <c r="I785" s="16">
        <v>0</v>
      </c>
    </row>
    <row r="786" spans="6:9" x14ac:dyDescent="0.3">
      <c r="F786" s="14">
        <v>776</v>
      </c>
      <c r="G786" s="15">
        <v>2082.0927342277573</v>
      </c>
      <c r="H786" s="15">
        <v>1836.4832917193141</v>
      </c>
      <c r="I786" s="16">
        <v>0</v>
      </c>
    </row>
    <row r="787" spans="6:9" x14ac:dyDescent="0.3">
      <c r="F787" s="14">
        <v>777</v>
      </c>
      <c r="G787" s="15">
        <v>2298.0502853564062</v>
      </c>
      <c r="H787" s="15">
        <v>1580.9533882761323</v>
      </c>
      <c r="I787" s="16">
        <v>0</v>
      </c>
    </row>
    <row r="788" spans="6:9" x14ac:dyDescent="0.3">
      <c r="F788" s="14">
        <v>778</v>
      </c>
      <c r="G788" s="15">
        <v>2061.3313012641997</v>
      </c>
      <c r="H788" s="15">
        <v>1636.5510890852286</v>
      </c>
      <c r="I788" s="16">
        <v>0</v>
      </c>
    </row>
    <row r="789" spans="6:9" x14ac:dyDescent="0.3">
      <c r="F789" s="14">
        <v>779</v>
      </c>
      <c r="G789" s="15">
        <v>2035.79480955487</v>
      </c>
      <c r="H789" s="15">
        <v>1400.6742085246242</v>
      </c>
      <c r="I789" s="16">
        <v>0</v>
      </c>
    </row>
    <row r="790" spans="6:9" x14ac:dyDescent="0.3">
      <c r="F790" s="14">
        <v>780</v>
      </c>
      <c r="G790" s="15">
        <v>2189.7775224909528</v>
      </c>
      <c r="H790" s="15">
        <v>1602.2177546996741</v>
      </c>
      <c r="I790" s="16">
        <v>0</v>
      </c>
    </row>
    <row r="791" spans="6:9" x14ac:dyDescent="0.3">
      <c r="F791" s="14">
        <v>781</v>
      </c>
      <c r="G791" s="15">
        <v>2568.5650247393028</v>
      </c>
      <c r="H791" s="15">
        <v>2078.6865976664453</v>
      </c>
      <c r="I791" s="16">
        <v>0.03</v>
      </c>
    </row>
    <row r="792" spans="6:9" x14ac:dyDescent="0.3">
      <c r="F792" s="14">
        <v>782</v>
      </c>
      <c r="G792" s="15">
        <v>2146.0189848882933</v>
      </c>
      <c r="H792" s="15">
        <v>2033.6001695716284</v>
      </c>
      <c r="I792" s="16">
        <v>1.0223570419340211E-2</v>
      </c>
    </row>
    <row r="793" spans="6:9" x14ac:dyDescent="0.3">
      <c r="F793" s="14">
        <v>783</v>
      </c>
      <c r="G793" s="15">
        <v>2675.2277655018784</v>
      </c>
      <c r="H793" s="15">
        <v>2484.4931330597178</v>
      </c>
      <c r="I793" s="16">
        <v>0.03</v>
      </c>
    </row>
    <row r="794" spans="6:9" x14ac:dyDescent="0.3">
      <c r="F794" s="14">
        <v>784</v>
      </c>
      <c r="G794" s="15">
        <v>2153.0885918103531</v>
      </c>
      <c r="H794" s="15">
        <v>2064.6591707228713</v>
      </c>
      <c r="I794" s="16">
        <v>2.4430795308908095E-2</v>
      </c>
    </row>
    <row r="795" spans="6:9" x14ac:dyDescent="0.3">
      <c r="F795" s="14">
        <v>785</v>
      </c>
      <c r="G795" s="15">
        <v>2841.3223714110268</v>
      </c>
      <c r="H795" s="15">
        <v>2551.3187545131295</v>
      </c>
      <c r="I795" s="16">
        <v>0.03</v>
      </c>
    </row>
    <row r="796" spans="6:9" x14ac:dyDescent="0.3">
      <c r="F796" s="14">
        <v>786</v>
      </c>
      <c r="G796" s="15">
        <v>2231.148825646223</v>
      </c>
      <c r="H796" s="15">
        <v>2048.2273645438772</v>
      </c>
      <c r="I796" s="16">
        <v>1.6914443943004117E-2</v>
      </c>
    </row>
    <row r="797" spans="6:9" x14ac:dyDescent="0.3">
      <c r="F797" s="14">
        <v>787</v>
      </c>
      <c r="G797" s="15">
        <v>3161.0123195707579</v>
      </c>
      <c r="H797" s="15">
        <v>3093.2234341697567</v>
      </c>
      <c r="I797" s="16">
        <v>0.03</v>
      </c>
    </row>
    <row r="798" spans="6:9" x14ac:dyDescent="0.3">
      <c r="F798" s="14">
        <v>788</v>
      </c>
      <c r="G798" s="15">
        <v>2146.4796955309789</v>
      </c>
      <c r="H798" s="15">
        <v>1727.9939717937298</v>
      </c>
      <c r="I798" s="16">
        <v>0</v>
      </c>
    </row>
    <row r="799" spans="6:9" x14ac:dyDescent="0.3">
      <c r="F799" s="14">
        <v>789</v>
      </c>
      <c r="G799" s="15">
        <v>2190.1882021835663</v>
      </c>
      <c r="H799" s="15">
        <v>1817.374305435816</v>
      </c>
      <c r="I799" s="16">
        <v>0</v>
      </c>
    </row>
    <row r="800" spans="6:9" x14ac:dyDescent="0.3">
      <c r="F800" s="14">
        <v>790</v>
      </c>
      <c r="G800" s="15">
        <v>2697.4112638323804</v>
      </c>
      <c r="H800" s="15">
        <v>2619.6693798511706</v>
      </c>
      <c r="I800" s="16">
        <v>0.03</v>
      </c>
    </row>
    <row r="801" spans="6:9" x14ac:dyDescent="0.3">
      <c r="F801" s="14">
        <v>791</v>
      </c>
      <c r="G801" s="15">
        <v>2011.25</v>
      </c>
      <c r="H801" s="15">
        <v>1880.196410579606</v>
      </c>
      <c r="I801" s="16">
        <v>0</v>
      </c>
    </row>
    <row r="802" spans="6:9" x14ac:dyDescent="0.3">
      <c r="F802" s="14">
        <v>792</v>
      </c>
      <c r="G802" s="15">
        <v>2394.0030257915714</v>
      </c>
      <c r="H802" s="15">
        <v>1938.017097306049</v>
      </c>
      <c r="I802" s="16">
        <v>0.03</v>
      </c>
    </row>
    <row r="803" spans="6:9" x14ac:dyDescent="0.3">
      <c r="F803" s="14">
        <v>793</v>
      </c>
      <c r="G803" s="15">
        <v>2011.25</v>
      </c>
      <c r="H803" s="15">
        <v>1475.929687250604</v>
      </c>
      <c r="I803" s="16">
        <v>0</v>
      </c>
    </row>
    <row r="804" spans="6:9" x14ac:dyDescent="0.3">
      <c r="F804" s="14">
        <v>794</v>
      </c>
      <c r="G804" s="15">
        <v>2206.7046140324128</v>
      </c>
      <c r="H804" s="15">
        <v>1820.9396156862713</v>
      </c>
      <c r="I804" s="16">
        <v>0</v>
      </c>
    </row>
    <row r="805" spans="6:9" x14ac:dyDescent="0.3">
      <c r="F805" s="14">
        <v>795</v>
      </c>
      <c r="G805" s="15">
        <v>2103.1619386855855</v>
      </c>
      <c r="H805" s="15">
        <v>2077.4079284595678</v>
      </c>
      <c r="I805" s="16">
        <v>3.0262420973425713E-2</v>
      </c>
    </row>
    <row r="806" spans="6:9" x14ac:dyDescent="0.3">
      <c r="F806" s="14">
        <v>796</v>
      </c>
      <c r="G806" s="15">
        <v>2030.2298089102733</v>
      </c>
      <c r="H806" s="15">
        <v>1324.6672002042956</v>
      </c>
      <c r="I806" s="16">
        <v>0</v>
      </c>
    </row>
    <row r="807" spans="6:9" x14ac:dyDescent="0.3">
      <c r="F807" s="14">
        <v>797</v>
      </c>
      <c r="G807" s="15">
        <v>2758.5816097520319</v>
      </c>
      <c r="H807" s="15">
        <v>2446.5628476445313</v>
      </c>
      <c r="I807" s="16">
        <v>0.03</v>
      </c>
    </row>
    <row r="808" spans="6:9" x14ac:dyDescent="0.3">
      <c r="F808" s="14">
        <v>798</v>
      </c>
      <c r="G808" s="15">
        <v>2051.9150099327394</v>
      </c>
      <c r="H808" s="15">
        <v>1659.447382715043</v>
      </c>
      <c r="I808" s="16">
        <v>0</v>
      </c>
    </row>
    <row r="809" spans="6:9" x14ac:dyDescent="0.3">
      <c r="F809" s="14">
        <v>799</v>
      </c>
      <c r="G809" s="15">
        <v>2403.2066725439327</v>
      </c>
      <c r="H809" s="15">
        <v>2294.0955987406001</v>
      </c>
      <c r="I809" s="16">
        <v>0.03</v>
      </c>
    </row>
    <row r="810" spans="6:9" x14ac:dyDescent="0.3">
      <c r="F810" s="14">
        <v>800</v>
      </c>
      <c r="G810" s="15">
        <v>2043.9953901108529</v>
      </c>
      <c r="H810" s="15">
        <v>1597.3126916636779</v>
      </c>
      <c r="I810" s="16">
        <v>0</v>
      </c>
    </row>
    <row r="811" spans="6:9" x14ac:dyDescent="0.3">
      <c r="F811" s="14">
        <v>801</v>
      </c>
      <c r="G811" s="15">
        <v>2153.3353327267969</v>
      </c>
      <c r="H811" s="15">
        <v>1456.6436831405999</v>
      </c>
      <c r="I811" s="16">
        <v>0</v>
      </c>
    </row>
    <row r="812" spans="6:9" x14ac:dyDescent="0.3">
      <c r="F812" s="14">
        <v>802</v>
      </c>
      <c r="G812" s="15">
        <v>2607.9870381520927</v>
      </c>
      <c r="H812" s="15">
        <v>2597.6149691657643</v>
      </c>
      <c r="I812" s="16">
        <v>0.03</v>
      </c>
    </row>
    <row r="813" spans="6:9" x14ac:dyDescent="0.3">
      <c r="F813" s="14">
        <v>803</v>
      </c>
      <c r="G813" s="15">
        <v>2096.0146403914273</v>
      </c>
      <c r="H813" s="15">
        <v>1984.0479531117471</v>
      </c>
      <c r="I813" s="16">
        <v>0</v>
      </c>
    </row>
    <row r="814" spans="6:9" x14ac:dyDescent="0.3">
      <c r="F814" s="14">
        <v>804</v>
      </c>
      <c r="G814" s="15">
        <v>2603.0469844012787</v>
      </c>
      <c r="H814" s="15">
        <v>2185.5120924839475</v>
      </c>
      <c r="I814" s="16">
        <v>0.03</v>
      </c>
    </row>
    <row r="815" spans="6:9" x14ac:dyDescent="0.3">
      <c r="F815" s="14">
        <v>805</v>
      </c>
      <c r="G815" s="15">
        <v>2378.5461623073929</v>
      </c>
      <c r="H815" s="15">
        <v>2307.0148449527505</v>
      </c>
      <c r="I815" s="16">
        <v>0.03</v>
      </c>
    </row>
    <row r="816" spans="6:9" x14ac:dyDescent="0.3">
      <c r="F816" s="14">
        <v>806</v>
      </c>
      <c r="G816" s="15">
        <v>2492.0668193888378</v>
      </c>
      <c r="H816" s="15">
        <v>2487.2058053577207</v>
      </c>
      <c r="I816" s="16">
        <v>0.03</v>
      </c>
    </row>
    <row r="817" spans="6:9" x14ac:dyDescent="0.3">
      <c r="F817" s="14">
        <v>807</v>
      </c>
      <c r="G817" s="15">
        <v>2032.9254036507289</v>
      </c>
      <c r="H817" s="15">
        <v>1650.3409150588343</v>
      </c>
      <c r="I817" s="16">
        <v>0</v>
      </c>
    </row>
    <row r="818" spans="6:9" x14ac:dyDescent="0.3">
      <c r="F818" s="14">
        <v>808</v>
      </c>
      <c r="G818" s="15">
        <v>2609.6103412193715</v>
      </c>
      <c r="H818" s="15">
        <v>2564.560151446402</v>
      </c>
      <c r="I818" s="16">
        <v>0.03</v>
      </c>
    </row>
    <row r="819" spans="6:9" x14ac:dyDescent="0.3">
      <c r="F819" s="14">
        <v>809</v>
      </c>
      <c r="G819" s="15">
        <v>2136.431085434795</v>
      </c>
      <c r="H819" s="15">
        <v>1282.7256688718051</v>
      </c>
      <c r="I819" s="16">
        <v>0</v>
      </c>
    </row>
    <row r="820" spans="6:9" x14ac:dyDescent="0.3">
      <c r="F820" s="14">
        <v>810</v>
      </c>
      <c r="G820" s="15">
        <v>2337.1221910235313</v>
      </c>
      <c r="H820" s="15">
        <v>1837.1234840339243</v>
      </c>
      <c r="I820" s="16">
        <v>0.03</v>
      </c>
    </row>
    <row r="821" spans="6:9" x14ac:dyDescent="0.3">
      <c r="F821" s="14">
        <v>811</v>
      </c>
      <c r="G821" s="15">
        <v>2072.1283416951742</v>
      </c>
      <c r="H821" s="15">
        <v>1536.1761920845815</v>
      </c>
      <c r="I821" s="16">
        <v>0</v>
      </c>
    </row>
    <row r="822" spans="6:9" x14ac:dyDescent="0.3">
      <c r="F822" s="14">
        <v>812</v>
      </c>
      <c r="G822" s="15">
        <v>2057.223783722126</v>
      </c>
      <c r="H822" s="15">
        <v>1807.1266257810348</v>
      </c>
      <c r="I822" s="16">
        <v>0</v>
      </c>
    </row>
    <row r="823" spans="6:9" x14ac:dyDescent="0.3">
      <c r="F823" s="14">
        <v>813</v>
      </c>
      <c r="G823" s="15">
        <v>2051.5130184264244</v>
      </c>
      <c r="H823" s="15">
        <v>1594.6298720075708</v>
      </c>
      <c r="I823" s="16">
        <v>0</v>
      </c>
    </row>
    <row r="824" spans="6:9" x14ac:dyDescent="0.3">
      <c r="F824" s="14">
        <v>814</v>
      </c>
      <c r="G824" s="15">
        <v>2102.9103539886</v>
      </c>
      <c r="H824" s="15">
        <v>1653.8202766774764</v>
      </c>
      <c r="I824" s="16">
        <v>0</v>
      </c>
    </row>
    <row r="825" spans="6:9" x14ac:dyDescent="0.3">
      <c r="F825" s="14">
        <v>815</v>
      </c>
      <c r="G825" s="15">
        <v>2773.5392635641615</v>
      </c>
      <c r="H825" s="15">
        <v>2677.5292077121762</v>
      </c>
      <c r="I825" s="16">
        <v>0.03</v>
      </c>
    </row>
    <row r="826" spans="6:9" x14ac:dyDescent="0.3">
      <c r="F826" s="14">
        <v>816</v>
      </c>
      <c r="G826" s="15">
        <v>2180.6153272259626</v>
      </c>
      <c r="H826" s="15">
        <v>1684.6690737906306</v>
      </c>
      <c r="I826" s="16">
        <v>0</v>
      </c>
    </row>
    <row r="827" spans="6:9" x14ac:dyDescent="0.3">
      <c r="F827" s="14">
        <v>817</v>
      </c>
      <c r="G827" s="15">
        <v>2496.4728642181135</v>
      </c>
      <c r="H827" s="15">
        <v>2110.8107936570668</v>
      </c>
      <c r="I827" s="16">
        <v>0.03</v>
      </c>
    </row>
    <row r="828" spans="6:9" x14ac:dyDescent="0.3">
      <c r="F828" s="14">
        <v>818</v>
      </c>
      <c r="G828" s="15">
        <v>3037.3317685241573</v>
      </c>
      <c r="H828" s="15">
        <v>2774.7909284952952</v>
      </c>
      <c r="I828" s="16">
        <v>0.03</v>
      </c>
    </row>
    <row r="829" spans="6:9" x14ac:dyDescent="0.3">
      <c r="F829" s="14">
        <v>819</v>
      </c>
      <c r="G829" s="15">
        <v>2442.4348668416087</v>
      </c>
      <c r="H829" s="15">
        <v>2377.9647977009863</v>
      </c>
      <c r="I829" s="16">
        <v>0.03</v>
      </c>
    </row>
    <row r="830" spans="6:9" x14ac:dyDescent="0.3">
      <c r="F830" s="14">
        <v>820</v>
      </c>
      <c r="G830" s="15">
        <v>3302.1429814421149</v>
      </c>
      <c r="H830" s="15">
        <v>3292.2242047794407</v>
      </c>
      <c r="I830" s="16">
        <v>0.03</v>
      </c>
    </row>
    <row r="831" spans="6:9" x14ac:dyDescent="0.3">
      <c r="F831" s="14">
        <v>821</v>
      </c>
      <c r="G831" s="15">
        <v>2187.4467161621224</v>
      </c>
      <c r="H831" s="15">
        <v>1734.23427413125</v>
      </c>
      <c r="I831" s="16">
        <v>0</v>
      </c>
    </row>
    <row r="832" spans="6:9" x14ac:dyDescent="0.3">
      <c r="F832" s="14">
        <v>822</v>
      </c>
      <c r="G832" s="15">
        <v>2331.9924503252005</v>
      </c>
      <c r="H832" s="15">
        <v>1350.249531703455</v>
      </c>
      <c r="I832" s="16">
        <v>0.03</v>
      </c>
    </row>
    <row r="833" spans="6:9" x14ac:dyDescent="0.3">
      <c r="F833" s="14">
        <v>823</v>
      </c>
      <c r="G833" s="15">
        <v>2687.8787832279927</v>
      </c>
      <c r="H833" s="15">
        <v>2453.0957294430805</v>
      </c>
      <c r="I833" s="16">
        <v>0.03</v>
      </c>
    </row>
    <row r="834" spans="6:9" x14ac:dyDescent="0.3">
      <c r="F834" s="14">
        <v>824</v>
      </c>
      <c r="G834" s="15">
        <v>2223.8127288558348</v>
      </c>
      <c r="H834" s="15">
        <v>2087.1862235750004</v>
      </c>
      <c r="I834" s="16">
        <v>3.4735276911870956E-2</v>
      </c>
    </row>
    <row r="835" spans="6:9" x14ac:dyDescent="0.3">
      <c r="F835" s="14">
        <v>825</v>
      </c>
      <c r="G835" s="15">
        <v>2261.3875045574046</v>
      </c>
      <c r="H835" s="15">
        <v>2089.8312999687942</v>
      </c>
      <c r="I835" s="16">
        <v>3.5945206200765932E-2</v>
      </c>
    </row>
    <row r="836" spans="6:9" x14ac:dyDescent="0.3">
      <c r="F836" s="14">
        <v>826</v>
      </c>
      <c r="G836" s="15">
        <v>2461.617298341238</v>
      </c>
      <c r="H836" s="15">
        <v>2243.4400504405953</v>
      </c>
      <c r="I836" s="16">
        <v>0.03</v>
      </c>
    </row>
    <row r="837" spans="6:9" x14ac:dyDescent="0.3">
      <c r="F837" s="14">
        <v>827</v>
      </c>
      <c r="G837" s="15">
        <v>2249.0367305038758</v>
      </c>
      <c r="H837" s="15">
        <v>1472.6472251573305</v>
      </c>
      <c r="I837" s="16">
        <v>0</v>
      </c>
    </row>
    <row r="838" spans="6:9" x14ac:dyDescent="0.3">
      <c r="F838" s="14">
        <v>828</v>
      </c>
      <c r="G838" s="15">
        <v>2588.1454045657338</v>
      </c>
      <c r="H838" s="15">
        <v>2524.5604684151795</v>
      </c>
      <c r="I838" s="16">
        <v>0.03</v>
      </c>
    </row>
    <row r="839" spans="6:9" x14ac:dyDescent="0.3">
      <c r="F839" s="14">
        <v>829</v>
      </c>
      <c r="G839" s="15">
        <v>2404.3801772156808</v>
      </c>
      <c r="H839" s="15">
        <v>2331.0906038546868</v>
      </c>
      <c r="I839" s="16">
        <v>0.03</v>
      </c>
    </row>
    <row r="840" spans="6:9" x14ac:dyDescent="0.3">
      <c r="F840" s="14">
        <v>830</v>
      </c>
      <c r="G840" s="15">
        <v>2492.1156335482697</v>
      </c>
      <c r="H840" s="15">
        <v>2136.3857973348722</v>
      </c>
      <c r="I840" s="16">
        <v>0.03</v>
      </c>
    </row>
    <row r="841" spans="6:9" x14ac:dyDescent="0.3">
      <c r="F841" s="14">
        <v>831</v>
      </c>
      <c r="G841" s="15">
        <v>2224.1759348069404</v>
      </c>
      <c r="H841" s="15">
        <v>2158.0936430685242</v>
      </c>
      <c r="I841" s="16">
        <v>6.7170243193557383E-2</v>
      </c>
    </row>
    <row r="842" spans="6:9" x14ac:dyDescent="0.3">
      <c r="F842" s="14">
        <v>832</v>
      </c>
      <c r="G842" s="15">
        <v>2650.3317502581044</v>
      </c>
      <c r="H842" s="15">
        <v>2449.7616804617178</v>
      </c>
      <c r="I842" s="16">
        <v>0.03</v>
      </c>
    </row>
    <row r="843" spans="6:9" x14ac:dyDescent="0.3">
      <c r="F843" s="14">
        <v>833</v>
      </c>
      <c r="G843" s="15">
        <v>2437.4196210505097</v>
      </c>
      <c r="H843" s="15">
        <v>2011.719829166138</v>
      </c>
      <c r="I843" s="16">
        <v>0.03</v>
      </c>
    </row>
    <row r="844" spans="6:9" x14ac:dyDescent="0.3">
      <c r="F844" s="14">
        <v>834</v>
      </c>
      <c r="G844" s="15">
        <v>2508.1966182566212</v>
      </c>
      <c r="H844" s="15">
        <v>2125.985356521835</v>
      </c>
      <c r="I844" s="16">
        <v>0.03</v>
      </c>
    </row>
    <row r="845" spans="6:9" x14ac:dyDescent="0.3">
      <c r="F845" s="14">
        <v>835</v>
      </c>
      <c r="G845" s="15">
        <v>2963.894677792377</v>
      </c>
      <c r="H845" s="15">
        <v>2906.9880670938151</v>
      </c>
      <c r="I845" s="16">
        <v>0.03</v>
      </c>
    </row>
    <row r="846" spans="6:9" x14ac:dyDescent="0.3">
      <c r="F846" s="14">
        <v>836</v>
      </c>
      <c r="G846" s="15">
        <v>2053.9021289090842</v>
      </c>
      <c r="H846" s="15">
        <v>1877.1045934694857</v>
      </c>
      <c r="I846" s="16">
        <v>0</v>
      </c>
    </row>
    <row r="847" spans="6:9" x14ac:dyDescent="0.3">
      <c r="F847" s="14">
        <v>837</v>
      </c>
      <c r="G847" s="15">
        <v>2606.4645294981769</v>
      </c>
      <c r="H847" s="15">
        <v>2288.265302905957</v>
      </c>
      <c r="I847" s="16">
        <v>0.03</v>
      </c>
    </row>
    <row r="848" spans="6:9" x14ac:dyDescent="0.3">
      <c r="F848" s="14">
        <v>838</v>
      </c>
      <c r="G848" s="15">
        <v>2288.2741802544247</v>
      </c>
      <c r="H848" s="15">
        <v>1942.8434283762076</v>
      </c>
      <c r="I848" s="16">
        <v>0</v>
      </c>
    </row>
    <row r="849" spans="6:9" x14ac:dyDescent="0.3">
      <c r="F849" s="14">
        <v>839</v>
      </c>
      <c r="G849" s="15">
        <v>2829.9636911111884</v>
      </c>
      <c r="H849" s="15">
        <v>2654.4941808791541</v>
      </c>
      <c r="I849" s="16">
        <v>0.03</v>
      </c>
    </row>
    <row r="850" spans="6:9" x14ac:dyDescent="0.3">
      <c r="F850" s="14">
        <v>840</v>
      </c>
      <c r="G850" s="15">
        <v>2116.6357905336181</v>
      </c>
      <c r="H850" s="15">
        <v>1422.2120567375791</v>
      </c>
      <c r="I850" s="16">
        <v>0</v>
      </c>
    </row>
    <row r="851" spans="6:9" x14ac:dyDescent="0.3">
      <c r="F851" s="14">
        <v>841</v>
      </c>
      <c r="G851" s="15">
        <v>2924.6184625598312</v>
      </c>
      <c r="H851" s="15">
        <v>2851.1260650716295</v>
      </c>
      <c r="I851" s="16">
        <v>0.03</v>
      </c>
    </row>
    <row r="852" spans="6:9" x14ac:dyDescent="0.3">
      <c r="F852" s="14">
        <v>842</v>
      </c>
      <c r="G852" s="15">
        <v>2376.2657004531329</v>
      </c>
      <c r="H852" s="15">
        <v>2334.4932694126683</v>
      </c>
      <c r="I852" s="16">
        <v>0.03</v>
      </c>
    </row>
    <row r="853" spans="6:9" x14ac:dyDescent="0.3">
      <c r="F853" s="14">
        <v>843</v>
      </c>
      <c r="G853" s="15">
        <v>2245.6072632780197</v>
      </c>
      <c r="H853" s="15">
        <v>2158.9279767882035</v>
      </c>
      <c r="I853" s="16">
        <v>6.7551889941651733E-2</v>
      </c>
    </row>
    <row r="854" spans="6:9" x14ac:dyDescent="0.3">
      <c r="F854" s="14">
        <v>844</v>
      </c>
      <c r="G854" s="15">
        <v>2220.1741648285092</v>
      </c>
      <c r="H854" s="15">
        <v>2215.5357864157972</v>
      </c>
      <c r="I854" s="16">
        <v>9.3445828963347966E-2</v>
      </c>
    </row>
    <row r="855" spans="6:9" x14ac:dyDescent="0.3">
      <c r="F855" s="14">
        <v>845</v>
      </c>
      <c r="G855" s="15">
        <v>2409.1024394275569</v>
      </c>
      <c r="H855" s="15">
        <v>2347.5322636625165</v>
      </c>
      <c r="I855" s="16">
        <v>0.03</v>
      </c>
    </row>
    <row r="856" spans="6:9" x14ac:dyDescent="0.3">
      <c r="F856" s="14">
        <v>846</v>
      </c>
      <c r="G856" s="15">
        <v>2102.6814994696265</v>
      </c>
      <c r="H856" s="15">
        <v>1739.3047550030815</v>
      </c>
      <c r="I856" s="16">
        <v>0</v>
      </c>
    </row>
    <row r="857" spans="6:9" x14ac:dyDescent="0.3">
      <c r="F857" s="14">
        <v>847</v>
      </c>
      <c r="G857" s="15">
        <v>2265.6213118137744</v>
      </c>
      <c r="H857" s="15">
        <v>1856.1722741840495</v>
      </c>
      <c r="I857" s="16">
        <v>0</v>
      </c>
    </row>
    <row r="858" spans="6:9" x14ac:dyDescent="0.3">
      <c r="F858" s="14">
        <v>848</v>
      </c>
      <c r="G858" s="15">
        <v>2686.7817366976446</v>
      </c>
      <c r="H858" s="15">
        <v>2607.8683365743373</v>
      </c>
      <c r="I858" s="16">
        <v>0.03</v>
      </c>
    </row>
    <row r="859" spans="6:9" x14ac:dyDescent="0.3">
      <c r="F859" s="14">
        <v>849</v>
      </c>
      <c r="G859" s="15">
        <v>2084.366419904673</v>
      </c>
      <c r="H859" s="15">
        <v>1975.0035372014868</v>
      </c>
      <c r="I859" s="16">
        <v>0</v>
      </c>
    </row>
    <row r="860" spans="6:9" x14ac:dyDescent="0.3">
      <c r="F860" s="14">
        <v>850</v>
      </c>
      <c r="G860" s="15">
        <v>2383.8250356273725</v>
      </c>
      <c r="H860" s="15">
        <v>1974.1960956089551</v>
      </c>
      <c r="I860" s="16">
        <v>0.03</v>
      </c>
    </row>
    <row r="861" spans="6:9" x14ac:dyDescent="0.3">
      <c r="F861" s="14">
        <v>851</v>
      </c>
      <c r="G861" s="15">
        <v>2296.0434986724417</v>
      </c>
      <c r="H861" s="15">
        <v>1788.1843616152767</v>
      </c>
      <c r="I861" s="16">
        <v>0</v>
      </c>
    </row>
    <row r="862" spans="6:9" x14ac:dyDescent="0.3">
      <c r="F862" s="14">
        <v>852</v>
      </c>
      <c r="G862" s="15">
        <v>2770.2052246751946</v>
      </c>
      <c r="H862" s="15">
        <v>2740.2092672463314</v>
      </c>
      <c r="I862" s="16">
        <v>0.03</v>
      </c>
    </row>
    <row r="863" spans="6:9" x14ac:dyDescent="0.3">
      <c r="F863" s="14">
        <v>853</v>
      </c>
      <c r="G863" s="15">
        <v>2015.6875035715038</v>
      </c>
      <c r="H863" s="15">
        <v>1712.1030035620636</v>
      </c>
      <c r="I863" s="16">
        <v>0</v>
      </c>
    </row>
    <row r="864" spans="6:9" x14ac:dyDescent="0.3">
      <c r="F864" s="14">
        <v>854</v>
      </c>
      <c r="G864" s="15">
        <v>2576.9384105930726</v>
      </c>
      <c r="H864" s="15">
        <v>2161.4242192502188</v>
      </c>
      <c r="I864" s="16">
        <v>0.03</v>
      </c>
    </row>
    <row r="865" spans="6:9" x14ac:dyDescent="0.3">
      <c r="F865" s="14">
        <v>855</v>
      </c>
      <c r="G865" s="15">
        <v>3278.9387996528098</v>
      </c>
      <c r="H865" s="15">
        <v>3209.8245790335795</v>
      </c>
      <c r="I865" s="16">
        <v>0.03</v>
      </c>
    </row>
    <row r="866" spans="6:9" x14ac:dyDescent="0.3">
      <c r="F866" s="14">
        <v>856</v>
      </c>
      <c r="G866" s="15">
        <v>2671.670657828543</v>
      </c>
      <c r="H866" s="15">
        <v>2155.0525358110663</v>
      </c>
      <c r="I866" s="16">
        <v>0.03</v>
      </c>
    </row>
    <row r="867" spans="6:9" x14ac:dyDescent="0.3">
      <c r="F867" s="14">
        <v>857</v>
      </c>
      <c r="G867" s="15">
        <v>2285.5998883126431</v>
      </c>
      <c r="H867" s="15">
        <v>2037.2708502387093</v>
      </c>
      <c r="I867" s="16">
        <v>1.1902638766743356E-2</v>
      </c>
    </row>
    <row r="868" spans="6:9" x14ac:dyDescent="0.3">
      <c r="F868" s="14">
        <v>858</v>
      </c>
      <c r="G868" s="15">
        <v>2236.4125840266429</v>
      </c>
      <c r="H868" s="15">
        <v>1304.7148754277998</v>
      </c>
      <c r="I868" s="16">
        <v>0</v>
      </c>
    </row>
    <row r="869" spans="6:9" x14ac:dyDescent="0.3">
      <c r="F869" s="14">
        <v>859</v>
      </c>
      <c r="G869" s="15">
        <v>2067.4869931581388</v>
      </c>
      <c r="H869" s="15">
        <v>1839.824893843758</v>
      </c>
      <c r="I869" s="16">
        <v>0</v>
      </c>
    </row>
    <row r="870" spans="6:9" x14ac:dyDescent="0.3">
      <c r="F870" s="14">
        <v>860</v>
      </c>
      <c r="G870" s="15">
        <v>2701.1922729443709</v>
      </c>
      <c r="H870" s="15">
        <v>2448.5579910028541</v>
      </c>
      <c r="I870" s="16">
        <v>0.03</v>
      </c>
    </row>
    <row r="871" spans="6:9" x14ac:dyDescent="0.3">
      <c r="F871" s="14">
        <v>861</v>
      </c>
      <c r="G871" s="15">
        <v>2144.563431801424</v>
      </c>
      <c r="H871" s="15">
        <v>1934.6027954479864</v>
      </c>
      <c r="I871" s="16">
        <v>0</v>
      </c>
    </row>
    <row r="872" spans="6:9" x14ac:dyDescent="0.3">
      <c r="F872" s="14">
        <v>862</v>
      </c>
      <c r="G872" s="15">
        <v>2764.7179001758641</v>
      </c>
      <c r="H872" s="15">
        <v>2635.93369180831</v>
      </c>
      <c r="I872" s="16">
        <v>0.03</v>
      </c>
    </row>
    <row r="873" spans="6:9" x14ac:dyDescent="0.3">
      <c r="F873" s="14">
        <v>863</v>
      </c>
      <c r="G873" s="15">
        <v>2457.8850399979742</v>
      </c>
      <c r="H873" s="15">
        <v>2388.0485581169337</v>
      </c>
      <c r="I873" s="16">
        <v>0.03</v>
      </c>
    </row>
    <row r="874" spans="6:9" x14ac:dyDescent="0.3">
      <c r="F874" s="14">
        <v>864</v>
      </c>
      <c r="G874" s="15">
        <v>2759.0976153464658</v>
      </c>
      <c r="H874" s="15">
        <v>2162.2997012763758</v>
      </c>
      <c r="I874" s="16">
        <v>0.03</v>
      </c>
    </row>
    <row r="875" spans="6:9" x14ac:dyDescent="0.3">
      <c r="F875" s="14">
        <v>865</v>
      </c>
      <c r="G875" s="15">
        <v>2521.4550472003316</v>
      </c>
      <c r="H875" s="15">
        <v>1918.4594106153131</v>
      </c>
      <c r="I875" s="16">
        <v>0.03</v>
      </c>
    </row>
    <row r="876" spans="6:9" x14ac:dyDescent="0.3">
      <c r="F876" s="14">
        <v>866</v>
      </c>
      <c r="G876" s="15">
        <v>2320.4172300879113</v>
      </c>
      <c r="H876" s="15">
        <v>1769.4037066849403</v>
      </c>
      <c r="I876" s="16">
        <v>0.03</v>
      </c>
    </row>
    <row r="877" spans="6:9" x14ac:dyDescent="0.3">
      <c r="F877" s="14">
        <v>867</v>
      </c>
      <c r="G877" s="15">
        <v>2261.4064405309946</v>
      </c>
      <c r="H877" s="15">
        <v>1859.2696856991015</v>
      </c>
      <c r="I877" s="16">
        <v>0</v>
      </c>
    </row>
    <row r="878" spans="6:9" x14ac:dyDescent="0.3">
      <c r="F878" s="14">
        <v>868</v>
      </c>
      <c r="G878" s="15">
        <v>2057.5629832418931</v>
      </c>
      <c r="H878" s="15">
        <v>1575.6377618686231</v>
      </c>
      <c r="I878" s="16">
        <v>0</v>
      </c>
    </row>
    <row r="879" spans="6:9" x14ac:dyDescent="0.3">
      <c r="F879" s="14">
        <v>869</v>
      </c>
      <c r="G879" s="15">
        <v>2684.485030066352</v>
      </c>
      <c r="H879" s="15">
        <v>2029.2191057580383</v>
      </c>
      <c r="I879" s="16">
        <v>0.03</v>
      </c>
    </row>
    <row r="880" spans="6:9" x14ac:dyDescent="0.3">
      <c r="F880" s="14">
        <v>870</v>
      </c>
      <c r="G880" s="15">
        <v>2305.1529565904689</v>
      </c>
      <c r="H880" s="15">
        <v>1940.3703830929048</v>
      </c>
      <c r="I880" s="16">
        <v>0</v>
      </c>
    </row>
    <row r="881" spans="6:9" x14ac:dyDescent="0.3">
      <c r="F881" s="14">
        <v>871</v>
      </c>
      <c r="G881" s="15">
        <v>2423.3581943048862</v>
      </c>
      <c r="H881" s="15">
        <v>1887.0489977454233</v>
      </c>
      <c r="I881" s="16">
        <v>0.03</v>
      </c>
    </row>
    <row r="882" spans="6:9" x14ac:dyDescent="0.3">
      <c r="F882" s="14">
        <v>872</v>
      </c>
      <c r="G882" s="15">
        <v>2295.5101923208854</v>
      </c>
      <c r="H882" s="15">
        <v>1841.4198188710252</v>
      </c>
      <c r="I882" s="16">
        <v>0</v>
      </c>
    </row>
    <row r="883" spans="6:9" x14ac:dyDescent="0.3">
      <c r="F883" s="14">
        <v>873</v>
      </c>
      <c r="G883" s="15">
        <v>2277.3614987323499</v>
      </c>
      <c r="H883" s="15">
        <v>1885.3239662821002</v>
      </c>
      <c r="I883" s="16">
        <v>0</v>
      </c>
    </row>
    <row r="884" spans="6:9" x14ac:dyDescent="0.3">
      <c r="F884" s="14">
        <v>874</v>
      </c>
      <c r="G884" s="15">
        <v>2058.9265307195446</v>
      </c>
      <c r="H884" s="15">
        <v>1923.4698745760727</v>
      </c>
      <c r="I884" s="16">
        <v>0</v>
      </c>
    </row>
    <row r="885" spans="6:9" x14ac:dyDescent="0.3">
      <c r="F885" s="14">
        <v>875</v>
      </c>
      <c r="G885" s="15">
        <v>2446.6006498632178</v>
      </c>
      <c r="H885" s="15">
        <v>2309.1818329410667</v>
      </c>
      <c r="I885" s="16">
        <v>0.03</v>
      </c>
    </row>
    <row r="886" spans="6:9" x14ac:dyDescent="0.3">
      <c r="F886" s="14">
        <v>876</v>
      </c>
      <c r="G886" s="15">
        <v>3618.4349644334293</v>
      </c>
      <c r="H886" s="15">
        <v>3561.7236935208439</v>
      </c>
      <c r="I886" s="16">
        <v>0.03</v>
      </c>
    </row>
    <row r="887" spans="6:9" x14ac:dyDescent="0.3">
      <c r="F887" s="14">
        <v>877</v>
      </c>
      <c r="G887" s="15">
        <v>2721.434161611051</v>
      </c>
      <c r="H887" s="15">
        <v>2671.1719068593807</v>
      </c>
      <c r="I887" s="16">
        <v>0.03</v>
      </c>
    </row>
    <row r="888" spans="6:9" x14ac:dyDescent="0.3">
      <c r="F888" s="14">
        <v>878</v>
      </c>
      <c r="G888" s="15">
        <v>2055.9236131324419</v>
      </c>
      <c r="H888" s="15">
        <v>1614.0527450543323</v>
      </c>
      <c r="I888" s="16">
        <v>0</v>
      </c>
    </row>
    <row r="889" spans="6:9" x14ac:dyDescent="0.3">
      <c r="F889" s="14">
        <v>879</v>
      </c>
      <c r="G889" s="15">
        <v>2228.5158608840761</v>
      </c>
      <c r="H889" s="15">
        <v>2012.0828692682194</v>
      </c>
      <c r="I889" s="16">
        <v>3.8097686849570601E-4</v>
      </c>
    </row>
    <row r="890" spans="6:9" x14ac:dyDescent="0.3">
      <c r="F890" s="14">
        <v>880</v>
      </c>
      <c r="G890" s="15">
        <v>2150.6856423618856</v>
      </c>
      <c r="H890" s="15">
        <v>1929.0030182384769</v>
      </c>
      <c r="I890" s="16">
        <v>0</v>
      </c>
    </row>
    <row r="891" spans="6:9" x14ac:dyDescent="0.3">
      <c r="F891" s="14">
        <v>881</v>
      </c>
      <c r="G891" s="15">
        <v>2437.637792738456</v>
      </c>
      <c r="H891" s="15">
        <v>2367.8187320637439</v>
      </c>
      <c r="I891" s="16">
        <v>0.03</v>
      </c>
    </row>
    <row r="892" spans="6:9" x14ac:dyDescent="0.3">
      <c r="F892" s="14">
        <v>882</v>
      </c>
      <c r="G892" s="15">
        <v>2090.1810861502036</v>
      </c>
      <c r="H892" s="15">
        <v>1493.3918120661967</v>
      </c>
      <c r="I892" s="16">
        <v>0</v>
      </c>
    </row>
    <row r="893" spans="6:9" x14ac:dyDescent="0.3">
      <c r="F893" s="14">
        <v>883</v>
      </c>
      <c r="G893" s="15">
        <v>2329.0765779182916</v>
      </c>
      <c r="H893" s="15">
        <v>2253.4116977661974</v>
      </c>
      <c r="I893" s="16">
        <v>0.03</v>
      </c>
    </row>
    <row r="894" spans="6:9" x14ac:dyDescent="0.3">
      <c r="F894" s="14">
        <v>884</v>
      </c>
      <c r="G894" s="15">
        <v>2462.9424405042337</v>
      </c>
      <c r="H894" s="15">
        <v>1794.511157417619</v>
      </c>
      <c r="I894" s="16">
        <v>0.03</v>
      </c>
    </row>
    <row r="895" spans="6:9" x14ac:dyDescent="0.3">
      <c r="F895" s="14">
        <v>885</v>
      </c>
      <c r="G895" s="15">
        <v>2123.611072668933</v>
      </c>
      <c r="H895" s="15">
        <v>1722.6545931447492</v>
      </c>
      <c r="I895" s="16">
        <v>0</v>
      </c>
    </row>
    <row r="896" spans="6:9" x14ac:dyDescent="0.3">
      <c r="F896" s="14">
        <v>886</v>
      </c>
      <c r="G896" s="15">
        <v>2635.1657133960616</v>
      </c>
      <c r="H896" s="15">
        <v>2543.7495872997479</v>
      </c>
      <c r="I896" s="16">
        <v>0.03</v>
      </c>
    </row>
    <row r="897" spans="6:9" x14ac:dyDescent="0.3">
      <c r="F897" s="14">
        <v>887</v>
      </c>
      <c r="G897" s="15">
        <v>2737.966123247144</v>
      </c>
      <c r="H897" s="15">
        <v>2075.6362397546995</v>
      </c>
      <c r="I897" s="16">
        <v>0.03</v>
      </c>
    </row>
    <row r="898" spans="6:9" x14ac:dyDescent="0.3">
      <c r="F898" s="14">
        <v>888</v>
      </c>
      <c r="G898" s="15">
        <v>2596.1392442258671</v>
      </c>
      <c r="H898" s="15">
        <v>2410.6930963715968</v>
      </c>
      <c r="I898" s="16">
        <v>0.03</v>
      </c>
    </row>
    <row r="899" spans="6:9" x14ac:dyDescent="0.3">
      <c r="F899" s="14">
        <v>889</v>
      </c>
      <c r="G899" s="15">
        <v>2656.429351667186</v>
      </c>
      <c r="H899" s="15">
        <v>2615.2537731547277</v>
      </c>
      <c r="I899" s="16">
        <v>0.03</v>
      </c>
    </row>
    <row r="900" spans="6:9" x14ac:dyDescent="0.3">
      <c r="F900" s="14">
        <v>890</v>
      </c>
      <c r="G900" s="15">
        <v>2714.4888463896577</v>
      </c>
      <c r="H900" s="15">
        <v>1941.736601416362</v>
      </c>
      <c r="I900" s="16">
        <v>0.03</v>
      </c>
    </row>
    <row r="901" spans="6:9" x14ac:dyDescent="0.3">
      <c r="F901" s="14">
        <v>891</v>
      </c>
      <c r="G901" s="15">
        <v>2037.7512738269218</v>
      </c>
      <c r="H901" s="15">
        <v>1528.7093226154943</v>
      </c>
      <c r="I901" s="16">
        <v>0</v>
      </c>
    </row>
    <row r="902" spans="6:9" x14ac:dyDescent="0.3">
      <c r="F902" s="14">
        <v>892</v>
      </c>
      <c r="G902" s="15">
        <v>2324.3522436208291</v>
      </c>
      <c r="H902" s="15">
        <v>2145.4563445636095</v>
      </c>
      <c r="I902" s="16">
        <v>0.03</v>
      </c>
    </row>
    <row r="903" spans="6:9" x14ac:dyDescent="0.3">
      <c r="F903" s="14">
        <v>893</v>
      </c>
      <c r="G903" s="15">
        <v>2771.190970384966</v>
      </c>
      <c r="H903" s="15">
        <v>2705.7990452897193</v>
      </c>
      <c r="I903" s="16">
        <v>0.03</v>
      </c>
    </row>
    <row r="904" spans="6:9" x14ac:dyDescent="0.3">
      <c r="F904" s="14">
        <v>894</v>
      </c>
      <c r="G904" s="15">
        <v>2129.21784161901</v>
      </c>
      <c r="H904" s="15">
        <v>1527.3652134614147</v>
      </c>
      <c r="I904" s="16">
        <v>0</v>
      </c>
    </row>
    <row r="905" spans="6:9" x14ac:dyDescent="0.3">
      <c r="F905" s="14">
        <v>895</v>
      </c>
      <c r="G905" s="15">
        <v>2897.6913083642426</v>
      </c>
      <c r="H905" s="15">
        <v>2730.9680016647467</v>
      </c>
      <c r="I905" s="16">
        <v>0.03</v>
      </c>
    </row>
    <row r="906" spans="6:9" x14ac:dyDescent="0.3">
      <c r="F906" s="14">
        <v>896</v>
      </c>
      <c r="G906" s="15">
        <v>2042.3781985967055</v>
      </c>
      <c r="H906" s="15">
        <v>1889.2932294803047</v>
      </c>
      <c r="I906" s="16">
        <v>0</v>
      </c>
    </row>
    <row r="907" spans="6:9" x14ac:dyDescent="0.3">
      <c r="F907" s="14">
        <v>897</v>
      </c>
      <c r="G907" s="15">
        <v>2180.7355976107833</v>
      </c>
      <c r="H907" s="15">
        <v>1815.193298000667</v>
      </c>
      <c r="I907" s="16">
        <v>0</v>
      </c>
    </row>
    <row r="908" spans="6:9" x14ac:dyDescent="0.3">
      <c r="F908" s="14">
        <v>898</v>
      </c>
      <c r="G908" s="15">
        <v>2776.4453249757739</v>
      </c>
      <c r="H908" s="15">
        <v>2435.4681154078166</v>
      </c>
      <c r="I908" s="16">
        <v>0.03</v>
      </c>
    </row>
    <row r="909" spans="6:9" x14ac:dyDescent="0.3">
      <c r="F909" s="14">
        <v>899</v>
      </c>
      <c r="G909" s="15">
        <v>3781.6417161072341</v>
      </c>
      <c r="H909" s="15">
        <v>3781.6417161072341</v>
      </c>
      <c r="I909" s="16">
        <v>0.03</v>
      </c>
    </row>
    <row r="910" spans="6:9" x14ac:dyDescent="0.3">
      <c r="F910" s="14">
        <v>900</v>
      </c>
      <c r="G910" s="15">
        <v>2126.3071327542143</v>
      </c>
      <c r="H910" s="15">
        <v>1830.3632376923438</v>
      </c>
      <c r="I910" s="16">
        <v>0</v>
      </c>
    </row>
    <row r="911" spans="6:9" x14ac:dyDescent="0.3">
      <c r="F911" s="14">
        <v>901</v>
      </c>
      <c r="G911" s="15">
        <v>2046.0250995052213</v>
      </c>
      <c r="H911" s="15">
        <v>1739.8256527360718</v>
      </c>
      <c r="I911" s="16">
        <v>0</v>
      </c>
    </row>
    <row r="912" spans="6:9" x14ac:dyDescent="0.3">
      <c r="F912" s="14">
        <v>902</v>
      </c>
      <c r="G912" s="15">
        <v>2110.8267131133289</v>
      </c>
      <c r="H912" s="15">
        <v>1492.6412160222308</v>
      </c>
      <c r="I912" s="16">
        <v>0</v>
      </c>
    </row>
    <row r="913" spans="6:9" x14ac:dyDescent="0.3">
      <c r="F913" s="14">
        <v>903</v>
      </c>
      <c r="G913" s="15">
        <v>2670.5329005595945</v>
      </c>
      <c r="H913" s="15">
        <v>2237.3375416832378</v>
      </c>
      <c r="I913" s="16">
        <v>0.03</v>
      </c>
    </row>
    <row r="914" spans="6:9" x14ac:dyDescent="0.3">
      <c r="F914" s="14">
        <v>904</v>
      </c>
      <c r="G914" s="15">
        <v>2201.5046079172503</v>
      </c>
      <c r="H914" s="15">
        <v>1690.2790051932639</v>
      </c>
      <c r="I914" s="16">
        <v>0</v>
      </c>
    </row>
    <row r="915" spans="6:9" x14ac:dyDescent="0.3">
      <c r="F915" s="14">
        <v>905</v>
      </c>
      <c r="G915" s="15">
        <v>2135.0735416282182</v>
      </c>
      <c r="H915" s="15">
        <v>1602.9937804134836</v>
      </c>
      <c r="I915" s="16">
        <v>0</v>
      </c>
    </row>
    <row r="916" spans="6:9" x14ac:dyDescent="0.3">
      <c r="F916" s="14">
        <v>906</v>
      </c>
      <c r="G916" s="15">
        <v>2534.8322183410446</v>
      </c>
      <c r="H916" s="15">
        <v>2048.9136621677453</v>
      </c>
      <c r="I916" s="16">
        <v>0.03</v>
      </c>
    </row>
    <row r="917" spans="6:9" x14ac:dyDescent="0.3">
      <c r="F917" s="14">
        <v>907</v>
      </c>
      <c r="G917" s="15">
        <v>2116.7441851513099</v>
      </c>
      <c r="H917" s="15">
        <v>2116.7441851513099</v>
      </c>
      <c r="I917" s="16">
        <v>4.8255885811910565E-2</v>
      </c>
    </row>
    <row r="918" spans="6:9" x14ac:dyDescent="0.3">
      <c r="F918" s="14">
        <v>908</v>
      </c>
      <c r="G918" s="15">
        <v>2828.5530668256447</v>
      </c>
      <c r="H918" s="15">
        <v>2754.0712183641813</v>
      </c>
      <c r="I918" s="16">
        <v>0.03</v>
      </c>
    </row>
    <row r="919" spans="6:9" x14ac:dyDescent="0.3">
      <c r="F919" s="14">
        <v>909</v>
      </c>
      <c r="G919" s="15">
        <v>2741.6135350952427</v>
      </c>
      <c r="H919" s="15">
        <v>2481.649687014969</v>
      </c>
      <c r="I919" s="16">
        <v>0.03</v>
      </c>
    </row>
    <row r="920" spans="6:9" x14ac:dyDescent="0.3">
      <c r="F920" s="14">
        <v>910</v>
      </c>
      <c r="G920" s="15">
        <v>2162.3639461993325</v>
      </c>
      <c r="H920" s="15">
        <v>1872.4235557523491</v>
      </c>
      <c r="I920" s="16">
        <v>0</v>
      </c>
    </row>
    <row r="921" spans="6:9" x14ac:dyDescent="0.3">
      <c r="F921" s="14">
        <v>911</v>
      </c>
      <c r="G921" s="15">
        <v>2060.8995469319966</v>
      </c>
      <c r="H921" s="15">
        <v>1816.6070484858787</v>
      </c>
      <c r="I921" s="16">
        <v>0</v>
      </c>
    </row>
    <row r="922" spans="6:9" x14ac:dyDescent="0.3">
      <c r="F922" s="14">
        <v>912</v>
      </c>
      <c r="G922" s="15">
        <v>2473.1427555628611</v>
      </c>
      <c r="H922" s="15">
        <v>2123.6725230362354</v>
      </c>
      <c r="I922" s="16">
        <v>0.03</v>
      </c>
    </row>
    <row r="923" spans="6:9" x14ac:dyDescent="0.3">
      <c r="F923" s="14">
        <v>913</v>
      </c>
      <c r="G923" s="15">
        <v>2024.5838434605544</v>
      </c>
      <c r="H923" s="15">
        <v>1684.1800982262566</v>
      </c>
      <c r="I923" s="16">
        <v>0</v>
      </c>
    </row>
    <row r="924" spans="6:9" x14ac:dyDescent="0.3">
      <c r="F924" s="14">
        <v>914</v>
      </c>
      <c r="G924" s="15">
        <v>2192.7078151023607</v>
      </c>
      <c r="H924" s="15">
        <v>1641.1771314746243</v>
      </c>
      <c r="I924" s="16">
        <v>0</v>
      </c>
    </row>
    <row r="925" spans="6:9" x14ac:dyDescent="0.3">
      <c r="F925" s="14">
        <v>915</v>
      </c>
      <c r="G925" s="15">
        <v>2050.0100620036628</v>
      </c>
      <c r="H925" s="15">
        <v>1651.5190629656267</v>
      </c>
      <c r="I925" s="16">
        <v>0</v>
      </c>
    </row>
    <row r="926" spans="6:9" x14ac:dyDescent="0.3">
      <c r="F926" s="14">
        <v>916</v>
      </c>
      <c r="G926" s="15">
        <v>2038.5888882996583</v>
      </c>
      <c r="H926" s="15">
        <v>1779.2293195557754</v>
      </c>
      <c r="I926" s="16">
        <v>0</v>
      </c>
    </row>
    <row r="927" spans="6:9" x14ac:dyDescent="0.3">
      <c r="F927" s="14">
        <v>917</v>
      </c>
      <c r="G927" s="15">
        <v>2550.5779027367539</v>
      </c>
      <c r="H927" s="15">
        <v>2363.0424208879799</v>
      </c>
      <c r="I927" s="16">
        <v>0.03</v>
      </c>
    </row>
    <row r="928" spans="6:9" x14ac:dyDescent="0.3">
      <c r="F928" s="14">
        <v>918</v>
      </c>
      <c r="G928" s="15">
        <v>2064.8832866169651</v>
      </c>
      <c r="H928" s="15">
        <v>1573.2676180704682</v>
      </c>
      <c r="I928" s="16">
        <v>0</v>
      </c>
    </row>
    <row r="929" spans="6:9" x14ac:dyDescent="0.3">
      <c r="F929" s="14">
        <v>919</v>
      </c>
      <c r="G929" s="15">
        <v>2256.5640580307136</v>
      </c>
      <c r="H929" s="15">
        <v>2087.1996821063453</v>
      </c>
      <c r="I929" s="16">
        <v>3.4741433207128657E-2</v>
      </c>
    </row>
    <row r="930" spans="6:9" x14ac:dyDescent="0.3">
      <c r="F930" s="14">
        <v>920</v>
      </c>
      <c r="G930" s="15">
        <v>2013.9922706953898</v>
      </c>
      <c r="H930" s="15">
        <v>1556.3880366559147</v>
      </c>
      <c r="I930" s="16">
        <v>0</v>
      </c>
    </row>
    <row r="931" spans="6:9" x14ac:dyDescent="0.3">
      <c r="F931" s="14">
        <v>921</v>
      </c>
      <c r="G931" s="15">
        <v>2064.6232696806946</v>
      </c>
      <c r="H931" s="15">
        <v>1577.2163231980182</v>
      </c>
      <c r="I931" s="16">
        <v>0</v>
      </c>
    </row>
    <row r="932" spans="6:9" x14ac:dyDescent="0.3">
      <c r="F932" s="14">
        <v>922</v>
      </c>
      <c r="G932" s="15">
        <v>2347.7847744282658</v>
      </c>
      <c r="H932" s="15">
        <v>2213.4651699517171</v>
      </c>
      <c r="I932" s="16">
        <v>0.03</v>
      </c>
    </row>
    <row r="933" spans="6:9" x14ac:dyDescent="0.3">
      <c r="F933" s="14">
        <v>923</v>
      </c>
      <c r="G933" s="15">
        <v>2393.6068650772249</v>
      </c>
      <c r="H933" s="15">
        <v>2393.6068650772249</v>
      </c>
      <c r="I933" s="16">
        <v>0.03</v>
      </c>
    </row>
    <row r="934" spans="6:9" x14ac:dyDescent="0.3">
      <c r="F934" s="14">
        <v>924</v>
      </c>
      <c r="G934" s="15">
        <v>2702.8681165653579</v>
      </c>
      <c r="H934" s="15">
        <v>2556.5022999460762</v>
      </c>
      <c r="I934" s="16">
        <v>0.03</v>
      </c>
    </row>
    <row r="935" spans="6:9" x14ac:dyDescent="0.3">
      <c r="F935" s="14">
        <v>925</v>
      </c>
      <c r="G935" s="15">
        <v>2469.0190899420732</v>
      </c>
      <c r="H935" s="15">
        <v>2005.8465922376777</v>
      </c>
      <c r="I935" s="16">
        <v>0.03</v>
      </c>
    </row>
    <row r="936" spans="6:9" x14ac:dyDescent="0.3">
      <c r="F936" s="14">
        <v>926</v>
      </c>
      <c r="G936" s="15">
        <v>2071.2787400997145</v>
      </c>
      <c r="H936" s="15">
        <v>1499.9487416765562</v>
      </c>
      <c r="I936" s="16">
        <v>0</v>
      </c>
    </row>
    <row r="937" spans="6:9" x14ac:dyDescent="0.3">
      <c r="F937" s="14">
        <v>927</v>
      </c>
      <c r="G937" s="15">
        <v>2317.0831074017347</v>
      </c>
      <c r="H937" s="15">
        <v>1928.5822210200413</v>
      </c>
      <c r="I937" s="16">
        <v>0.03</v>
      </c>
    </row>
    <row r="938" spans="6:9" x14ac:dyDescent="0.3">
      <c r="F938" s="14">
        <v>928</v>
      </c>
      <c r="G938" s="15">
        <v>2390.2620406761753</v>
      </c>
      <c r="H938" s="15">
        <v>2076.8936980178346</v>
      </c>
      <c r="I938" s="16">
        <v>0.03</v>
      </c>
    </row>
    <row r="939" spans="6:9" x14ac:dyDescent="0.3">
      <c r="F939" s="14">
        <v>929</v>
      </c>
      <c r="G939" s="15">
        <v>2026.1271096256601</v>
      </c>
      <c r="H939" s="15">
        <v>1545.5035562380676</v>
      </c>
      <c r="I939" s="16">
        <v>0</v>
      </c>
    </row>
    <row r="940" spans="6:9" x14ac:dyDescent="0.3">
      <c r="F940" s="14">
        <v>930</v>
      </c>
      <c r="G940" s="15">
        <v>2247.0670726288008</v>
      </c>
      <c r="H940" s="15">
        <v>2126.9664727408231</v>
      </c>
      <c r="I940" s="16">
        <v>5.2931835883931501E-2</v>
      </c>
    </row>
    <row r="941" spans="6:9" x14ac:dyDescent="0.3">
      <c r="F941" s="14">
        <v>931</v>
      </c>
      <c r="G941" s="15">
        <v>2291.006348507894</v>
      </c>
      <c r="H941" s="15">
        <v>2211.5377489994926</v>
      </c>
      <c r="I941" s="16">
        <v>9.1617018808966166E-2</v>
      </c>
    </row>
    <row r="942" spans="6:9" x14ac:dyDescent="0.3">
      <c r="F942" s="14">
        <v>932</v>
      </c>
      <c r="G942" s="15">
        <v>2627.7809122249055</v>
      </c>
      <c r="H942" s="15">
        <v>2448.7249116834087</v>
      </c>
      <c r="I942" s="16">
        <v>0.03</v>
      </c>
    </row>
    <row r="943" spans="6:9" x14ac:dyDescent="0.3">
      <c r="F943" s="14">
        <v>933</v>
      </c>
      <c r="G943" s="15">
        <v>2174.25181791972</v>
      </c>
      <c r="H943" s="15">
        <v>2019.0201996514936</v>
      </c>
      <c r="I943" s="16">
        <v>3.5542989083277468E-3</v>
      </c>
    </row>
    <row r="944" spans="6:9" x14ac:dyDescent="0.3">
      <c r="F944" s="14">
        <v>934</v>
      </c>
      <c r="G944" s="15">
        <v>2288.0209433091109</v>
      </c>
      <c r="H944" s="15">
        <v>1902.7461182321458</v>
      </c>
      <c r="I944" s="16">
        <v>0</v>
      </c>
    </row>
    <row r="945" spans="6:9" x14ac:dyDescent="0.3">
      <c r="F945" s="14">
        <v>935</v>
      </c>
      <c r="G945" s="15">
        <v>2444.4123185773224</v>
      </c>
      <c r="H945" s="15">
        <v>1905.159575830801</v>
      </c>
      <c r="I945" s="16">
        <v>0.03</v>
      </c>
    </row>
    <row r="946" spans="6:9" x14ac:dyDescent="0.3">
      <c r="F946" s="14">
        <v>936</v>
      </c>
      <c r="G946" s="15">
        <v>2847.4222835536534</v>
      </c>
      <c r="H946" s="15">
        <v>2847.4222835536534</v>
      </c>
      <c r="I946" s="16">
        <v>0.03</v>
      </c>
    </row>
    <row r="947" spans="6:9" x14ac:dyDescent="0.3">
      <c r="F947" s="14">
        <v>937</v>
      </c>
      <c r="G947" s="15">
        <v>2011.25</v>
      </c>
      <c r="H947" s="15">
        <v>1831.5388522381559</v>
      </c>
      <c r="I947" s="16">
        <v>0</v>
      </c>
    </row>
    <row r="948" spans="6:9" x14ac:dyDescent="0.3">
      <c r="F948" s="14">
        <v>938</v>
      </c>
      <c r="G948" s="15">
        <v>3056.1430251591059</v>
      </c>
      <c r="H948" s="15">
        <v>2664.9619272867258</v>
      </c>
      <c r="I948" s="16">
        <v>0.03</v>
      </c>
    </row>
    <row r="949" spans="6:9" x14ac:dyDescent="0.3">
      <c r="F949" s="14">
        <v>939</v>
      </c>
      <c r="G949" s="15">
        <v>3167.1013113020422</v>
      </c>
      <c r="H949" s="15">
        <v>3035.0162771562282</v>
      </c>
      <c r="I949" s="16">
        <v>0.03</v>
      </c>
    </row>
    <row r="950" spans="6:9" x14ac:dyDescent="0.3">
      <c r="F950" s="14">
        <v>940</v>
      </c>
      <c r="G950" s="15">
        <v>2378.5981467998527</v>
      </c>
      <c r="H950" s="15">
        <v>2239.3773930619718</v>
      </c>
      <c r="I950" s="16">
        <v>0.03</v>
      </c>
    </row>
    <row r="951" spans="6:9" x14ac:dyDescent="0.3">
      <c r="F951" s="14">
        <v>941</v>
      </c>
      <c r="G951" s="15">
        <v>2027.1937808668397</v>
      </c>
      <c r="H951" s="15">
        <v>1855.4434595832579</v>
      </c>
      <c r="I951" s="16">
        <v>0</v>
      </c>
    </row>
    <row r="952" spans="6:9" x14ac:dyDescent="0.3">
      <c r="F952" s="14">
        <v>942</v>
      </c>
      <c r="G952" s="15">
        <v>2519.0301626243272</v>
      </c>
      <c r="H952" s="15">
        <v>1929.3913241976263</v>
      </c>
      <c r="I952" s="16">
        <v>0.03</v>
      </c>
    </row>
    <row r="953" spans="6:9" x14ac:dyDescent="0.3">
      <c r="F953" s="14">
        <v>943</v>
      </c>
      <c r="G953" s="15">
        <v>2861.9091530047808</v>
      </c>
      <c r="H953" s="15">
        <v>2782.6612538327659</v>
      </c>
      <c r="I953" s="16">
        <v>0.03</v>
      </c>
    </row>
    <row r="954" spans="6:9" x14ac:dyDescent="0.3">
      <c r="F954" s="14">
        <v>944</v>
      </c>
      <c r="G954" s="15">
        <v>2700.8349211696886</v>
      </c>
      <c r="H954" s="15">
        <v>2238.6895599992267</v>
      </c>
      <c r="I954" s="16">
        <v>0.03</v>
      </c>
    </row>
    <row r="955" spans="6:9" x14ac:dyDescent="0.3">
      <c r="F955" s="14">
        <v>945</v>
      </c>
      <c r="G955" s="15">
        <v>2423.9102686384026</v>
      </c>
      <c r="H955" s="15">
        <v>2247.8506795254425</v>
      </c>
      <c r="I955" s="16">
        <v>0.03</v>
      </c>
    </row>
    <row r="956" spans="6:9" x14ac:dyDescent="0.3">
      <c r="F956" s="14">
        <v>946</v>
      </c>
      <c r="G956" s="15">
        <v>2102.2772915363744</v>
      </c>
      <c r="H956" s="15">
        <v>1508.9869642589795</v>
      </c>
      <c r="I956" s="16">
        <v>0</v>
      </c>
    </row>
    <row r="957" spans="6:9" x14ac:dyDescent="0.3">
      <c r="F957" s="14">
        <v>947</v>
      </c>
      <c r="G957" s="15">
        <v>2539.1425534102309</v>
      </c>
      <c r="H957" s="15">
        <v>1981.0227441522202</v>
      </c>
      <c r="I957" s="16">
        <v>0.03</v>
      </c>
    </row>
    <row r="958" spans="6:9" x14ac:dyDescent="0.3">
      <c r="F958" s="14">
        <v>948</v>
      </c>
      <c r="G958" s="15">
        <v>2417.9470003121755</v>
      </c>
      <c r="H958" s="15">
        <v>1799.7228559601217</v>
      </c>
      <c r="I958" s="16">
        <v>0.03</v>
      </c>
    </row>
    <row r="959" spans="6:9" x14ac:dyDescent="0.3">
      <c r="F959" s="14">
        <v>949</v>
      </c>
      <c r="G959" s="15">
        <v>2304.9449555506203</v>
      </c>
      <c r="H959" s="15">
        <v>2075.1385187329706</v>
      </c>
      <c r="I959" s="16">
        <v>2.9224331751066705E-2</v>
      </c>
    </row>
    <row r="960" spans="6:9" x14ac:dyDescent="0.3">
      <c r="F960" s="14">
        <v>950</v>
      </c>
      <c r="G960" s="15">
        <v>2446.0876115855294</v>
      </c>
      <c r="H960" s="15">
        <v>2011.5326994407535</v>
      </c>
      <c r="I960" s="16">
        <v>0.03</v>
      </c>
    </row>
    <row r="961" spans="6:9" x14ac:dyDescent="0.3">
      <c r="F961" s="14">
        <v>951</v>
      </c>
      <c r="G961" s="15">
        <v>2684.7694506867538</v>
      </c>
      <c r="H961" s="15">
        <v>2530.2979533544226</v>
      </c>
      <c r="I961" s="16">
        <v>0.03</v>
      </c>
    </row>
    <row r="962" spans="6:9" x14ac:dyDescent="0.3">
      <c r="F962" s="14">
        <v>952</v>
      </c>
      <c r="G962" s="15">
        <v>2076.2517762939747</v>
      </c>
      <c r="H962" s="15">
        <v>1651.356252957027</v>
      </c>
      <c r="I962" s="16">
        <v>0</v>
      </c>
    </row>
    <row r="963" spans="6:9" x14ac:dyDescent="0.3">
      <c r="F963" s="14">
        <v>953</v>
      </c>
      <c r="G963" s="15">
        <v>2233.5596770903549</v>
      </c>
      <c r="H963" s="15">
        <v>2097.9365384443531</v>
      </c>
      <c r="I963" s="16">
        <v>3.9652760904315597E-2</v>
      </c>
    </row>
    <row r="964" spans="6:9" x14ac:dyDescent="0.3">
      <c r="F964" s="14">
        <v>954</v>
      </c>
      <c r="G964" s="15">
        <v>2757.7737010803112</v>
      </c>
      <c r="H964" s="15">
        <v>2646.470318814916</v>
      </c>
      <c r="I964" s="16">
        <v>0.03</v>
      </c>
    </row>
    <row r="965" spans="6:9" x14ac:dyDescent="0.3">
      <c r="F965" s="14">
        <v>955</v>
      </c>
      <c r="G965" s="15">
        <v>2518.2915233147905</v>
      </c>
      <c r="H965" s="15">
        <v>1784.4769562579907</v>
      </c>
      <c r="I965" s="16">
        <v>0.03</v>
      </c>
    </row>
    <row r="966" spans="6:9" x14ac:dyDescent="0.3">
      <c r="F966" s="14">
        <v>956</v>
      </c>
      <c r="G966" s="15">
        <v>2269.5380971428381</v>
      </c>
      <c r="H966" s="15">
        <v>1817.1520107831257</v>
      </c>
      <c r="I966" s="16">
        <v>0</v>
      </c>
    </row>
    <row r="967" spans="6:9" x14ac:dyDescent="0.3">
      <c r="F967" s="14">
        <v>957</v>
      </c>
      <c r="G967" s="15">
        <v>2429.6444887502885</v>
      </c>
      <c r="H967" s="15">
        <v>2406.865583418421</v>
      </c>
      <c r="I967" s="16">
        <v>0.03</v>
      </c>
    </row>
    <row r="968" spans="6:9" x14ac:dyDescent="0.3">
      <c r="F968" s="14">
        <v>958</v>
      </c>
      <c r="G968" s="15">
        <v>2593.9737008428742</v>
      </c>
      <c r="H968" s="15">
        <v>2297.847220405125</v>
      </c>
      <c r="I968" s="16">
        <v>0.03</v>
      </c>
    </row>
    <row r="969" spans="6:9" x14ac:dyDescent="0.3">
      <c r="F969" s="14">
        <v>959</v>
      </c>
      <c r="G969" s="15">
        <v>2193.3695194493334</v>
      </c>
      <c r="H969" s="15">
        <v>2071.1763014325584</v>
      </c>
      <c r="I969" s="16">
        <v>2.7411906683880008E-2</v>
      </c>
    </row>
    <row r="970" spans="6:9" x14ac:dyDescent="0.3">
      <c r="F970" s="14">
        <v>960</v>
      </c>
      <c r="G970" s="15">
        <v>2225.7009397560569</v>
      </c>
      <c r="H970" s="15">
        <v>2145.2591309302929</v>
      </c>
      <c r="I970" s="16">
        <v>6.1299391152700888E-2</v>
      </c>
    </row>
    <row r="971" spans="6:9" x14ac:dyDescent="0.3">
      <c r="F971" s="14">
        <v>961</v>
      </c>
      <c r="G971" s="15">
        <v>2351.9124144511798</v>
      </c>
      <c r="H971" s="15">
        <v>1873.7257275238121</v>
      </c>
      <c r="I971" s="16">
        <v>0.03</v>
      </c>
    </row>
    <row r="972" spans="6:9" x14ac:dyDescent="0.3">
      <c r="F972" s="14">
        <v>962</v>
      </c>
      <c r="G972" s="15">
        <v>2391.9648127519472</v>
      </c>
      <c r="H972" s="15">
        <v>2387.4185591924002</v>
      </c>
      <c r="I972" s="16">
        <v>0.03</v>
      </c>
    </row>
    <row r="973" spans="6:9" x14ac:dyDescent="0.3">
      <c r="F973" s="14">
        <v>963</v>
      </c>
      <c r="G973" s="15">
        <v>2136.4069335172198</v>
      </c>
      <c r="H973" s="15">
        <v>1827.1802136251654</v>
      </c>
      <c r="I973" s="16">
        <v>0</v>
      </c>
    </row>
    <row r="974" spans="6:9" x14ac:dyDescent="0.3">
      <c r="F974" s="14">
        <v>964</v>
      </c>
      <c r="G974" s="15">
        <v>2387.3210026114343</v>
      </c>
      <c r="H974" s="15">
        <v>2055.3750671664147</v>
      </c>
      <c r="I974" s="16">
        <v>0.03</v>
      </c>
    </row>
    <row r="975" spans="6:9" x14ac:dyDescent="0.3">
      <c r="F975" s="14">
        <v>965</v>
      </c>
      <c r="G975" s="15">
        <v>2408.1061393588452</v>
      </c>
      <c r="H975" s="15">
        <v>2197.4956145442393</v>
      </c>
      <c r="I975" s="16">
        <v>0.03</v>
      </c>
    </row>
    <row r="976" spans="6:9" x14ac:dyDescent="0.3">
      <c r="F976" s="14">
        <v>966</v>
      </c>
      <c r="G976" s="15">
        <v>2552.8300569651487</v>
      </c>
      <c r="H976" s="15">
        <v>2376.4638436589348</v>
      </c>
      <c r="I976" s="16">
        <v>0.03</v>
      </c>
    </row>
    <row r="977" spans="6:9" x14ac:dyDescent="0.3">
      <c r="F977" s="14">
        <v>967</v>
      </c>
      <c r="G977" s="15">
        <v>2063.7637937883178</v>
      </c>
      <c r="H977" s="15">
        <v>2051.1565943686373</v>
      </c>
      <c r="I977" s="16">
        <v>1.825435267577202E-2</v>
      </c>
    </row>
    <row r="978" spans="6:9" x14ac:dyDescent="0.3">
      <c r="F978" s="14">
        <v>968</v>
      </c>
      <c r="G978" s="15">
        <v>2364.7195031475057</v>
      </c>
      <c r="H978" s="15">
        <v>2181.1754805999517</v>
      </c>
      <c r="I978" s="16">
        <v>0.03</v>
      </c>
    </row>
    <row r="979" spans="6:9" x14ac:dyDescent="0.3">
      <c r="F979" s="14">
        <v>969</v>
      </c>
      <c r="G979" s="15">
        <v>2263.057929091985</v>
      </c>
      <c r="H979" s="15">
        <v>1988.8242532687605</v>
      </c>
      <c r="I979" s="16">
        <v>0</v>
      </c>
    </row>
    <row r="980" spans="6:9" x14ac:dyDescent="0.3">
      <c r="F980" s="14">
        <v>970</v>
      </c>
      <c r="G980" s="15">
        <v>2053.4250914849331</v>
      </c>
      <c r="H980" s="15">
        <v>1665.9837195155487</v>
      </c>
      <c r="I980" s="16">
        <v>0</v>
      </c>
    </row>
    <row r="981" spans="6:9" x14ac:dyDescent="0.3">
      <c r="F981" s="14">
        <v>971</v>
      </c>
      <c r="G981" s="15">
        <v>2496.9137563144359</v>
      </c>
      <c r="H981" s="15">
        <v>2152.6284428337267</v>
      </c>
      <c r="I981" s="16">
        <v>0.03</v>
      </c>
    </row>
    <row r="982" spans="6:9" x14ac:dyDescent="0.3">
      <c r="F982" s="14">
        <v>972</v>
      </c>
      <c r="G982" s="15">
        <v>2194.3602603877875</v>
      </c>
      <c r="H982" s="15">
        <v>1893.0546329218093</v>
      </c>
      <c r="I982" s="16">
        <v>0</v>
      </c>
    </row>
    <row r="983" spans="6:9" x14ac:dyDescent="0.3">
      <c r="F983" s="14">
        <v>973</v>
      </c>
      <c r="G983" s="15">
        <v>2495.2222329960077</v>
      </c>
      <c r="H983" s="15">
        <v>2325.9893263025551</v>
      </c>
      <c r="I983" s="16">
        <v>0.03</v>
      </c>
    </row>
    <row r="984" spans="6:9" x14ac:dyDescent="0.3">
      <c r="F984" s="14">
        <v>974</v>
      </c>
      <c r="G984" s="15">
        <v>2107.1563046328693</v>
      </c>
      <c r="H984" s="15">
        <v>1906.220685740715</v>
      </c>
      <c r="I984" s="16">
        <v>0</v>
      </c>
    </row>
    <row r="985" spans="6:9" x14ac:dyDescent="0.3">
      <c r="F985" s="14">
        <v>975</v>
      </c>
      <c r="G985" s="15">
        <v>2249.0503783835943</v>
      </c>
      <c r="H985" s="15">
        <v>2135.3049884146944</v>
      </c>
      <c r="I985" s="16">
        <v>5.674609787023939E-2</v>
      </c>
    </row>
    <row r="986" spans="6:9" x14ac:dyDescent="0.3">
      <c r="F986" s="14">
        <v>976</v>
      </c>
      <c r="G986" s="15">
        <v>2131.3598411484886</v>
      </c>
      <c r="H986" s="15">
        <v>1765.3057500012435</v>
      </c>
      <c r="I986" s="16">
        <v>0</v>
      </c>
    </row>
    <row r="987" spans="6:9" x14ac:dyDescent="0.3">
      <c r="F987" s="14">
        <v>977</v>
      </c>
      <c r="G987" s="15">
        <v>2163.4452676491069</v>
      </c>
      <c r="H987" s="15">
        <v>1725.4267801863793</v>
      </c>
      <c r="I987" s="16">
        <v>0</v>
      </c>
    </row>
    <row r="988" spans="6:9" x14ac:dyDescent="0.3">
      <c r="F988" s="14">
        <v>978</v>
      </c>
      <c r="G988" s="15">
        <v>2217.2299690719988</v>
      </c>
      <c r="H988" s="15">
        <v>1749.0514804796649</v>
      </c>
      <c r="I988" s="16">
        <v>0</v>
      </c>
    </row>
    <row r="989" spans="6:9" x14ac:dyDescent="0.3">
      <c r="F989" s="14">
        <v>979</v>
      </c>
      <c r="G989" s="15">
        <v>2221.0842242094222</v>
      </c>
      <c r="H989" s="15">
        <v>1646.6327236676204</v>
      </c>
      <c r="I989" s="16">
        <v>0</v>
      </c>
    </row>
    <row r="990" spans="6:9" x14ac:dyDescent="0.3">
      <c r="F990" s="14">
        <v>980</v>
      </c>
      <c r="G990" s="15">
        <v>2145.9338844604122</v>
      </c>
      <c r="H990" s="15">
        <v>2072.4588498988792</v>
      </c>
      <c r="I990" s="16">
        <v>2.7998578946908118E-2</v>
      </c>
    </row>
    <row r="991" spans="6:9" x14ac:dyDescent="0.3">
      <c r="F991" s="14">
        <v>981</v>
      </c>
      <c r="G991" s="15">
        <v>2064.2354584050022</v>
      </c>
      <c r="H991" s="15">
        <v>1777.1420730643099</v>
      </c>
      <c r="I991" s="16">
        <v>0</v>
      </c>
    </row>
    <row r="992" spans="6:9" x14ac:dyDescent="0.3">
      <c r="F992" s="14">
        <v>982</v>
      </c>
      <c r="G992" s="15">
        <v>2044.495870424912</v>
      </c>
      <c r="H992" s="15">
        <v>1130.479093960606</v>
      </c>
      <c r="I992" s="16">
        <v>0</v>
      </c>
    </row>
    <row r="993" spans="6:9" x14ac:dyDescent="0.3">
      <c r="F993" s="14">
        <v>983</v>
      </c>
      <c r="G993" s="15">
        <v>2650.3805181737625</v>
      </c>
      <c r="H993" s="15">
        <v>2039.2357562695479</v>
      </c>
      <c r="I993" s="16">
        <v>0.03</v>
      </c>
    </row>
    <row r="994" spans="6:9" x14ac:dyDescent="0.3">
      <c r="F994" s="14">
        <v>984</v>
      </c>
      <c r="G994" s="15">
        <v>2426.7310908235559</v>
      </c>
      <c r="H994" s="15">
        <v>2070.581719519907</v>
      </c>
      <c r="I994" s="16">
        <v>0.03</v>
      </c>
    </row>
    <row r="995" spans="6:9" x14ac:dyDescent="0.3">
      <c r="F995" s="14">
        <v>985</v>
      </c>
      <c r="G995" s="15">
        <v>2455.9744442125475</v>
      </c>
      <c r="H995" s="15">
        <v>2442.7580030100357</v>
      </c>
      <c r="I995" s="16">
        <v>0.03</v>
      </c>
    </row>
    <row r="996" spans="6:9" x14ac:dyDescent="0.3">
      <c r="F996" s="14">
        <v>986</v>
      </c>
      <c r="G996" s="15">
        <v>2206.0647123813569</v>
      </c>
      <c r="H996" s="15">
        <v>1832.5159032787526</v>
      </c>
      <c r="I996" s="16">
        <v>0</v>
      </c>
    </row>
    <row r="997" spans="6:9" x14ac:dyDescent="0.3">
      <c r="F997" s="14">
        <v>987</v>
      </c>
      <c r="G997" s="15">
        <v>2011.25</v>
      </c>
      <c r="H997" s="15">
        <v>1845.7122756615336</v>
      </c>
      <c r="I997" s="16">
        <v>0</v>
      </c>
    </row>
    <row r="998" spans="6:9" x14ac:dyDescent="0.3">
      <c r="F998" s="14">
        <v>988</v>
      </c>
      <c r="G998" s="15">
        <v>2414.789615977249</v>
      </c>
      <c r="H998" s="15">
        <v>1674.1299647880448</v>
      </c>
      <c r="I998" s="16">
        <v>0.03</v>
      </c>
    </row>
    <row r="999" spans="6:9" x14ac:dyDescent="0.3">
      <c r="F999" s="14">
        <v>989</v>
      </c>
      <c r="G999" s="15">
        <v>2119.1575852518381</v>
      </c>
      <c r="H999" s="15">
        <v>1857.4721920687293</v>
      </c>
      <c r="I999" s="16">
        <v>0</v>
      </c>
    </row>
    <row r="1000" spans="6:9" x14ac:dyDescent="0.3">
      <c r="F1000" s="14">
        <v>990</v>
      </c>
      <c r="G1000" s="15">
        <v>2910.6295014661923</v>
      </c>
      <c r="H1000" s="15">
        <v>2881.8327989614272</v>
      </c>
      <c r="I1000" s="16">
        <v>0.03</v>
      </c>
    </row>
    <row r="1001" spans="6:9" x14ac:dyDescent="0.3">
      <c r="F1001" s="14">
        <v>991</v>
      </c>
      <c r="G1001" s="15">
        <v>2119.6106752387677</v>
      </c>
      <c r="H1001" s="15">
        <v>1580.3375691401445</v>
      </c>
      <c r="I1001" s="16">
        <v>0</v>
      </c>
    </row>
    <row r="1002" spans="6:9" x14ac:dyDescent="0.3">
      <c r="F1002" s="14">
        <v>992</v>
      </c>
      <c r="G1002" s="15">
        <v>2835.2726811919488</v>
      </c>
      <c r="H1002" s="15">
        <v>2686.2456925308511</v>
      </c>
      <c r="I1002" s="16">
        <v>0.03</v>
      </c>
    </row>
    <row r="1003" spans="6:9" x14ac:dyDescent="0.3">
      <c r="F1003" s="14">
        <v>993</v>
      </c>
      <c r="G1003" s="15">
        <v>2203.5418351524822</v>
      </c>
      <c r="H1003" s="15">
        <v>1309.2271601492478</v>
      </c>
      <c r="I1003" s="16">
        <v>0</v>
      </c>
    </row>
    <row r="1004" spans="6:9" x14ac:dyDescent="0.3">
      <c r="F1004" s="14">
        <v>994</v>
      </c>
      <c r="G1004" s="15">
        <v>2191.2701641616618</v>
      </c>
      <c r="H1004" s="15">
        <v>1759.5172184486214</v>
      </c>
      <c r="I1004" s="16">
        <v>0</v>
      </c>
    </row>
    <row r="1005" spans="6:9" x14ac:dyDescent="0.3">
      <c r="F1005" s="14">
        <v>995</v>
      </c>
      <c r="G1005" s="15">
        <v>2755.8494287930762</v>
      </c>
      <c r="H1005" s="15">
        <v>2474.6803090659691</v>
      </c>
      <c r="I1005" s="16">
        <v>0.03</v>
      </c>
    </row>
    <row r="1006" spans="6:9" x14ac:dyDescent="0.3">
      <c r="F1006" s="14">
        <v>996</v>
      </c>
      <c r="G1006" s="15">
        <v>2344.4337876249997</v>
      </c>
      <c r="H1006" s="15">
        <v>2291.9402930986744</v>
      </c>
      <c r="I1006" s="16">
        <v>0.03</v>
      </c>
    </row>
    <row r="1007" spans="6:9" x14ac:dyDescent="0.3">
      <c r="F1007" s="14">
        <v>997</v>
      </c>
      <c r="G1007" s="15">
        <v>2239.2235037558889</v>
      </c>
      <c r="H1007" s="15">
        <v>2068.7508876144107</v>
      </c>
      <c r="I1007" s="16">
        <v>2.6302456982104535E-2</v>
      </c>
    </row>
    <row r="1008" spans="6:9" x14ac:dyDescent="0.3">
      <c r="F1008" s="14">
        <v>998</v>
      </c>
      <c r="G1008" s="15">
        <v>2200.2266251102324</v>
      </c>
      <c r="H1008" s="15">
        <v>2000.0579760267108</v>
      </c>
      <c r="I1008" s="16">
        <v>0</v>
      </c>
    </row>
    <row r="1009" spans="6:9" x14ac:dyDescent="0.3">
      <c r="F1009" s="14">
        <v>999</v>
      </c>
      <c r="G1009" s="15">
        <v>2306.0853236391577</v>
      </c>
      <c r="H1009" s="15">
        <v>1996.1934387357369</v>
      </c>
      <c r="I1009" s="16">
        <v>0</v>
      </c>
    </row>
    <row r="1010" spans="6:9" x14ac:dyDescent="0.3">
      <c r="F1010" s="14">
        <v>1000</v>
      </c>
      <c r="G1010" s="15">
        <v>2128.3855734905028</v>
      </c>
      <c r="H1010" s="15">
        <v>2050.6271574771222</v>
      </c>
      <c r="I1010" s="16">
        <v>1.8012173960945985E-2</v>
      </c>
    </row>
    <row r="1011" spans="6:9" x14ac:dyDescent="0.3">
      <c r="F1011" s="14"/>
      <c r="G1011" s="15"/>
      <c r="H1011" s="15"/>
      <c r="I1011" s="16"/>
    </row>
    <row r="1012" spans="6:9" x14ac:dyDescent="0.3">
      <c r="F1012" s="14"/>
      <c r="G1012" s="15"/>
      <c r="H1012" s="15"/>
      <c r="I1012" s="16"/>
    </row>
    <row r="1013" spans="6:9" x14ac:dyDescent="0.3">
      <c r="F1013" s="14"/>
      <c r="G1013" s="15"/>
      <c r="H1013" s="15"/>
      <c r="I1013" s="16"/>
    </row>
    <row r="1014" spans="6:9" x14ac:dyDescent="0.3">
      <c r="F1014" s="14"/>
      <c r="G1014" s="15"/>
      <c r="H1014" s="15"/>
      <c r="I1014" s="16"/>
    </row>
    <row r="1015" spans="6:9" x14ac:dyDescent="0.3">
      <c r="F1015" s="14"/>
      <c r="G1015" s="15"/>
      <c r="H1015" s="15"/>
      <c r="I1015" s="16"/>
    </row>
    <row r="1016" spans="6:9" x14ac:dyDescent="0.3">
      <c r="F1016" s="14"/>
      <c r="G1016" s="15"/>
      <c r="H1016" s="15"/>
      <c r="I1016" s="16"/>
    </row>
    <row r="1017" spans="6:9" x14ac:dyDescent="0.3">
      <c r="F1017" s="14"/>
      <c r="G1017" s="15"/>
      <c r="H1017" s="15"/>
      <c r="I1017" s="16"/>
    </row>
    <row r="1018" spans="6:9" x14ac:dyDescent="0.3">
      <c r="F1018" s="14"/>
      <c r="G1018" s="15"/>
      <c r="H1018" s="15"/>
      <c r="I1018" s="16"/>
    </row>
    <row r="1019" spans="6:9" x14ac:dyDescent="0.3">
      <c r="F1019" s="14"/>
      <c r="G1019" s="15"/>
      <c r="H1019" s="15"/>
      <c r="I1019" s="16"/>
    </row>
    <row r="1020" spans="6:9" x14ac:dyDescent="0.3">
      <c r="F1020" s="14"/>
      <c r="G1020" s="15"/>
      <c r="H1020" s="15"/>
      <c r="I1020" s="16"/>
    </row>
    <row r="1021" spans="6:9" x14ac:dyDescent="0.3">
      <c r="F1021" s="14"/>
      <c r="G1021" s="15"/>
      <c r="H1021" s="15"/>
      <c r="I1021" s="16"/>
    </row>
    <row r="1022" spans="6:9" x14ac:dyDescent="0.3">
      <c r="F1022" s="14"/>
      <c r="G1022" s="15"/>
      <c r="H1022" s="15"/>
      <c r="I1022" s="16"/>
    </row>
    <row r="1023" spans="6:9" x14ac:dyDescent="0.3">
      <c r="F1023" s="14"/>
      <c r="G1023" s="15"/>
      <c r="H1023" s="15"/>
      <c r="I1023" s="16"/>
    </row>
    <row r="1024" spans="6:9" x14ac:dyDescent="0.3">
      <c r="F1024" s="14"/>
      <c r="G1024" s="15"/>
      <c r="H1024" s="15"/>
      <c r="I1024" s="16"/>
    </row>
    <row r="1025" spans="6:9" x14ac:dyDescent="0.3">
      <c r="F1025" s="14"/>
      <c r="G1025" s="15"/>
      <c r="H1025" s="15"/>
      <c r="I1025" s="16"/>
    </row>
    <row r="1026" spans="6:9" x14ac:dyDescent="0.3">
      <c r="F1026" s="14"/>
      <c r="G1026" s="15"/>
      <c r="H1026" s="15"/>
      <c r="I1026" s="16"/>
    </row>
    <row r="1027" spans="6:9" x14ac:dyDescent="0.3">
      <c r="F1027" s="14"/>
      <c r="G1027" s="15"/>
      <c r="H1027" s="15"/>
      <c r="I1027" s="16"/>
    </row>
    <row r="1028" spans="6:9" x14ac:dyDescent="0.3">
      <c r="F1028" s="14"/>
      <c r="G1028" s="15"/>
      <c r="H1028" s="15"/>
      <c r="I1028" s="16"/>
    </row>
    <row r="1029" spans="6:9" x14ac:dyDescent="0.3">
      <c r="F1029" s="14"/>
      <c r="G1029" s="15"/>
      <c r="H1029" s="15"/>
      <c r="I1029" s="16"/>
    </row>
    <row r="1030" spans="6:9" x14ac:dyDescent="0.3">
      <c r="F1030" s="14"/>
      <c r="G1030" s="15"/>
      <c r="H1030" s="15"/>
      <c r="I1030" s="16"/>
    </row>
    <row r="1031" spans="6:9" x14ac:dyDescent="0.3">
      <c r="F1031" s="14"/>
      <c r="G1031" s="15"/>
      <c r="H1031" s="15"/>
      <c r="I1031" s="16"/>
    </row>
    <row r="1032" spans="6:9" x14ac:dyDescent="0.3">
      <c r="F1032" s="14"/>
      <c r="G1032" s="15"/>
      <c r="H1032" s="15"/>
      <c r="I1032" s="16"/>
    </row>
    <row r="1033" spans="6:9" x14ac:dyDescent="0.3">
      <c r="F1033" s="14"/>
      <c r="G1033" s="15"/>
      <c r="H1033" s="15"/>
      <c r="I1033" s="16"/>
    </row>
    <row r="1034" spans="6:9" x14ac:dyDescent="0.3">
      <c r="F1034" s="14"/>
      <c r="G1034" s="15"/>
      <c r="H1034" s="15"/>
      <c r="I1034" s="16"/>
    </row>
    <row r="1035" spans="6:9" x14ac:dyDescent="0.3">
      <c r="F1035" s="14"/>
      <c r="G1035" s="15"/>
      <c r="H1035" s="15"/>
      <c r="I1035" s="16"/>
    </row>
    <row r="1036" spans="6:9" x14ac:dyDescent="0.3">
      <c r="F1036" s="14"/>
      <c r="G1036" s="15"/>
      <c r="H1036" s="15"/>
      <c r="I1036" s="16"/>
    </row>
    <row r="1037" spans="6:9" x14ac:dyDescent="0.3">
      <c r="F1037" s="14"/>
      <c r="G1037" s="15"/>
      <c r="H1037" s="15"/>
      <c r="I1037" s="16"/>
    </row>
    <row r="1038" spans="6:9" x14ac:dyDescent="0.3">
      <c r="F1038" s="14"/>
      <c r="G1038" s="15"/>
      <c r="H1038" s="15"/>
      <c r="I1038" s="16"/>
    </row>
    <row r="1039" spans="6:9" x14ac:dyDescent="0.3">
      <c r="F1039" s="14"/>
      <c r="G1039" s="15"/>
      <c r="H1039" s="15"/>
      <c r="I1039" s="16"/>
    </row>
    <row r="1040" spans="6:9" x14ac:dyDescent="0.3">
      <c r="F1040" s="14"/>
      <c r="G1040" s="15"/>
      <c r="H1040" s="15"/>
      <c r="I1040" s="16"/>
    </row>
    <row r="1041" spans="6:9" x14ac:dyDescent="0.3">
      <c r="F1041" s="14"/>
      <c r="G1041" s="15"/>
      <c r="H1041" s="15"/>
      <c r="I1041" s="16"/>
    </row>
    <row r="1042" spans="6:9" x14ac:dyDescent="0.3">
      <c r="F1042" s="14"/>
      <c r="G1042" s="15"/>
      <c r="H1042" s="15"/>
      <c r="I1042" s="16"/>
    </row>
    <row r="1043" spans="6:9" x14ac:dyDescent="0.3">
      <c r="F1043" s="14"/>
      <c r="G1043" s="15"/>
      <c r="H1043" s="15"/>
      <c r="I1043" s="16"/>
    </row>
    <row r="1044" spans="6:9" x14ac:dyDescent="0.3">
      <c r="F1044" s="14"/>
      <c r="G1044" s="15"/>
      <c r="H1044" s="15"/>
      <c r="I1044" s="16"/>
    </row>
    <row r="1045" spans="6:9" x14ac:dyDescent="0.3">
      <c r="F1045" s="14"/>
      <c r="G1045" s="15"/>
      <c r="H1045" s="15"/>
      <c r="I1045" s="16"/>
    </row>
    <row r="1046" spans="6:9" x14ac:dyDescent="0.3">
      <c r="F1046" s="14"/>
      <c r="G1046" s="15"/>
      <c r="H1046" s="15"/>
      <c r="I1046" s="16"/>
    </row>
    <row r="1047" spans="6:9" x14ac:dyDescent="0.3">
      <c r="F1047" s="14"/>
      <c r="G1047" s="15"/>
      <c r="H1047" s="15"/>
      <c r="I1047" s="16"/>
    </row>
    <row r="1048" spans="6:9" x14ac:dyDescent="0.3">
      <c r="F1048" s="14"/>
      <c r="G1048" s="15"/>
      <c r="H1048" s="15"/>
      <c r="I1048" s="16"/>
    </row>
    <row r="1049" spans="6:9" x14ac:dyDescent="0.3">
      <c r="F1049" s="14"/>
      <c r="G1049" s="15"/>
      <c r="H1049" s="15"/>
      <c r="I1049" s="16"/>
    </row>
    <row r="1050" spans="6:9" x14ac:dyDescent="0.3">
      <c r="F1050" s="14"/>
      <c r="G1050" s="15"/>
      <c r="H1050" s="15"/>
      <c r="I1050" s="16"/>
    </row>
    <row r="1051" spans="6:9" x14ac:dyDescent="0.3">
      <c r="F1051" s="14"/>
      <c r="G1051" s="15"/>
      <c r="H1051" s="15"/>
      <c r="I1051" s="16"/>
    </row>
    <row r="1052" spans="6:9" x14ac:dyDescent="0.3">
      <c r="F1052" s="14"/>
      <c r="G1052" s="15"/>
      <c r="H1052" s="15"/>
      <c r="I1052" s="16"/>
    </row>
    <row r="1053" spans="6:9" x14ac:dyDescent="0.3">
      <c r="F1053" s="14"/>
      <c r="G1053" s="15"/>
      <c r="H1053" s="15"/>
      <c r="I1053" s="16"/>
    </row>
    <row r="1054" spans="6:9" x14ac:dyDescent="0.3">
      <c r="F1054" s="14"/>
      <c r="G1054" s="15"/>
      <c r="H1054" s="15"/>
      <c r="I1054" s="16"/>
    </row>
    <row r="1055" spans="6:9" x14ac:dyDescent="0.3">
      <c r="F1055" s="14"/>
      <c r="G1055" s="15"/>
      <c r="H1055" s="15"/>
      <c r="I1055" s="16"/>
    </row>
    <row r="1056" spans="6:9" x14ac:dyDescent="0.3">
      <c r="F1056" s="14"/>
      <c r="G1056" s="15"/>
      <c r="H1056" s="15"/>
      <c r="I1056" s="16"/>
    </row>
    <row r="1057" spans="6:9" x14ac:dyDescent="0.3">
      <c r="F1057" s="14"/>
      <c r="G1057" s="15"/>
      <c r="H1057" s="15"/>
      <c r="I1057" s="16"/>
    </row>
    <row r="1058" spans="6:9" x14ac:dyDescent="0.3">
      <c r="F1058" s="14"/>
      <c r="G1058" s="15"/>
      <c r="H1058" s="15"/>
      <c r="I1058" s="16"/>
    </row>
    <row r="1059" spans="6:9" x14ac:dyDescent="0.3">
      <c r="F1059" s="14"/>
      <c r="G1059" s="15"/>
      <c r="H1059" s="15"/>
      <c r="I1059" s="16"/>
    </row>
    <row r="1060" spans="6:9" x14ac:dyDescent="0.3">
      <c r="F1060" s="14"/>
      <c r="G1060" s="15"/>
      <c r="H1060" s="15"/>
      <c r="I1060" s="16"/>
    </row>
    <row r="1061" spans="6:9" x14ac:dyDescent="0.3">
      <c r="F1061" s="14"/>
      <c r="G1061" s="15"/>
      <c r="H1061" s="15"/>
      <c r="I1061" s="16"/>
    </row>
    <row r="1062" spans="6:9" x14ac:dyDescent="0.3">
      <c r="F1062" s="14"/>
      <c r="G1062" s="15"/>
      <c r="H1062" s="15"/>
      <c r="I1062" s="16"/>
    </row>
    <row r="1063" spans="6:9" x14ac:dyDescent="0.3">
      <c r="F1063" s="14"/>
      <c r="G1063" s="15"/>
      <c r="H1063" s="15"/>
      <c r="I1063" s="16"/>
    </row>
    <row r="1064" spans="6:9" x14ac:dyDescent="0.3">
      <c r="F1064" s="14"/>
      <c r="G1064" s="15"/>
      <c r="H1064" s="15"/>
      <c r="I1064" s="16"/>
    </row>
    <row r="1065" spans="6:9" x14ac:dyDescent="0.3">
      <c r="F1065" s="14"/>
      <c r="G1065" s="15"/>
      <c r="H1065" s="15"/>
      <c r="I1065" s="16"/>
    </row>
    <row r="1066" spans="6:9" x14ac:dyDescent="0.3">
      <c r="F1066" s="14"/>
      <c r="G1066" s="15"/>
      <c r="H1066" s="15"/>
      <c r="I1066" s="16"/>
    </row>
    <row r="1067" spans="6:9" x14ac:dyDescent="0.3">
      <c r="F1067" s="14"/>
      <c r="G1067" s="15"/>
      <c r="H1067" s="15"/>
      <c r="I1067" s="16"/>
    </row>
    <row r="1068" spans="6:9" x14ac:dyDescent="0.3">
      <c r="F1068" s="14"/>
      <c r="G1068" s="15"/>
      <c r="H1068" s="15"/>
      <c r="I1068" s="16"/>
    </row>
    <row r="1069" spans="6:9" x14ac:dyDescent="0.3">
      <c r="F1069" s="14"/>
      <c r="G1069" s="15"/>
      <c r="H1069" s="15"/>
      <c r="I1069" s="16"/>
    </row>
    <row r="1070" spans="6:9" x14ac:dyDescent="0.3">
      <c r="F1070" s="14"/>
      <c r="G1070" s="15"/>
      <c r="H1070" s="15"/>
      <c r="I1070" s="16"/>
    </row>
    <row r="1071" spans="6:9" x14ac:dyDescent="0.3">
      <c r="F1071" s="14"/>
      <c r="G1071" s="15"/>
      <c r="H1071" s="15"/>
      <c r="I1071" s="16"/>
    </row>
    <row r="1072" spans="6:9" x14ac:dyDescent="0.3">
      <c r="F1072" s="14"/>
      <c r="G1072" s="15"/>
      <c r="H1072" s="15"/>
      <c r="I1072" s="16"/>
    </row>
    <row r="1073" spans="6:9" x14ac:dyDescent="0.3">
      <c r="F1073" s="14"/>
      <c r="G1073" s="15"/>
      <c r="H1073" s="15"/>
      <c r="I1073" s="16"/>
    </row>
    <row r="1074" spans="6:9" x14ac:dyDescent="0.3">
      <c r="F1074" s="14"/>
      <c r="G1074" s="15"/>
      <c r="H1074" s="15"/>
      <c r="I1074" s="16"/>
    </row>
    <row r="1075" spans="6:9" x14ac:dyDescent="0.3">
      <c r="F1075" s="14"/>
      <c r="G1075" s="15"/>
      <c r="H1075" s="15"/>
      <c r="I1075" s="16"/>
    </row>
    <row r="1076" spans="6:9" x14ac:dyDescent="0.3">
      <c r="F1076" s="14"/>
      <c r="G1076" s="15"/>
      <c r="H1076" s="15"/>
      <c r="I1076" s="16"/>
    </row>
    <row r="1077" spans="6:9" x14ac:dyDescent="0.3">
      <c r="F1077" s="14"/>
      <c r="G1077" s="15"/>
      <c r="H1077" s="15"/>
      <c r="I1077" s="16"/>
    </row>
    <row r="1078" spans="6:9" x14ac:dyDescent="0.3">
      <c r="F1078" s="14"/>
      <c r="G1078" s="15"/>
      <c r="H1078" s="15"/>
      <c r="I1078" s="16"/>
    </row>
    <row r="1079" spans="6:9" x14ac:dyDescent="0.3">
      <c r="F1079" s="14"/>
      <c r="G1079" s="15"/>
      <c r="H1079" s="15"/>
      <c r="I1079" s="16"/>
    </row>
    <row r="1080" spans="6:9" x14ac:dyDescent="0.3">
      <c r="F1080" s="14"/>
      <c r="G1080" s="15"/>
      <c r="H1080" s="15"/>
      <c r="I1080" s="16"/>
    </row>
    <row r="1081" spans="6:9" x14ac:dyDescent="0.3">
      <c r="F1081" s="14"/>
      <c r="G1081" s="15"/>
      <c r="H1081" s="15"/>
      <c r="I1081" s="16"/>
    </row>
    <row r="1082" spans="6:9" x14ac:dyDescent="0.3">
      <c r="F1082" s="14"/>
      <c r="G1082" s="15"/>
      <c r="H1082" s="15"/>
      <c r="I1082" s="16"/>
    </row>
    <row r="1083" spans="6:9" x14ac:dyDescent="0.3">
      <c r="F1083" s="14"/>
      <c r="G1083" s="15"/>
      <c r="H1083" s="15"/>
      <c r="I1083" s="16"/>
    </row>
    <row r="1084" spans="6:9" x14ac:dyDescent="0.3">
      <c r="F1084" s="14"/>
      <c r="G1084" s="15"/>
      <c r="H1084" s="15"/>
      <c r="I1084" s="16"/>
    </row>
    <row r="1085" spans="6:9" x14ac:dyDescent="0.3">
      <c r="F1085" s="14"/>
      <c r="G1085" s="15"/>
      <c r="H1085" s="15"/>
      <c r="I1085" s="16"/>
    </row>
    <row r="1086" spans="6:9" x14ac:dyDescent="0.3">
      <c r="F1086" s="14"/>
      <c r="G1086" s="15"/>
      <c r="H1086" s="15"/>
      <c r="I1086" s="16"/>
    </row>
    <row r="1087" spans="6:9" x14ac:dyDescent="0.3">
      <c r="F1087" s="14"/>
      <c r="G1087" s="15"/>
      <c r="H1087" s="15"/>
      <c r="I1087" s="16"/>
    </row>
    <row r="1088" spans="6:9" x14ac:dyDescent="0.3">
      <c r="F1088" s="14"/>
      <c r="G1088" s="15"/>
      <c r="H1088" s="15"/>
      <c r="I1088" s="16"/>
    </row>
    <row r="1089" spans="6:9" x14ac:dyDescent="0.3">
      <c r="F1089" s="14"/>
      <c r="G1089" s="15"/>
      <c r="H1089" s="15"/>
      <c r="I1089" s="16"/>
    </row>
    <row r="1090" spans="6:9" x14ac:dyDescent="0.3">
      <c r="F1090" s="14"/>
      <c r="G1090" s="15"/>
      <c r="H1090" s="15"/>
      <c r="I1090" s="16"/>
    </row>
    <row r="1091" spans="6:9" x14ac:dyDescent="0.3">
      <c r="F1091" s="14"/>
      <c r="G1091" s="15"/>
      <c r="H1091" s="15"/>
      <c r="I1091" s="16"/>
    </row>
    <row r="1092" spans="6:9" x14ac:dyDescent="0.3">
      <c r="F1092" s="14"/>
      <c r="G1092" s="15"/>
      <c r="H1092" s="15"/>
      <c r="I1092" s="16"/>
    </row>
    <row r="1093" spans="6:9" x14ac:dyDescent="0.3">
      <c r="F1093" s="14"/>
      <c r="G1093" s="15"/>
      <c r="H1093" s="15"/>
      <c r="I1093" s="16"/>
    </row>
    <row r="1094" spans="6:9" x14ac:dyDescent="0.3">
      <c r="F1094" s="14"/>
      <c r="G1094" s="15"/>
      <c r="H1094" s="15"/>
      <c r="I1094" s="16"/>
    </row>
    <row r="1095" spans="6:9" x14ac:dyDescent="0.3">
      <c r="F1095" s="14"/>
      <c r="G1095" s="15"/>
      <c r="H1095" s="15"/>
      <c r="I1095" s="16"/>
    </row>
    <row r="1096" spans="6:9" x14ac:dyDescent="0.3">
      <c r="F1096" s="14"/>
      <c r="G1096" s="15"/>
      <c r="H1096" s="15"/>
      <c r="I1096" s="16"/>
    </row>
    <row r="1097" spans="6:9" x14ac:dyDescent="0.3">
      <c r="F1097" s="14"/>
      <c r="G1097" s="15"/>
      <c r="H1097" s="15"/>
      <c r="I1097" s="16"/>
    </row>
    <row r="1098" spans="6:9" x14ac:dyDescent="0.3">
      <c r="F1098" s="14"/>
      <c r="G1098" s="15"/>
      <c r="H1098" s="15"/>
      <c r="I1098" s="16"/>
    </row>
    <row r="1099" spans="6:9" x14ac:dyDescent="0.3">
      <c r="F1099" s="14"/>
      <c r="G1099" s="15"/>
      <c r="H1099" s="15"/>
      <c r="I1099" s="16"/>
    </row>
    <row r="1100" spans="6:9" x14ac:dyDescent="0.3">
      <c r="F1100" s="14"/>
      <c r="G1100" s="15"/>
      <c r="H1100" s="15"/>
      <c r="I1100" s="16"/>
    </row>
    <row r="1101" spans="6:9" x14ac:dyDescent="0.3">
      <c r="F1101" s="14"/>
      <c r="G1101" s="15"/>
      <c r="H1101" s="15"/>
      <c r="I1101" s="16"/>
    </row>
    <row r="1102" spans="6:9" x14ac:dyDescent="0.3">
      <c r="F1102" s="14"/>
      <c r="G1102" s="15"/>
      <c r="H1102" s="15"/>
      <c r="I1102" s="16"/>
    </row>
    <row r="1103" spans="6:9" x14ac:dyDescent="0.3">
      <c r="F1103" s="14"/>
      <c r="G1103" s="15"/>
      <c r="H1103" s="15"/>
      <c r="I1103" s="16"/>
    </row>
    <row r="1104" spans="6:9" x14ac:dyDescent="0.3">
      <c r="F1104" s="14"/>
      <c r="G1104" s="15"/>
      <c r="H1104" s="15"/>
      <c r="I1104" s="16"/>
    </row>
    <row r="1105" spans="6:9" x14ac:dyDescent="0.3">
      <c r="F1105" s="14"/>
      <c r="G1105" s="15"/>
      <c r="H1105" s="15"/>
      <c r="I1105" s="16"/>
    </row>
    <row r="1106" spans="6:9" x14ac:dyDescent="0.3">
      <c r="F1106" s="14"/>
      <c r="G1106" s="15"/>
      <c r="H1106" s="15"/>
      <c r="I1106" s="16"/>
    </row>
    <row r="1107" spans="6:9" x14ac:dyDescent="0.3">
      <c r="F1107" s="14"/>
      <c r="G1107" s="15"/>
      <c r="H1107" s="15"/>
      <c r="I1107" s="16"/>
    </row>
    <row r="1108" spans="6:9" x14ac:dyDescent="0.3">
      <c r="F1108" s="14"/>
      <c r="G1108" s="15"/>
      <c r="H1108" s="15"/>
      <c r="I1108" s="16"/>
    </row>
    <row r="1109" spans="6:9" x14ac:dyDescent="0.3">
      <c r="F1109" s="14"/>
      <c r="G1109" s="15"/>
      <c r="H1109" s="15"/>
      <c r="I1109" s="16"/>
    </row>
    <row r="1110" spans="6:9" x14ac:dyDescent="0.3">
      <c r="F1110" s="14"/>
      <c r="G1110" s="15"/>
      <c r="H1110" s="15"/>
      <c r="I1110" s="16"/>
    </row>
    <row r="1111" spans="6:9" x14ac:dyDescent="0.3">
      <c r="F1111" s="14"/>
      <c r="G1111" s="15"/>
      <c r="H1111" s="15"/>
      <c r="I1111" s="16"/>
    </row>
    <row r="1112" spans="6:9" x14ac:dyDescent="0.3">
      <c r="F1112" s="14"/>
      <c r="G1112" s="15"/>
      <c r="H1112" s="15"/>
      <c r="I1112" s="16"/>
    </row>
    <row r="1113" spans="6:9" x14ac:dyDescent="0.3">
      <c r="F1113" s="14"/>
      <c r="G1113" s="15"/>
      <c r="H1113" s="15"/>
      <c r="I1113" s="16"/>
    </row>
    <row r="1114" spans="6:9" x14ac:dyDescent="0.3">
      <c r="F1114" s="14"/>
      <c r="G1114" s="15"/>
      <c r="H1114" s="15"/>
      <c r="I1114" s="16"/>
    </row>
    <row r="1115" spans="6:9" x14ac:dyDescent="0.3">
      <c r="F1115" s="14"/>
      <c r="G1115" s="15"/>
      <c r="H1115" s="15"/>
      <c r="I1115" s="16"/>
    </row>
    <row r="1116" spans="6:9" x14ac:dyDescent="0.3">
      <c r="F1116" s="14"/>
      <c r="G1116" s="15"/>
      <c r="H1116" s="15"/>
      <c r="I1116" s="16"/>
    </row>
    <row r="1117" spans="6:9" x14ac:dyDescent="0.3">
      <c r="F1117" s="14"/>
      <c r="G1117" s="15"/>
      <c r="H1117" s="15"/>
      <c r="I1117" s="16"/>
    </row>
    <row r="1118" spans="6:9" x14ac:dyDescent="0.3">
      <c r="F1118" s="14"/>
      <c r="G1118" s="15"/>
      <c r="H1118" s="15"/>
      <c r="I1118" s="16"/>
    </row>
    <row r="1119" spans="6:9" x14ac:dyDescent="0.3">
      <c r="F1119" s="14"/>
      <c r="G1119" s="15"/>
      <c r="H1119" s="15"/>
      <c r="I1119" s="16"/>
    </row>
    <row r="1120" spans="6:9" x14ac:dyDescent="0.3">
      <c r="F1120" s="14"/>
      <c r="G1120" s="15"/>
      <c r="H1120" s="15"/>
      <c r="I1120" s="16"/>
    </row>
    <row r="1121" spans="6:9" x14ac:dyDescent="0.3">
      <c r="F1121" s="14"/>
      <c r="G1121" s="15"/>
      <c r="H1121" s="15"/>
      <c r="I1121" s="16"/>
    </row>
    <row r="1122" spans="6:9" x14ac:dyDescent="0.3">
      <c r="F1122" s="14"/>
      <c r="G1122" s="15"/>
      <c r="H1122" s="15"/>
      <c r="I1122" s="16"/>
    </row>
    <row r="1123" spans="6:9" x14ac:dyDescent="0.3">
      <c r="F1123" s="14"/>
      <c r="G1123" s="15"/>
      <c r="H1123" s="15"/>
      <c r="I1123" s="16"/>
    </row>
    <row r="1124" spans="6:9" x14ac:dyDescent="0.3">
      <c r="F1124" s="14"/>
      <c r="G1124" s="15"/>
      <c r="H1124" s="15"/>
      <c r="I1124" s="16"/>
    </row>
    <row r="1125" spans="6:9" x14ac:dyDescent="0.3">
      <c r="F1125" s="14"/>
      <c r="G1125" s="15"/>
      <c r="H1125" s="15"/>
      <c r="I1125" s="16"/>
    </row>
    <row r="1126" spans="6:9" x14ac:dyDescent="0.3">
      <c r="F1126" s="14"/>
      <c r="G1126" s="15"/>
      <c r="H1126" s="15"/>
      <c r="I1126" s="16"/>
    </row>
    <row r="1127" spans="6:9" x14ac:dyDescent="0.3">
      <c r="F1127" s="14"/>
      <c r="G1127" s="15"/>
      <c r="H1127" s="15"/>
      <c r="I1127" s="16"/>
    </row>
    <row r="1128" spans="6:9" x14ac:dyDescent="0.3">
      <c r="F1128" s="14"/>
      <c r="G1128" s="15"/>
      <c r="H1128" s="15"/>
      <c r="I1128" s="16"/>
    </row>
    <row r="1129" spans="6:9" x14ac:dyDescent="0.3">
      <c r="F1129" s="14"/>
      <c r="G1129" s="15"/>
      <c r="H1129" s="15"/>
      <c r="I1129" s="16"/>
    </row>
    <row r="1130" spans="6:9" x14ac:dyDescent="0.3">
      <c r="F1130" s="14"/>
      <c r="G1130" s="15"/>
      <c r="H1130" s="15"/>
      <c r="I1130" s="16"/>
    </row>
    <row r="1131" spans="6:9" x14ac:dyDescent="0.3">
      <c r="F1131" s="14"/>
      <c r="G1131" s="15"/>
      <c r="H1131" s="15"/>
      <c r="I1131" s="16"/>
    </row>
    <row r="1132" spans="6:9" x14ac:dyDescent="0.3">
      <c r="F1132" s="14"/>
      <c r="G1132" s="15"/>
      <c r="H1132" s="15"/>
      <c r="I1132" s="16"/>
    </row>
    <row r="1133" spans="6:9" x14ac:dyDescent="0.3">
      <c r="F1133" s="14"/>
      <c r="G1133" s="15"/>
      <c r="H1133" s="15"/>
      <c r="I1133" s="16"/>
    </row>
    <row r="1134" spans="6:9" x14ac:dyDescent="0.3">
      <c r="F1134" s="14"/>
      <c r="G1134" s="15"/>
      <c r="H1134" s="15"/>
      <c r="I1134" s="16"/>
    </row>
    <row r="1135" spans="6:9" x14ac:dyDescent="0.3">
      <c r="F1135" s="14"/>
      <c r="G1135" s="15"/>
      <c r="H1135" s="15"/>
      <c r="I1135" s="16"/>
    </row>
    <row r="1136" spans="6:9" x14ac:dyDescent="0.3">
      <c r="F1136" s="14"/>
      <c r="G1136" s="15"/>
      <c r="H1136" s="15"/>
      <c r="I1136" s="16"/>
    </row>
    <row r="1137" spans="6:9" x14ac:dyDescent="0.3">
      <c r="F1137" s="14"/>
      <c r="G1137" s="15"/>
      <c r="H1137" s="15"/>
      <c r="I1137" s="16"/>
    </row>
    <row r="1138" spans="6:9" x14ac:dyDescent="0.3">
      <c r="F1138" s="14"/>
      <c r="G1138" s="15"/>
      <c r="H1138" s="15"/>
      <c r="I1138" s="16"/>
    </row>
    <row r="1139" spans="6:9" x14ac:dyDescent="0.3">
      <c r="F1139" s="14"/>
      <c r="G1139" s="15"/>
      <c r="H1139" s="15"/>
      <c r="I1139" s="16"/>
    </row>
    <row r="1140" spans="6:9" x14ac:dyDescent="0.3">
      <c r="F1140" s="14"/>
      <c r="G1140" s="15"/>
      <c r="H1140" s="15"/>
      <c r="I1140" s="16"/>
    </row>
    <row r="1141" spans="6:9" x14ac:dyDescent="0.3">
      <c r="F1141" s="14"/>
      <c r="G1141" s="15"/>
      <c r="H1141" s="15"/>
      <c r="I1141" s="16"/>
    </row>
    <row r="1142" spans="6:9" x14ac:dyDescent="0.3">
      <c r="F1142" s="14"/>
      <c r="G1142" s="15"/>
      <c r="H1142" s="15"/>
      <c r="I1142" s="16"/>
    </row>
    <row r="1143" spans="6:9" x14ac:dyDescent="0.3">
      <c r="F1143" s="14"/>
      <c r="G1143" s="15"/>
      <c r="H1143" s="15"/>
      <c r="I1143" s="16"/>
    </row>
    <row r="1144" spans="6:9" x14ac:dyDescent="0.3">
      <c r="F1144" s="14"/>
      <c r="G1144" s="15"/>
      <c r="H1144" s="15"/>
      <c r="I1144" s="16"/>
    </row>
    <row r="1145" spans="6:9" x14ac:dyDescent="0.3">
      <c r="F1145" s="14"/>
      <c r="G1145" s="15"/>
      <c r="H1145" s="15"/>
      <c r="I1145" s="16"/>
    </row>
    <row r="1146" spans="6:9" x14ac:dyDescent="0.3">
      <c r="F1146" s="14"/>
      <c r="G1146" s="15"/>
      <c r="H1146" s="15"/>
      <c r="I1146" s="16"/>
    </row>
    <row r="1147" spans="6:9" x14ac:dyDescent="0.3">
      <c r="F1147" s="14"/>
      <c r="G1147" s="15"/>
      <c r="H1147" s="15"/>
      <c r="I1147" s="16"/>
    </row>
    <row r="1148" spans="6:9" x14ac:dyDescent="0.3">
      <c r="F1148" s="14"/>
      <c r="G1148" s="15"/>
      <c r="H1148" s="15"/>
      <c r="I1148" s="16"/>
    </row>
    <row r="1149" spans="6:9" x14ac:dyDescent="0.3">
      <c r="F1149" s="14"/>
      <c r="G1149" s="15"/>
      <c r="H1149" s="15"/>
      <c r="I1149" s="16"/>
    </row>
    <row r="1150" spans="6:9" x14ac:dyDescent="0.3">
      <c r="F1150" s="14"/>
      <c r="G1150" s="15"/>
      <c r="H1150" s="15"/>
      <c r="I1150" s="16"/>
    </row>
    <row r="1151" spans="6:9" x14ac:dyDescent="0.3">
      <c r="F1151" s="14"/>
      <c r="G1151" s="15"/>
      <c r="H1151" s="15"/>
      <c r="I1151" s="16"/>
    </row>
    <row r="1152" spans="6:9" x14ac:dyDescent="0.3">
      <c r="F1152" s="14"/>
      <c r="G1152" s="15"/>
      <c r="H1152" s="15"/>
      <c r="I1152" s="16"/>
    </row>
    <row r="1153" spans="6:9" x14ac:dyDescent="0.3">
      <c r="F1153" s="14"/>
      <c r="G1153" s="15"/>
      <c r="H1153" s="15"/>
      <c r="I1153" s="16"/>
    </row>
    <row r="1154" spans="6:9" x14ac:dyDescent="0.3">
      <c r="F1154" s="14"/>
      <c r="G1154" s="15"/>
      <c r="H1154" s="15"/>
      <c r="I1154" s="16"/>
    </row>
    <row r="1155" spans="6:9" x14ac:dyDescent="0.3">
      <c r="F1155" s="14"/>
      <c r="G1155" s="15"/>
      <c r="H1155" s="15"/>
      <c r="I1155" s="16"/>
    </row>
    <row r="1156" spans="6:9" x14ac:dyDescent="0.3">
      <c r="F1156" s="14"/>
      <c r="G1156" s="15"/>
      <c r="H1156" s="15"/>
      <c r="I1156" s="16"/>
    </row>
    <row r="1157" spans="6:9" x14ac:dyDescent="0.3">
      <c r="F1157" s="14"/>
      <c r="G1157" s="15"/>
      <c r="H1157" s="15"/>
      <c r="I1157" s="16"/>
    </row>
    <row r="1158" spans="6:9" x14ac:dyDescent="0.3">
      <c r="F1158" s="14"/>
      <c r="G1158" s="15"/>
      <c r="H1158" s="15"/>
      <c r="I1158" s="16"/>
    </row>
    <row r="1159" spans="6:9" x14ac:dyDescent="0.3">
      <c r="F1159" s="14"/>
      <c r="G1159" s="15"/>
      <c r="H1159" s="15"/>
      <c r="I1159" s="16"/>
    </row>
    <row r="1160" spans="6:9" x14ac:dyDescent="0.3">
      <c r="F1160" s="14"/>
      <c r="G1160" s="15"/>
      <c r="H1160" s="15"/>
      <c r="I1160" s="16"/>
    </row>
    <row r="1161" spans="6:9" x14ac:dyDescent="0.3">
      <c r="F1161" s="14"/>
      <c r="G1161" s="15"/>
      <c r="H1161" s="15"/>
      <c r="I1161" s="16"/>
    </row>
    <row r="1162" spans="6:9" x14ac:dyDescent="0.3">
      <c r="F1162" s="14"/>
      <c r="G1162" s="15"/>
      <c r="H1162" s="15"/>
      <c r="I1162" s="16"/>
    </row>
    <row r="1163" spans="6:9" x14ac:dyDescent="0.3">
      <c r="F1163" s="14"/>
      <c r="G1163" s="15"/>
      <c r="H1163" s="15"/>
      <c r="I1163" s="16"/>
    </row>
    <row r="1164" spans="6:9" x14ac:dyDescent="0.3">
      <c r="F1164" s="14"/>
      <c r="G1164" s="15"/>
      <c r="H1164" s="15"/>
      <c r="I1164" s="16"/>
    </row>
    <row r="1165" spans="6:9" x14ac:dyDescent="0.3">
      <c r="F1165" s="14"/>
      <c r="G1165" s="15"/>
      <c r="H1165" s="15"/>
      <c r="I1165" s="16"/>
    </row>
    <row r="1166" spans="6:9" x14ac:dyDescent="0.3">
      <c r="F1166" s="14"/>
      <c r="G1166" s="15"/>
      <c r="H1166" s="15"/>
      <c r="I1166" s="16"/>
    </row>
    <row r="1167" spans="6:9" x14ac:dyDescent="0.3">
      <c r="F1167" s="14"/>
      <c r="G1167" s="15"/>
      <c r="H1167" s="15"/>
      <c r="I1167" s="16"/>
    </row>
    <row r="1168" spans="6:9" x14ac:dyDescent="0.3">
      <c r="F1168" s="14"/>
      <c r="G1168" s="15"/>
      <c r="H1168" s="15"/>
      <c r="I1168" s="16"/>
    </row>
    <row r="1169" spans="6:9" x14ac:dyDescent="0.3">
      <c r="F1169" s="14"/>
      <c r="G1169" s="15"/>
      <c r="H1169" s="15"/>
      <c r="I1169" s="16"/>
    </row>
    <row r="1170" spans="6:9" x14ac:dyDescent="0.3">
      <c r="F1170" s="14"/>
      <c r="G1170" s="15"/>
      <c r="H1170" s="15"/>
      <c r="I1170" s="16"/>
    </row>
    <row r="1171" spans="6:9" x14ac:dyDescent="0.3">
      <c r="F1171" s="14"/>
      <c r="G1171" s="15"/>
      <c r="H1171" s="15"/>
      <c r="I1171" s="16"/>
    </row>
    <row r="1172" spans="6:9" x14ac:dyDescent="0.3">
      <c r="F1172" s="14"/>
      <c r="G1172" s="15"/>
      <c r="H1172" s="15"/>
      <c r="I1172" s="16"/>
    </row>
    <row r="1173" spans="6:9" x14ac:dyDescent="0.3">
      <c r="F1173" s="14"/>
      <c r="G1173" s="15"/>
      <c r="H1173" s="15"/>
      <c r="I1173" s="16"/>
    </row>
    <row r="1174" spans="6:9" x14ac:dyDescent="0.3">
      <c r="F1174" s="14"/>
      <c r="G1174" s="15"/>
      <c r="H1174" s="15"/>
      <c r="I1174" s="16"/>
    </row>
    <row r="1175" spans="6:9" x14ac:dyDescent="0.3">
      <c r="F1175" s="14"/>
      <c r="G1175" s="15"/>
      <c r="H1175" s="15"/>
      <c r="I1175" s="16"/>
    </row>
    <row r="1176" spans="6:9" x14ac:dyDescent="0.3">
      <c r="F1176" s="14"/>
      <c r="G1176" s="15"/>
      <c r="H1176" s="15"/>
      <c r="I1176" s="16"/>
    </row>
    <row r="1177" spans="6:9" x14ac:dyDescent="0.3">
      <c r="F1177" s="14"/>
      <c r="G1177" s="15"/>
      <c r="H1177" s="15"/>
      <c r="I1177" s="16"/>
    </row>
    <row r="1178" spans="6:9" x14ac:dyDescent="0.3">
      <c r="F1178" s="14"/>
      <c r="G1178" s="15"/>
      <c r="H1178" s="15"/>
      <c r="I1178" s="16"/>
    </row>
    <row r="1179" spans="6:9" x14ac:dyDescent="0.3">
      <c r="F1179" s="14"/>
      <c r="G1179" s="15"/>
      <c r="H1179" s="15"/>
      <c r="I1179" s="16"/>
    </row>
    <row r="1180" spans="6:9" x14ac:dyDescent="0.3">
      <c r="F1180" s="14"/>
      <c r="G1180" s="15"/>
      <c r="H1180" s="15"/>
      <c r="I1180" s="16"/>
    </row>
    <row r="1181" spans="6:9" x14ac:dyDescent="0.3">
      <c r="F1181" s="14"/>
      <c r="G1181" s="15"/>
      <c r="H1181" s="15"/>
      <c r="I1181" s="16"/>
    </row>
    <row r="1182" spans="6:9" x14ac:dyDescent="0.3">
      <c r="F1182" s="14"/>
      <c r="G1182" s="15"/>
      <c r="H1182" s="15"/>
      <c r="I1182" s="16"/>
    </row>
    <row r="1183" spans="6:9" x14ac:dyDescent="0.3">
      <c r="F1183" s="14"/>
      <c r="G1183" s="15"/>
      <c r="H1183" s="15"/>
      <c r="I1183" s="16"/>
    </row>
    <row r="1184" spans="6:9" x14ac:dyDescent="0.3">
      <c r="F1184" s="14"/>
      <c r="G1184" s="15"/>
      <c r="H1184" s="15"/>
      <c r="I1184" s="16"/>
    </row>
    <row r="1185" spans="6:9" x14ac:dyDescent="0.3">
      <c r="F1185" s="14"/>
      <c r="G1185" s="15"/>
      <c r="H1185" s="15"/>
      <c r="I1185" s="16"/>
    </row>
    <row r="1186" spans="6:9" x14ac:dyDescent="0.3">
      <c r="F1186" s="14"/>
      <c r="G1186" s="15"/>
      <c r="H1186" s="15"/>
      <c r="I1186" s="16"/>
    </row>
    <row r="1187" spans="6:9" x14ac:dyDescent="0.3">
      <c r="F1187" s="14"/>
      <c r="G1187" s="15"/>
      <c r="H1187" s="15"/>
      <c r="I1187" s="16"/>
    </row>
    <row r="1188" spans="6:9" x14ac:dyDescent="0.3">
      <c r="F1188" s="14"/>
      <c r="G1188" s="15"/>
      <c r="H1188" s="15"/>
      <c r="I1188" s="16"/>
    </row>
    <row r="1189" spans="6:9" x14ac:dyDescent="0.3">
      <c r="F1189" s="14"/>
      <c r="G1189" s="15"/>
      <c r="H1189" s="15"/>
      <c r="I1189" s="16"/>
    </row>
    <row r="1190" spans="6:9" x14ac:dyDescent="0.3">
      <c r="F1190" s="14"/>
      <c r="G1190" s="15"/>
      <c r="H1190" s="15"/>
      <c r="I1190" s="16"/>
    </row>
    <row r="1191" spans="6:9" x14ac:dyDescent="0.3">
      <c r="F1191" s="14"/>
      <c r="G1191" s="15"/>
      <c r="H1191" s="15"/>
      <c r="I1191" s="16"/>
    </row>
    <row r="1192" spans="6:9" x14ac:dyDescent="0.3">
      <c r="F1192" s="14"/>
      <c r="G1192" s="15"/>
      <c r="H1192" s="15"/>
      <c r="I1192" s="16"/>
    </row>
    <row r="1193" spans="6:9" x14ac:dyDescent="0.3">
      <c r="F1193" s="14"/>
      <c r="G1193" s="15"/>
      <c r="H1193" s="15"/>
      <c r="I1193" s="16"/>
    </row>
    <row r="1194" spans="6:9" x14ac:dyDescent="0.3">
      <c r="F1194" s="14"/>
      <c r="G1194" s="15"/>
      <c r="H1194" s="15"/>
      <c r="I1194" s="16"/>
    </row>
    <row r="1195" spans="6:9" x14ac:dyDescent="0.3">
      <c r="F1195" s="14"/>
      <c r="G1195" s="15"/>
      <c r="H1195" s="15"/>
      <c r="I1195" s="16"/>
    </row>
    <row r="1196" spans="6:9" x14ac:dyDescent="0.3">
      <c r="F1196" s="14"/>
      <c r="G1196" s="15"/>
      <c r="H1196" s="15"/>
      <c r="I1196" s="16"/>
    </row>
    <row r="1197" spans="6:9" x14ac:dyDescent="0.3">
      <c r="F1197" s="14"/>
      <c r="G1197" s="15"/>
      <c r="H1197" s="15"/>
      <c r="I1197" s="16"/>
    </row>
    <row r="1198" spans="6:9" x14ac:dyDescent="0.3">
      <c r="F1198" s="14"/>
      <c r="G1198" s="15"/>
      <c r="H1198" s="15"/>
      <c r="I1198" s="16"/>
    </row>
    <row r="1199" spans="6:9" x14ac:dyDescent="0.3">
      <c r="F1199" s="14"/>
      <c r="G1199" s="15"/>
      <c r="H1199" s="15"/>
      <c r="I1199" s="16"/>
    </row>
    <row r="1200" spans="6:9" x14ac:dyDescent="0.3">
      <c r="F1200" s="14"/>
      <c r="G1200" s="15"/>
      <c r="H1200" s="15"/>
      <c r="I1200" s="16"/>
    </row>
    <row r="1201" spans="6:9" x14ac:dyDescent="0.3">
      <c r="F1201" s="14"/>
      <c r="G1201" s="15"/>
      <c r="H1201" s="15"/>
      <c r="I1201" s="16"/>
    </row>
    <row r="1202" spans="6:9" x14ac:dyDescent="0.3">
      <c r="F1202" s="14"/>
      <c r="G1202" s="15"/>
      <c r="H1202" s="15"/>
      <c r="I1202" s="16"/>
    </row>
    <row r="1203" spans="6:9" x14ac:dyDescent="0.3">
      <c r="F1203" s="14"/>
      <c r="G1203" s="15"/>
      <c r="H1203" s="15"/>
      <c r="I1203" s="16"/>
    </row>
    <row r="1204" spans="6:9" x14ac:dyDescent="0.3">
      <c r="F1204" s="14"/>
      <c r="G1204" s="15"/>
      <c r="H1204" s="15"/>
      <c r="I1204" s="16"/>
    </row>
    <row r="1205" spans="6:9" x14ac:dyDescent="0.3">
      <c r="F1205" s="14"/>
      <c r="G1205" s="15"/>
      <c r="H1205" s="15"/>
      <c r="I1205" s="16"/>
    </row>
    <row r="1206" spans="6:9" x14ac:dyDescent="0.3">
      <c r="F1206" s="14"/>
      <c r="G1206" s="15"/>
      <c r="H1206" s="15"/>
      <c r="I1206" s="16"/>
    </row>
    <row r="1207" spans="6:9" x14ac:dyDescent="0.3">
      <c r="F1207" s="14"/>
      <c r="G1207" s="15"/>
      <c r="H1207" s="15"/>
      <c r="I1207" s="16"/>
    </row>
    <row r="1208" spans="6:9" x14ac:dyDescent="0.3">
      <c r="F1208" s="14"/>
      <c r="G1208" s="15"/>
      <c r="H1208" s="15"/>
      <c r="I1208" s="16"/>
    </row>
    <row r="1209" spans="6:9" x14ac:dyDescent="0.3">
      <c r="F1209" s="14"/>
      <c r="G1209" s="15"/>
      <c r="H1209" s="15"/>
      <c r="I1209" s="16"/>
    </row>
    <row r="1210" spans="6:9" x14ac:dyDescent="0.3">
      <c r="F1210" s="14"/>
      <c r="G1210" s="15"/>
      <c r="H1210" s="15"/>
      <c r="I1210" s="16"/>
    </row>
    <row r="1211" spans="6:9" x14ac:dyDescent="0.3">
      <c r="F1211" s="14"/>
      <c r="G1211" s="15"/>
      <c r="H1211" s="15"/>
      <c r="I1211" s="16"/>
    </row>
    <row r="1212" spans="6:9" x14ac:dyDescent="0.3">
      <c r="F1212" s="14"/>
      <c r="G1212" s="15"/>
      <c r="H1212" s="15"/>
      <c r="I1212" s="16"/>
    </row>
    <row r="1213" spans="6:9" x14ac:dyDescent="0.3">
      <c r="F1213" s="14"/>
      <c r="G1213" s="15"/>
      <c r="H1213" s="15"/>
      <c r="I1213" s="16"/>
    </row>
    <row r="1214" spans="6:9" x14ac:dyDescent="0.3">
      <c r="F1214" s="14"/>
      <c r="G1214" s="15"/>
      <c r="H1214" s="15"/>
      <c r="I1214" s="16"/>
    </row>
    <row r="1215" spans="6:9" x14ac:dyDescent="0.3">
      <c r="F1215" s="14"/>
      <c r="G1215" s="15"/>
      <c r="H1215" s="15"/>
      <c r="I1215" s="16"/>
    </row>
    <row r="1216" spans="6:9" x14ac:dyDescent="0.3">
      <c r="F1216" s="14"/>
      <c r="G1216" s="15"/>
      <c r="H1216" s="15"/>
      <c r="I1216" s="16"/>
    </row>
    <row r="1217" spans="6:9" x14ac:dyDescent="0.3">
      <c r="F1217" s="14"/>
      <c r="G1217" s="15"/>
      <c r="H1217" s="15"/>
      <c r="I1217" s="16"/>
    </row>
    <row r="1218" spans="6:9" x14ac:dyDescent="0.3">
      <c r="F1218" s="14"/>
      <c r="G1218" s="15"/>
      <c r="H1218" s="15"/>
      <c r="I1218" s="16"/>
    </row>
    <row r="1219" spans="6:9" x14ac:dyDescent="0.3">
      <c r="F1219" s="14"/>
      <c r="G1219" s="15"/>
      <c r="H1219" s="15"/>
      <c r="I1219" s="16"/>
    </row>
    <row r="1220" spans="6:9" x14ac:dyDescent="0.3">
      <c r="F1220" s="14"/>
      <c r="G1220" s="15"/>
      <c r="H1220" s="15"/>
      <c r="I1220" s="16"/>
    </row>
    <row r="1221" spans="6:9" x14ac:dyDescent="0.3">
      <c r="F1221" s="14"/>
      <c r="G1221" s="15"/>
      <c r="H1221" s="15"/>
      <c r="I1221" s="16"/>
    </row>
    <row r="1222" spans="6:9" x14ac:dyDescent="0.3">
      <c r="F1222" s="14"/>
      <c r="G1222" s="15"/>
      <c r="H1222" s="15"/>
      <c r="I1222" s="16"/>
    </row>
    <row r="1223" spans="6:9" x14ac:dyDescent="0.3">
      <c r="F1223" s="14"/>
      <c r="G1223" s="15"/>
      <c r="H1223" s="15"/>
      <c r="I1223" s="16"/>
    </row>
    <row r="1224" spans="6:9" x14ac:dyDescent="0.3">
      <c r="F1224" s="14"/>
      <c r="G1224" s="15"/>
      <c r="H1224" s="15"/>
      <c r="I1224" s="16"/>
    </row>
    <row r="1225" spans="6:9" x14ac:dyDescent="0.3">
      <c r="F1225" s="14"/>
      <c r="G1225" s="15"/>
      <c r="H1225" s="15"/>
      <c r="I1225" s="16"/>
    </row>
    <row r="1226" spans="6:9" x14ac:dyDescent="0.3">
      <c r="F1226" s="14"/>
      <c r="G1226" s="15"/>
      <c r="H1226" s="15"/>
      <c r="I1226" s="16"/>
    </row>
    <row r="1227" spans="6:9" x14ac:dyDescent="0.3">
      <c r="F1227" s="14"/>
      <c r="G1227" s="15"/>
      <c r="H1227" s="15"/>
      <c r="I1227" s="16"/>
    </row>
    <row r="1228" spans="6:9" x14ac:dyDescent="0.3">
      <c r="F1228" s="14"/>
      <c r="G1228" s="15"/>
      <c r="H1228" s="15"/>
      <c r="I1228" s="16"/>
    </row>
    <row r="1229" spans="6:9" x14ac:dyDescent="0.3">
      <c r="F1229" s="14"/>
      <c r="G1229" s="15"/>
      <c r="H1229" s="15"/>
      <c r="I1229" s="16"/>
    </row>
    <row r="1230" spans="6:9" x14ac:dyDescent="0.3">
      <c r="F1230" s="14"/>
      <c r="G1230" s="15"/>
      <c r="H1230" s="15"/>
      <c r="I1230" s="16"/>
    </row>
    <row r="1231" spans="6:9" x14ac:dyDescent="0.3">
      <c r="F1231" s="14"/>
      <c r="G1231" s="15"/>
      <c r="H1231" s="15"/>
      <c r="I1231" s="16"/>
    </row>
    <row r="1232" spans="6:9" x14ac:dyDescent="0.3">
      <c r="F1232" s="14"/>
      <c r="G1232" s="15"/>
      <c r="H1232" s="15"/>
      <c r="I1232" s="16"/>
    </row>
    <row r="1233" spans="6:9" x14ac:dyDescent="0.3">
      <c r="F1233" s="14"/>
      <c r="G1233" s="15"/>
      <c r="H1233" s="15"/>
      <c r="I1233" s="16"/>
    </row>
    <row r="1234" spans="6:9" x14ac:dyDescent="0.3">
      <c r="F1234" s="14"/>
      <c r="G1234" s="15"/>
      <c r="H1234" s="15"/>
      <c r="I1234" s="16"/>
    </row>
    <row r="1235" spans="6:9" x14ac:dyDescent="0.3">
      <c r="F1235" s="14"/>
      <c r="G1235" s="15"/>
      <c r="H1235" s="15"/>
      <c r="I1235" s="16"/>
    </row>
    <row r="1236" spans="6:9" x14ac:dyDescent="0.3">
      <c r="F1236" s="14"/>
      <c r="G1236" s="15"/>
      <c r="H1236" s="15"/>
      <c r="I1236" s="16"/>
    </row>
    <row r="1237" spans="6:9" x14ac:dyDescent="0.3">
      <c r="F1237" s="14"/>
      <c r="G1237" s="15"/>
      <c r="H1237" s="15"/>
      <c r="I1237" s="16"/>
    </row>
    <row r="1238" spans="6:9" x14ac:dyDescent="0.3">
      <c r="F1238" s="14"/>
      <c r="G1238" s="15"/>
      <c r="H1238" s="15"/>
      <c r="I1238" s="16"/>
    </row>
    <row r="1239" spans="6:9" x14ac:dyDescent="0.3">
      <c r="F1239" s="14"/>
      <c r="G1239" s="15"/>
      <c r="H1239" s="15"/>
      <c r="I1239" s="16"/>
    </row>
    <row r="1240" spans="6:9" x14ac:dyDescent="0.3">
      <c r="F1240" s="14"/>
      <c r="G1240" s="15"/>
      <c r="H1240" s="15"/>
      <c r="I1240" s="16"/>
    </row>
    <row r="1241" spans="6:9" x14ac:dyDescent="0.3">
      <c r="F1241" s="14"/>
      <c r="G1241" s="15"/>
      <c r="H1241" s="15"/>
      <c r="I1241" s="16"/>
    </row>
    <row r="1242" spans="6:9" x14ac:dyDescent="0.3">
      <c r="F1242" s="14"/>
      <c r="G1242" s="15"/>
      <c r="H1242" s="15"/>
      <c r="I1242" s="16"/>
    </row>
    <row r="1243" spans="6:9" x14ac:dyDescent="0.3">
      <c r="F1243" s="14"/>
      <c r="G1243" s="15"/>
      <c r="H1243" s="15"/>
      <c r="I1243" s="16"/>
    </row>
    <row r="1244" spans="6:9" x14ac:dyDescent="0.3">
      <c r="F1244" s="14"/>
      <c r="G1244" s="15"/>
      <c r="H1244" s="15"/>
      <c r="I1244" s="16"/>
    </row>
    <row r="1245" spans="6:9" x14ac:dyDescent="0.3">
      <c r="F1245" s="14"/>
      <c r="G1245" s="15"/>
      <c r="H1245" s="15"/>
      <c r="I1245" s="16"/>
    </row>
    <row r="1246" spans="6:9" x14ac:dyDescent="0.3">
      <c r="F1246" s="14"/>
      <c r="G1246" s="15"/>
      <c r="H1246" s="15"/>
      <c r="I1246" s="16"/>
    </row>
    <row r="1247" spans="6:9" x14ac:dyDescent="0.3">
      <c r="F1247" s="14"/>
      <c r="G1247" s="15"/>
      <c r="H1247" s="15"/>
      <c r="I1247" s="16"/>
    </row>
    <row r="1248" spans="6:9" x14ac:dyDescent="0.3">
      <c r="F1248" s="14"/>
      <c r="G1248" s="15"/>
      <c r="H1248" s="15"/>
      <c r="I1248" s="16"/>
    </row>
    <row r="1249" spans="6:9" x14ac:dyDescent="0.3">
      <c r="F1249" s="14"/>
      <c r="G1249" s="15"/>
      <c r="H1249" s="15"/>
      <c r="I1249" s="16"/>
    </row>
    <row r="1250" spans="6:9" x14ac:dyDescent="0.3">
      <c r="F1250" s="14"/>
      <c r="G1250" s="15"/>
      <c r="H1250" s="15"/>
      <c r="I1250" s="16"/>
    </row>
    <row r="1251" spans="6:9" x14ac:dyDescent="0.3">
      <c r="F1251" s="14"/>
      <c r="G1251" s="15"/>
      <c r="H1251" s="15"/>
      <c r="I1251" s="16"/>
    </row>
    <row r="1252" spans="6:9" x14ac:dyDescent="0.3">
      <c r="F1252" s="14"/>
      <c r="G1252" s="15"/>
      <c r="H1252" s="15"/>
      <c r="I1252" s="16"/>
    </row>
    <row r="1253" spans="6:9" x14ac:dyDescent="0.3">
      <c r="F1253" s="14"/>
      <c r="G1253" s="15"/>
      <c r="H1253" s="15"/>
      <c r="I1253" s="16"/>
    </row>
    <row r="1254" spans="6:9" x14ac:dyDescent="0.3">
      <c r="F1254" s="14"/>
      <c r="G1254" s="15"/>
      <c r="H1254" s="15"/>
      <c r="I1254" s="16"/>
    </row>
    <row r="1255" spans="6:9" x14ac:dyDescent="0.3">
      <c r="F1255" s="14"/>
      <c r="G1255" s="15"/>
      <c r="H1255" s="15"/>
      <c r="I1255" s="16"/>
    </row>
    <row r="1256" spans="6:9" x14ac:dyDescent="0.3">
      <c r="F1256" s="14"/>
      <c r="G1256" s="15"/>
      <c r="H1256" s="15"/>
      <c r="I1256" s="16"/>
    </row>
    <row r="1257" spans="6:9" x14ac:dyDescent="0.3">
      <c r="F1257" s="14"/>
      <c r="G1257" s="15"/>
      <c r="H1257" s="15"/>
      <c r="I1257" s="16"/>
    </row>
    <row r="1258" spans="6:9" x14ac:dyDescent="0.3">
      <c r="F1258" s="14"/>
      <c r="G1258" s="15"/>
      <c r="H1258" s="15"/>
      <c r="I1258" s="16"/>
    </row>
    <row r="1259" spans="6:9" x14ac:dyDescent="0.3">
      <c r="F1259" s="14"/>
      <c r="G1259" s="15"/>
      <c r="H1259" s="15"/>
      <c r="I1259" s="16"/>
    </row>
    <row r="1260" spans="6:9" x14ac:dyDescent="0.3">
      <c r="F1260" s="14"/>
      <c r="G1260" s="15"/>
      <c r="H1260" s="15"/>
      <c r="I1260" s="16"/>
    </row>
    <row r="1261" spans="6:9" x14ac:dyDescent="0.3">
      <c r="F1261" s="14"/>
      <c r="G1261" s="15"/>
      <c r="H1261" s="15"/>
      <c r="I1261" s="16"/>
    </row>
    <row r="1262" spans="6:9" x14ac:dyDescent="0.3">
      <c r="F1262" s="14"/>
      <c r="G1262" s="15"/>
      <c r="H1262" s="15"/>
      <c r="I1262" s="16"/>
    </row>
    <row r="1263" spans="6:9" x14ac:dyDescent="0.3">
      <c r="F1263" s="14"/>
      <c r="G1263" s="15"/>
      <c r="H1263" s="15"/>
      <c r="I1263" s="16"/>
    </row>
    <row r="1264" spans="6:9" x14ac:dyDescent="0.3">
      <c r="F1264" s="14"/>
      <c r="G1264" s="15"/>
      <c r="H1264" s="15"/>
      <c r="I1264" s="16"/>
    </row>
    <row r="1265" spans="6:9" x14ac:dyDescent="0.3">
      <c r="F1265" s="14"/>
      <c r="G1265" s="15"/>
      <c r="H1265" s="15"/>
      <c r="I1265" s="16"/>
    </row>
    <row r="1266" spans="6:9" x14ac:dyDescent="0.3">
      <c r="F1266" s="14"/>
      <c r="G1266" s="15"/>
      <c r="H1266" s="15"/>
      <c r="I1266" s="16"/>
    </row>
    <row r="1267" spans="6:9" x14ac:dyDescent="0.3">
      <c r="F1267" s="14"/>
      <c r="G1267" s="15"/>
      <c r="H1267" s="15"/>
      <c r="I1267" s="16"/>
    </row>
    <row r="1268" spans="6:9" x14ac:dyDescent="0.3">
      <c r="F1268" s="14"/>
      <c r="G1268" s="15"/>
      <c r="H1268" s="15"/>
      <c r="I1268" s="16"/>
    </row>
    <row r="1269" spans="6:9" x14ac:dyDescent="0.3">
      <c r="F1269" s="14"/>
      <c r="G1269" s="15"/>
      <c r="H1269" s="15"/>
      <c r="I1269" s="16"/>
    </row>
    <row r="1270" spans="6:9" x14ac:dyDescent="0.3">
      <c r="F1270" s="14"/>
      <c r="G1270" s="15"/>
      <c r="H1270" s="15"/>
      <c r="I1270" s="16"/>
    </row>
    <row r="1271" spans="6:9" x14ac:dyDescent="0.3">
      <c r="F1271" s="14"/>
      <c r="G1271" s="15"/>
      <c r="H1271" s="15"/>
      <c r="I1271" s="16"/>
    </row>
    <row r="1272" spans="6:9" x14ac:dyDescent="0.3">
      <c r="F1272" s="14"/>
      <c r="G1272" s="15"/>
      <c r="H1272" s="15"/>
      <c r="I1272" s="16"/>
    </row>
    <row r="1273" spans="6:9" x14ac:dyDescent="0.3">
      <c r="F1273" s="14"/>
      <c r="G1273" s="15"/>
      <c r="H1273" s="15"/>
      <c r="I1273" s="16"/>
    </row>
    <row r="1274" spans="6:9" x14ac:dyDescent="0.3">
      <c r="F1274" s="14"/>
      <c r="G1274" s="15"/>
      <c r="H1274" s="15"/>
      <c r="I1274" s="16"/>
    </row>
    <row r="1275" spans="6:9" x14ac:dyDescent="0.3">
      <c r="F1275" s="14"/>
      <c r="G1275" s="15"/>
      <c r="H1275" s="15"/>
      <c r="I1275" s="16"/>
    </row>
    <row r="1276" spans="6:9" x14ac:dyDescent="0.3">
      <c r="F1276" s="14"/>
      <c r="G1276" s="15"/>
      <c r="H1276" s="15"/>
      <c r="I1276" s="16"/>
    </row>
    <row r="1277" spans="6:9" x14ac:dyDescent="0.3">
      <c r="F1277" s="14"/>
      <c r="G1277" s="15"/>
      <c r="H1277" s="15"/>
      <c r="I1277" s="16"/>
    </row>
    <row r="1278" spans="6:9" x14ac:dyDescent="0.3">
      <c r="F1278" s="14"/>
      <c r="G1278" s="15"/>
      <c r="H1278" s="15"/>
      <c r="I1278" s="16"/>
    </row>
    <row r="1279" spans="6:9" x14ac:dyDescent="0.3">
      <c r="F1279" s="14"/>
      <c r="G1279" s="15"/>
      <c r="H1279" s="15"/>
      <c r="I1279" s="16"/>
    </row>
    <row r="1280" spans="6:9" x14ac:dyDescent="0.3">
      <c r="F1280" s="14"/>
      <c r="G1280" s="15"/>
      <c r="H1280" s="15"/>
      <c r="I1280" s="16"/>
    </row>
    <row r="1281" spans="6:9" x14ac:dyDescent="0.3">
      <c r="F1281" s="14"/>
      <c r="G1281" s="15"/>
      <c r="H1281" s="15"/>
      <c r="I1281" s="16"/>
    </row>
    <row r="1282" spans="6:9" x14ac:dyDescent="0.3">
      <c r="F1282" s="14"/>
      <c r="G1282" s="15"/>
      <c r="H1282" s="15"/>
      <c r="I1282" s="16"/>
    </row>
    <row r="1283" spans="6:9" x14ac:dyDescent="0.3">
      <c r="F1283" s="14"/>
      <c r="G1283" s="15"/>
      <c r="H1283" s="15"/>
      <c r="I1283" s="16"/>
    </row>
    <row r="1284" spans="6:9" x14ac:dyDescent="0.3">
      <c r="F1284" s="14"/>
      <c r="G1284" s="15"/>
      <c r="H1284" s="15"/>
      <c r="I1284" s="16"/>
    </row>
    <row r="1285" spans="6:9" x14ac:dyDescent="0.3">
      <c r="F1285" s="14"/>
      <c r="G1285" s="15"/>
      <c r="H1285" s="15"/>
      <c r="I1285" s="16"/>
    </row>
    <row r="1286" spans="6:9" x14ac:dyDescent="0.3">
      <c r="F1286" s="14"/>
      <c r="G1286" s="15"/>
      <c r="H1286" s="15"/>
      <c r="I1286" s="16"/>
    </row>
    <row r="1287" spans="6:9" x14ac:dyDescent="0.3">
      <c r="F1287" s="14"/>
      <c r="G1287" s="15"/>
      <c r="H1287" s="15"/>
      <c r="I1287" s="16"/>
    </row>
    <row r="1288" spans="6:9" x14ac:dyDescent="0.3">
      <c r="F1288" s="14"/>
      <c r="G1288" s="15"/>
      <c r="H1288" s="15"/>
      <c r="I1288" s="16"/>
    </row>
    <row r="1289" spans="6:9" x14ac:dyDescent="0.3">
      <c r="F1289" s="14"/>
      <c r="G1289" s="15"/>
      <c r="H1289" s="15"/>
      <c r="I1289" s="16"/>
    </row>
    <row r="1290" spans="6:9" x14ac:dyDescent="0.3">
      <c r="F1290" s="14"/>
      <c r="G1290" s="15"/>
      <c r="H1290" s="15"/>
      <c r="I1290" s="16"/>
    </row>
    <row r="1291" spans="6:9" x14ac:dyDescent="0.3">
      <c r="F1291" s="14"/>
      <c r="G1291" s="15"/>
      <c r="H1291" s="15"/>
      <c r="I1291" s="16"/>
    </row>
    <row r="1292" spans="6:9" x14ac:dyDescent="0.3">
      <c r="F1292" s="14"/>
      <c r="G1292" s="15"/>
      <c r="H1292" s="15"/>
      <c r="I1292" s="16"/>
    </row>
    <row r="1293" spans="6:9" x14ac:dyDescent="0.3">
      <c r="F1293" s="14"/>
      <c r="G1293" s="15"/>
      <c r="H1293" s="15"/>
      <c r="I1293" s="16"/>
    </row>
    <row r="1294" spans="6:9" x14ac:dyDescent="0.3">
      <c r="F1294" s="14"/>
      <c r="G1294" s="15"/>
      <c r="H1294" s="15"/>
      <c r="I1294" s="16"/>
    </row>
    <row r="1295" spans="6:9" x14ac:dyDescent="0.3">
      <c r="F1295" s="14"/>
      <c r="G1295" s="15"/>
      <c r="H1295" s="15"/>
      <c r="I1295" s="16"/>
    </row>
    <row r="1296" spans="6:9" x14ac:dyDescent="0.3">
      <c r="F1296" s="14"/>
      <c r="G1296" s="15"/>
      <c r="H1296" s="15"/>
      <c r="I1296" s="16"/>
    </row>
    <row r="1297" spans="6:9" x14ac:dyDescent="0.3">
      <c r="F1297" s="14"/>
      <c r="G1297" s="15"/>
      <c r="H1297" s="15"/>
      <c r="I1297" s="16"/>
    </row>
    <row r="1298" spans="6:9" x14ac:dyDescent="0.3">
      <c r="F1298" s="14"/>
      <c r="G1298" s="15"/>
      <c r="H1298" s="15"/>
      <c r="I1298" s="16"/>
    </row>
    <row r="1299" spans="6:9" x14ac:dyDescent="0.3">
      <c r="F1299" s="14"/>
      <c r="G1299" s="15"/>
      <c r="H1299" s="15"/>
      <c r="I1299" s="16"/>
    </row>
    <row r="1300" spans="6:9" x14ac:dyDescent="0.3">
      <c r="F1300" s="14"/>
      <c r="G1300" s="15"/>
      <c r="H1300" s="15"/>
      <c r="I1300" s="16"/>
    </row>
    <row r="1301" spans="6:9" x14ac:dyDescent="0.3">
      <c r="F1301" s="14"/>
      <c r="G1301" s="15"/>
      <c r="H1301" s="15"/>
      <c r="I1301" s="16"/>
    </row>
    <row r="1302" spans="6:9" x14ac:dyDescent="0.3">
      <c r="F1302" s="14"/>
      <c r="G1302" s="15"/>
      <c r="H1302" s="15"/>
      <c r="I1302" s="16"/>
    </row>
    <row r="1303" spans="6:9" x14ac:dyDescent="0.3">
      <c r="F1303" s="14"/>
      <c r="G1303" s="15"/>
      <c r="H1303" s="15"/>
      <c r="I1303" s="16"/>
    </row>
    <row r="1304" spans="6:9" x14ac:dyDescent="0.3">
      <c r="F1304" s="14"/>
      <c r="G1304" s="15"/>
      <c r="H1304" s="15"/>
      <c r="I1304" s="16"/>
    </row>
    <row r="1305" spans="6:9" x14ac:dyDescent="0.3">
      <c r="F1305" s="14"/>
      <c r="G1305" s="15"/>
      <c r="H1305" s="15"/>
      <c r="I1305" s="16"/>
    </row>
    <row r="1306" spans="6:9" x14ac:dyDescent="0.3">
      <c r="F1306" s="14"/>
      <c r="G1306" s="15"/>
      <c r="H1306" s="15"/>
      <c r="I1306" s="16"/>
    </row>
    <row r="1307" spans="6:9" x14ac:dyDescent="0.3">
      <c r="F1307" s="14"/>
      <c r="G1307" s="15"/>
      <c r="H1307" s="15"/>
      <c r="I1307" s="16"/>
    </row>
    <row r="1308" spans="6:9" x14ac:dyDescent="0.3">
      <c r="F1308" s="14"/>
      <c r="G1308" s="15"/>
      <c r="H1308" s="15"/>
      <c r="I1308" s="16"/>
    </row>
    <row r="1309" spans="6:9" x14ac:dyDescent="0.3">
      <c r="F1309" s="14"/>
      <c r="G1309" s="15"/>
      <c r="H1309" s="15"/>
      <c r="I1309" s="16"/>
    </row>
    <row r="1310" spans="6:9" x14ac:dyDescent="0.3">
      <c r="F1310" s="14"/>
      <c r="G1310" s="15"/>
      <c r="H1310" s="15"/>
      <c r="I1310" s="16"/>
    </row>
    <row r="1311" spans="6:9" x14ac:dyDescent="0.3">
      <c r="F1311" s="14"/>
      <c r="G1311" s="15"/>
      <c r="H1311" s="15"/>
      <c r="I1311" s="16"/>
    </row>
    <row r="1312" spans="6:9" x14ac:dyDescent="0.3">
      <c r="F1312" s="14"/>
      <c r="G1312" s="15"/>
      <c r="H1312" s="15"/>
      <c r="I1312" s="16"/>
    </row>
    <row r="1313" spans="6:9" x14ac:dyDescent="0.3">
      <c r="F1313" s="14"/>
      <c r="G1313" s="15"/>
      <c r="H1313" s="15"/>
      <c r="I1313" s="16"/>
    </row>
    <row r="1314" spans="6:9" x14ac:dyDescent="0.3">
      <c r="F1314" s="14"/>
      <c r="G1314" s="15"/>
      <c r="H1314" s="15"/>
      <c r="I1314" s="16"/>
    </row>
    <row r="1315" spans="6:9" x14ac:dyDescent="0.3">
      <c r="F1315" s="14"/>
      <c r="G1315" s="15"/>
      <c r="H1315" s="15"/>
      <c r="I1315" s="16"/>
    </row>
    <row r="1316" spans="6:9" x14ac:dyDescent="0.3">
      <c r="F1316" s="14"/>
      <c r="G1316" s="15"/>
      <c r="H1316" s="15"/>
      <c r="I1316" s="16"/>
    </row>
    <row r="1317" spans="6:9" x14ac:dyDescent="0.3">
      <c r="F1317" s="14"/>
      <c r="G1317" s="15"/>
      <c r="H1317" s="15"/>
      <c r="I1317" s="16"/>
    </row>
    <row r="1318" spans="6:9" x14ac:dyDescent="0.3">
      <c r="F1318" s="14"/>
      <c r="G1318" s="15"/>
      <c r="H1318" s="15"/>
      <c r="I1318" s="16"/>
    </row>
    <row r="1319" spans="6:9" x14ac:dyDescent="0.3">
      <c r="F1319" s="14"/>
      <c r="G1319" s="15"/>
      <c r="H1319" s="15"/>
      <c r="I1319" s="16"/>
    </row>
    <row r="1320" spans="6:9" x14ac:dyDescent="0.3">
      <c r="F1320" s="14"/>
      <c r="G1320" s="15"/>
      <c r="H1320" s="15"/>
      <c r="I1320" s="16"/>
    </row>
    <row r="1321" spans="6:9" x14ac:dyDescent="0.3">
      <c r="F1321" s="14"/>
      <c r="G1321" s="15"/>
      <c r="H1321" s="15"/>
      <c r="I1321" s="16"/>
    </row>
    <row r="1322" spans="6:9" x14ac:dyDescent="0.3">
      <c r="F1322" s="14"/>
      <c r="G1322" s="15"/>
      <c r="H1322" s="15"/>
      <c r="I1322" s="16"/>
    </row>
    <row r="1323" spans="6:9" x14ac:dyDescent="0.3">
      <c r="F1323" s="14"/>
      <c r="G1323" s="15"/>
      <c r="H1323" s="15"/>
      <c r="I1323" s="16"/>
    </row>
    <row r="1324" spans="6:9" x14ac:dyDescent="0.3">
      <c r="F1324" s="14"/>
      <c r="G1324" s="15"/>
      <c r="H1324" s="15"/>
      <c r="I1324" s="16"/>
    </row>
    <row r="1325" spans="6:9" x14ac:dyDescent="0.3">
      <c r="F1325" s="14"/>
      <c r="G1325" s="15"/>
      <c r="H1325" s="15"/>
      <c r="I1325" s="16"/>
    </row>
    <row r="1326" spans="6:9" x14ac:dyDescent="0.3">
      <c r="F1326" s="14"/>
      <c r="G1326" s="15"/>
      <c r="H1326" s="15"/>
      <c r="I1326" s="16"/>
    </row>
    <row r="1327" spans="6:9" x14ac:dyDescent="0.3">
      <c r="F1327" s="14"/>
      <c r="G1327" s="15"/>
      <c r="H1327" s="15"/>
      <c r="I1327" s="16"/>
    </row>
    <row r="1328" spans="6:9" x14ac:dyDescent="0.3">
      <c r="F1328" s="14"/>
      <c r="G1328" s="15"/>
      <c r="H1328" s="15"/>
      <c r="I1328" s="16"/>
    </row>
    <row r="1329" spans="6:9" x14ac:dyDescent="0.3">
      <c r="F1329" s="14"/>
      <c r="G1329" s="15"/>
      <c r="H1329" s="15"/>
      <c r="I1329" s="16"/>
    </row>
    <row r="1330" spans="6:9" x14ac:dyDescent="0.3">
      <c r="F1330" s="14"/>
      <c r="G1330" s="15"/>
      <c r="H1330" s="15"/>
      <c r="I1330" s="16"/>
    </row>
    <row r="1331" spans="6:9" x14ac:dyDescent="0.3">
      <c r="F1331" s="14"/>
      <c r="G1331" s="15"/>
      <c r="H1331" s="15"/>
      <c r="I1331" s="16"/>
    </row>
    <row r="1332" spans="6:9" x14ac:dyDescent="0.3">
      <c r="F1332" s="14"/>
      <c r="G1332" s="15"/>
      <c r="H1332" s="15"/>
      <c r="I1332" s="16"/>
    </row>
    <row r="1333" spans="6:9" x14ac:dyDescent="0.3">
      <c r="F1333" s="14"/>
      <c r="G1333" s="15"/>
      <c r="H1333" s="15"/>
      <c r="I1333" s="16"/>
    </row>
    <row r="1334" spans="6:9" x14ac:dyDescent="0.3">
      <c r="F1334" s="14"/>
      <c r="G1334" s="15"/>
      <c r="H1334" s="15"/>
      <c r="I1334" s="16"/>
    </row>
    <row r="1335" spans="6:9" x14ac:dyDescent="0.3">
      <c r="F1335" s="14"/>
      <c r="G1335" s="15"/>
      <c r="H1335" s="15"/>
      <c r="I1335" s="16"/>
    </row>
    <row r="1336" spans="6:9" x14ac:dyDescent="0.3">
      <c r="F1336" s="14"/>
      <c r="G1336" s="15"/>
      <c r="H1336" s="15"/>
      <c r="I1336" s="16"/>
    </row>
    <row r="1337" spans="6:9" x14ac:dyDescent="0.3">
      <c r="F1337" s="14"/>
      <c r="G1337" s="15"/>
      <c r="H1337" s="15"/>
      <c r="I1337" s="16"/>
    </row>
    <row r="1338" spans="6:9" x14ac:dyDescent="0.3">
      <c r="F1338" s="14"/>
      <c r="G1338" s="15"/>
      <c r="H1338" s="15"/>
      <c r="I1338" s="16"/>
    </row>
    <row r="1339" spans="6:9" x14ac:dyDescent="0.3">
      <c r="F1339" s="14"/>
      <c r="G1339" s="15"/>
      <c r="H1339" s="15"/>
      <c r="I1339" s="16"/>
    </row>
    <row r="1340" spans="6:9" x14ac:dyDescent="0.3">
      <c r="F1340" s="14"/>
      <c r="G1340" s="15"/>
      <c r="H1340" s="15"/>
      <c r="I1340" s="16"/>
    </row>
    <row r="1341" spans="6:9" x14ac:dyDescent="0.3">
      <c r="F1341" s="14"/>
      <c r="G1341" s="15"/>
      <c r="H1341" s="15"/>
      <c r="I1341" s="16"/>
    </row>
    <row r="1342" spans="6:9" x14ac:dyDescent="0.3">
      <c r="F1342" s="14"/>
      <c r="G1342" s="15"/>
      <c r="H1342" s="15"/>
      <c r="I1342" s="16"/>
    </row>
    <row r="1343" spans="6:9" x14ac:dyDescent="0.3">
      <c r="F1343" s="14"/>
      <c r="G1343" s="15"/>
      <c r="H1343" s="15"/>
      <c r="I1343" s="16"/>
    </row>
    <row r="1344" spans="6:9" x14ac:dyDescent="0.3">
      <c r="F1344" s="14"/>
      <c r="G1344" s="15"/>
      <c r="H1344" s="15"/>
      <c r="I1344" s="16"/>
    </row>
    <row r="1345" spans="6:9" x14ac:dyDescent="0.3">
      <c r="F1345" s="14"/>
      <c r="G1345" s="15"/>
      <c r="H1345" s="15"/>
      <c r="I1345" s="16"/>
    </row>
    <row r="1346" spans="6:9" x14ac:dyDescent="0.3">
      <c r="F1346" s="14"/>
      <c r="G1346" s="15"/>
      <c r="H1346" s="15"/>
      <c r="I1346" s="16"/>
    </row>
    <row r="1347" spans="6:9" x14ac:dyDescent="0.3">
      <c r="F1347" s="14"/>
      <c r="G1347" s="15"/>
      <c r="H1347" s="15"/>
      <c r="I1347" s="16"/>
    </row>
    <row r="1348" spans="6:9" x14ac:dyDescent="0.3">
      <c r="F1348" s="14"/>
      <c r="G1348" s="15"/>
      <c r="H1348" s="15"/>
      <c r="I1348" s="16"/>
    </row>
    <row r="1349" spans="6:9" x14ac:dyDescent="0.3">
      <c r="F1349" s="14"/>
      <c r="G1349" s="15"/>
      <c r="H1349" s="15"/>
      <c r="I1349" s="16"/>
    </row>
    <row r="1350" spans="6:9" x14ac:dyDescent="0.3">
      <c r="F1350" s="14"/>
      <c r="G1350" s="15"/>
      <c r="H1350" s="15"/>
      <c r="I1350" s="16"/>
    </row>
    <row r="1351" spans="6:9" x14ac:dyDescent="0.3">
      <c r="F1351" s="14"/>
      <c r="G1351" s="15"/>
      <c r="H1351" s="15"/>
      <c r="I1351" s="16"/>
    </row>
    <row r="1352" spans="6:9" x14ac:dyDescent="0.3">
      <c r="F1352" s="14"/>
      <c r="G1352" s="15"/>
      <c r="H1352" s="15"/>
      <c r="I1352" s="16"/>
    </row>
    <row r="1353" spans="6:9" x14ac:dyDescent="0.3">
      <c r="F1353" s="14"/>
      <c r="G1353" s="15"/>
      <c r="H1353" s="15"/>
      <c r="I1353" s="16"/>
    </row>
    <row r="1354" spans="6:9" x14ac:dyDescent="0.3">
      <c r="F1354" s="14"/>
      <c r="G1354" s="15"/>
      <c r="H1354" s="15"/>
      <c r="I1354" s="16"/>
    </row>
    <row r="1355" spans="6:9" x14ac:dyDescent="0.3">
      <c r="F1355" s="14"/>
      <c r="G1355" s="15"/>
      <c r="H1355" s="15"/>
      <c r="I1355" s="16"/>
    </row>
    <row r="1356" spans="6:9" x14ac:dyDescent="0.3">
      <c r="F1356" s="14"/>
      <c r="G1356" s="15"/>
      <c r="H1356" s="15"/>
      <c r="I1356" s="16"/>
    </row>
    <row r="1357" spans="6:9" x14ac:dyDescent="0.3">
      <c r="F1357" s="14"/>
      <c r="G1357" s="15"/>
      <c r="H1357" s="15"/>
      <c r="I1357" s="16"/>
    </row>
    <row r="1358" spans="6:9" x14ac:dyDescent="0.3">
      <c r="F1358" s="14"/>
      <c r="G1358" s="15"/>
      <c r="H1358" s="15"/>
      <c r="I1358" s="16"/>
    </row>
    <row r="1359" spans="6:9" x14ac:dyDescent="0.3">
      <c r="F1359" s="14"/>
      <c r="G1359" s="15"/>
      <c r="H1359" s="15"/>
      <c r="I1359" s="16"/>
    </row>
    <row r="1360" spans="6:9" x14ac:dyDescent="0.3">
      <c r="F1360" s="14"/>
      <c r="G1360" s="15"/>
      <c r="H1360" s="15"/>
      <c r="I1360" s="16"/>
    </row>
    <row r="1361" spans="6:9" x14ac:dyDescent="0.3">
      <c r="F1361" s="14"/>
      <c r="G1361" s="15"/>
      <c r="H1361" s="15"/>
      <c r="I1361" s="16"/>
    </row>
    <row r="1362" spans="6:9" x14ac:dyDescent="0.3">
      <c r="F1362" s="14"/>
      <c r="G1362" s="15"/>
      <c r="H1362" s="15"/>
      <c r="I1362" s="16"/>
    </row>
    <row r="1363" spans="6:9" x14ac:dyDescent="0.3">
      <c r="F1363" s="14"/>
      <c r="G1363" s="15"/>
      <c r="H1363" s="15"/>
      <c r="I1363" s="16"/>
    </row>
    <row r="1364" spans="6:9" x14ac:dyDescent="0.3">
      <c r="F1364" s="14"/>
      <c r="G1364" s="15"/>
      <c r="H1364" s="15"/>
      <c r="I1364" s="16"/>
    </row>
    <row r="1365" spans="6:9" x14ac:dyDescent="0.3">
      <c r="F1365" s="14"/>
      <c r="G1365" s="15"/>
      <c r="H1365" s="15"/>
      <c r="I1365" s="16"/>
    </row>
    <row r="1366" spans="6:9" x14ac:dyDescent="0.3">
      <c r="F1366" s="14"/>
      <c r="G1366" s="15"/>
      <c r="H1366" s="15"/>
      <c r="I1366" s="16"/>
    </row>
    <row r="1367" spans="6:9" x14ac:dyDescent="0.3">
      <c r="F1367" s="14"/>
      <c r="G1367" s="15"/>
      <c r="H1367" s="15"/>
      <c r="I1367" s="16"/>
    </row>
    <row r="1368" spans="6:9" x14ac:dyDescent="0.3">
      <c r="F1368" s="14"/>
      <c r="G1368" s="15"/>
      <c r="H1368" s="15"/>
      <c r="I1368" s="16"/>
    </row>
    <row r="1369" spans="6:9" x14ac:dyDescent="0.3">
      <c r="F1369" s="14"/>
      <c r="G1369" s="15"/>
      <c r="H1369" s="15"/>
      <c r="I1369" s="16"/>
    </row>
    <row r="1370" spans="6:9" x14ac:dyDescent="0.3">
      <c r="F1370" s="14"/>
      <c r="G1370" s="15"/>
      <c r="H1370" s="15"/>
      <c r="I1370" s="16"/>
    </row>
    <row r="1371" spans="6:9" x14ac:dyDescent="0.3">
      <c r="F1371" s="14"/>
      <c r="G1371" s="15"/>
      <c r="H1371" s="15"/>
      <c r="I1371" s="16"/>
    </row>
    <row r="1372" spans="6:9" x14ac:dyDescent="0.3">
      <c r="F1372" s="14"/>
      <c r="G1372" s="15"/>
      <c r="H1372" s="15"/>
      <c r="I1372" s="16"/>
    </row>
    <row r="1373" spans="6:9" x14ac:dyDescent="0.3">
      <c r="F1373" s="14"/>
      <c r="G1373" s="15"/>
      <c r="H1373" s="15"/>
      <c r="I1373" s="16"/>
    </row>
    <row r="1374" spans="6:9" x14ac:dyDescent="0.3">
      <c r="F1374" s="14"/>
      <c r="G1374" s="15"/>
      <c r="H1374" s="15"/>
      <c r="I1374" s="16"/>
    </row>
    <row r="1375" spans="6:9" x14ac:dyDescent="0.3">
      <c r="F1375" s="14"/>
      <c r="G1375" s="15"/>
      <c r="H1375" s="15"/>
      <c r="I1375" s="16"/>
    </row>
    <row r="1376" spans="6:9" x14ac:dyDescent="0.3">
      <c r="F1376" s="14"/>
      <c r="G1376" s="15"/>
      <c r="H1376" s="15"/>
      <c r="I1376" s="16"/>
    </row>
    <row r="1377" spans="6:9" x14ac:dyDescent="0.3">
      <c r="F1377" s="14"/>
      <c r="G1377" s="15"/>
      <c r="H1377" s="15"/>
      <c r="I1377" s="16"/>
    </row>
    <row r="1378" spans="6:9" x14ac:dyDescent="0.3">
      <c r="F1378" s="14"/>
      <c r="G1378" s="15"/>
      <c r="H1378" s="15"/>
      <c r="I1378" s="16"/>
    </row>
    <row r="1379" spans="6:9" x14ac:dyDescent="0.3">
      <c r="F1379" s="14"/>
      <c r="G1379" s="15"/>
      <c r="H1379" s="15"/>
      <c r="I1379" s="16"/>
    </row>
    <row r="1380" spans="6:9" x14ac:dyDescent="0.3">
      <c r="F1380" s="14"/>
      <c r="G1380" s="15"/>
      <c r="H1380" s="15"/>
      <c r="I1380" s="16"/>
    </row>
    <row r="1381" spans="6:9" x14ac:dyDescent="0.3">
      <c r="F1381" s="14"/>
      <c r="G1381" s="15"/>
      <c r="H1381" s="15"/>
      <c r="I1381" s="16"/>
    </row>
    <row r="1382" spans="6:9" x14ac:dyDescent="0.3">
      <c r="F1382" s="14"/>
      <c r="G1382" s="15"/>
      <c r="H1382" s="15"/>
      <c r="I1382" s="16"/>
    </row>
    <row r="1383" spans="6:9" x14ac:dyDescent="0.3">
      <c r="F1383" s="14"/>
      <c r="G1383" s="15"/>
      <c r="H1383" s="15"/>
      <c r="I1383" s="16"/>
    </row>
    <row r="1384" spans="6:9" x14ac:dyDescent="0.3">
      <c r="F1384" s="14"/>
      <c r="G1384" s="15"/>
      <c r="H1384" s="15"/>
      <c r="I1384" s="16"/>
    </row>
    <row r="1385" spans="6:9" x14ac:dyDescent="0.3">
      <c r="F1385" s="14"/>
      <c r="G1385" s="15"/>
      <c r="H1385" s="15"/>
      <c r="I1385" s="16"/>
    </row>
    <row r="1386" spans="6:9" x14ac:dyDescent="0.3">
      <c r="F1386" s="14"/>
      <c r="G1386" s="15"/>
      <c r="H1386" s="15"/>
      <c r="I1386" s="16"/>
    </row>
    <row r="1387" spans="6:9" x14ac:dyDescent="0.3">
      <c r="F1387" s="14"/>
      <c r="G1387" s="15"/>
      <c r="H1387" s="15"/>
      <c r="I1387" s="16"/>
    </row>
    <row r="1388" spans="6:9" x14ac:dyDescent="0.3">
      <c r="F1388" s="14"/>
      <c r="G1388" s="15"/>
      <c r="H1388" s="15"/>
      <c r="I1388" s="16"/>
    </row>
    <row r="1389" spans="6:9" x14ac:dyDescent="0.3">
      <c r="F1389" s="14"/>
      <c r="G1389" s="15"/>
      <c r="H1389" s="15"/>
      <c r="I1389" s="16"/>
    </row>
    <row r="1390" spans="6:9" x14ac:dyDescent="0.3">
      <c r="F1390" s="14"/>
      <c r="G1390" s="15"/>
      <c r="H1390" s="15"/>
      <c r="I1390" s="16"/>
    </row>
    <row r="1391" spans="6:9" x14ac:dyDescent="0.3">
      <c r="F1391" s="14"/>
      <c r="G1391" s="15"/>
      <c r="H1391" s="15"/>
      <c r="I1391" s="16"/>
    </row>
    <row r="1392" spans="6:9" x14ac:dyDescent="0.3">
      <c r="F1392" s="14"/>
      <c r="G1392" s="15"/>
      <c r="H1392" s="15"/>
      <c r="I1392" s="16"/>
    </row>
    <row r="1393" spans="6:9" x14ac:dyDescent="0.3">
      <c r="F1393" s="14"/>
      <c r="G1393" s="15"/>
      <c r="H1393" s="15"/>
      <c r="I1393" s="16"/>
    </row>
    <row r="1394" spans="6:9" x14ac:dyDescent="0.3">
      <c r="F1394" s="14"/>
      <c r="G1394" s="15"/>
      <c r="H1394" s="15"/>
      <c r="I1394" s="16"/>
    </row>
    <row r="1395" spans="6:9" x14ac:dyDescent="0.3">
      <c r="F1395" s="14"/>
      <c r="G1395" s="15"/>
      <c r="H1395" s="15"/>
      <c r="I1395" s="16"/>
    </row>
    <row r="1396" spans="6:9" x14ac:dyDescent="0.3">
      <c r="F1396" s="14"/>
      <c r="G1396" s="15"/>
      <c r="H1396" s="15"/>
      <c r="I1396" s="16"/>
    </row>
    <row r="1397" spans="6:9" x14ac:dyDescent="0.3">
      <c r="F1397" s="14"/>
      <c r="G1397" s="15"/>
      <c r="H1397" s="15"/>
      <c r="I1397" s="16"/>
    </row>
    <row r="1398" spans="6:9" x14ac:dyDescent="0.3">
      <c r="F1398" s="14"/>
      <c r="G1398" s="15"/>
      <c r="H1398" s="15"/>
      <c r="I1398" s="16"/>
    </row>
    <row r="1399" spans="6:9" x14ac:dyDescent="0.3">
      <c r="F1399" s="14"/>
      <c r="G1399" s="15"/>
      <c r="H1399" s="15"/>
      <c r="I1399" s="16"/>
    </row>
    <row r="1400" spans="6:9" x14ac:dyDescent="0.3">
      <c r="F1400" s="14"/>
      <c r="G1400" s="15"/>
      <c r="H1400" s="15"/>
      <c r="I1400" s="16"/>
    </row>
    <row r="1401" spans="6:9" x14ac:dyDescent="0.3">
      <c r="F1401" s="14"/>
      <c r="G1401" s="15"/>
      <c r="H1401" s="15"/>
      <c r="I1401" s="16"/>
    </row>
    <row r="1402" spans="6:9" x14ac:dyDescent="0.3">
      <c r="F1402" s="14"/>
      <c r="G1402" s="15"/>
      <c r="H1402" s="15"/>
      <c r="I1402" s="16"/>
    </row>
    <row r="1403" spans="6:9" x14ac:dyDescent="0.3">
      <c r="F1403" s="14"/>
      <c r="G1403" s="15"/>
      <c r="H1403" s="15"/>
      <c r="I1403" s="16"/>
    </row>
    <row r="1404" spans="6:9" x14ac:dyDescent="0.3">
      <c r="F1404" s="14"/>
      <c r="G1404" s="15"/>
      <c r="H1404" s="15"/>
      <c r="I1404" s="16"/>
    </row>
    <row r="1405" spans="6:9" x14ac:dyDescent="0.3">
      <c r="F1405" s="14"/>
      <c r="G1405" s="15"/>
      <c r="H1405" s="15"/>
      <c r="I1405" s="16"/>
    </row>
    <row r="1406" spans="6:9" x14ac:dyDescent="0.3">
      <c r="F1406" s="14"/>
      <c r="G1406" s="15"/>
      <c r="H1406" s="15"/>
      <c r="I1406" s="16"/>
    </row>
    <row r="1407" spans="6:9" x14ac:dyDescent="0.3">
      <c r="F1407" s="14"/>
      <c r="G1407" s="15"/>
      <c r="H1407" s="15"/>
      <c r="I1407" s="16"/>
    </row>
    <row r="1408" spans="6:9" x14ac:dyDescent="0.3">
      <c r="F1408" s="14"/>
      <c r="G1408" s="15"/>
      <c r="H1408" s="15"/>
      <c r="I1408" s="16"/>
    </row>
    <row r="1409" spans="6:9" x14ac:dyDescent="0.3">
      <c r="F1409" s="14"/>
      <c r="G1409" s="15"/>
      <c r="H1409" s="15"/>
      <c r="I1409" s="16"/>
    </row>
    <row r="1410" spans="6:9" x14ac:dyDescent="0.3">
      <c r="F1410" s="14"/>
      <c r="G1410" s="15"/>
      <c r="H1410" s="15"/>
      <c r="I1410" s="16"/>
    </row>
    <row r="1411" spans="6:9" x14ac:dyDescent="0.3">
      <c r="F1411" s="14"/>
      <c r="G1411" s="15"/>
      <c r="H1411" s="15"/>
      <c r="I1411" s="16"/>
    </row>
    <row r="1412" spans="6:9" x14ac:dyDescent="0.3">
      <c r="F1412" s="14"/>
      <c r="G1412" s="15"/>
      <c r="H1412" s="15"/>
      <c r="I1412" s="16"/>
    </row>
    <row r="1413" spans="6:9" x14ac:dyDescent="0.3">
      <c r="F1413" s="14"/>
      <c r="G1413" s="15"/>
      <c r="H1413" s="15"/>
      <c r="I1413" s="16"/>
    </row>
    <row r="1414" spans="6:9" x14ac:dyDescent="0.3">
      <c r="F1414" s="14"/>
      <c r="G1414" s="15"/>
      <c r="H1414" s="15"/>
      <c r="I1414" s="16"/>
    </row>
    <row r="1415" spans="6:9" x14ac:dyDescent="0.3">
      <c r="F1415" s="14"/>
      <c r="G1415" s="15"/>
      <c r="H1415" s="15"/>
      <c r="I1415" s="16"/>
    </row>
    <row r="1416" spans="6:9" x14ac:dyDescent="0.3">
      <c r="F1416" s="14"/>
      <c r="G1416" s="15"/>
      <c r="H1416" s="15"/>
      <c r="I1416" s="16"/>
    </row>
    <row r="1417" spans="6:9" x14ac:dyDescent="0.3">
      <c r="F1417" s="14"/>
      <c r="G1417" s="15"/>
      <c r="H1417" s="15"/>
      <c r="I1417" s="16"/>
    </row>
    <row r="1418" spans="6:9" x14ac:dyDescent="0.3">
      <c r="F1418" s="14"/>
      <c r="G1418" s="15"/>
      <c r="H1418" s="15"/>
      <c r="I1418" s="16"/>
    </row>
    <row r="1419" spans="6:9" x14ac:dyDescent="0.3">
      <c r="F1419" s="14"/>
      <c r="G1419" s="15"/>
      <c r="H1419" s="15"/>
      <c r="I1419" s="16"/>
    </row>
    <row r="1420" spans="6:9" x14ac:dyDescent="0.3">
      <c r="F1420" s="14"/>
      <c r="G1420" s="15"/>
      <c r="H1420" s="15"/>
      <c r="I1420" s="16"/>
    </row>
    <row r="1421" spans="6:9" x14ac:dyDescent="0.3">
      <c r="F1421" s="14"/>
      <c r="G1421" s="15"/>
      <c r="H1421" s="15"/>
      <c r="I1421" s="16"/>
    </row>
    <row r="1422" spans="6:9" x14ac:dyDescent="0.3">
      <c r="F1422" s="14"/>
      <c r="G1422" s="15"/>
      <c r="H1422" s="15"/>
      <c r="I1422" s="16"/>
    </row>
    <row r="1423" spans="6:9" x14ac:dyDescent="0.3">
      <c r="F1423" s="14"/>
      <c r="G1423" s="15"/>
      <c r="H1423" s="15"/>
      <c r="I1423" s="16"/>
    </row>
    <row r="1424" spans="6:9" x14ac:dyDescent="0.3">
      <c r="F1424" s="14"/>
      <c r="G1424" s="15"/>
      <c r="H1424" s="15"/>
      <c r="I1424" s="16"/>
    </row>
    <row r="1425" spans="6:9" x14ac:dyDescent="0.3">
      <c r="F1425" s="14"/>
      <c r="G1425" s="15"/>
      <c r="H1425" s="15"/>
      <c r="I1425" s="16"/>
    </row>
    <row r="1426" spans="6:9" x14ac:dyDescent="0.3">
      <c r="F1426" s="14"/>
      <c r="G1426" s="15"/>
      <c r="H1426" s="15"/>
      <c r="I1426" s="16"/>
    </row>
    <row r="1427" spans="6:9" x14ac:dyDescent="0.3">
      <c r="F1427" s="14"/>
      <c r="G1427" s="15"/>
      <c r="H1427" s="15"/>
      <c r="I1427" s="16"/>
    </row>
    <row r="1428" spans="6:9" x14ac:dyDescent="0.3">
      <c r="F1428" s="14"/>
      <c r="G1428" s="15"/>
      <c r="H1428" s="15"/>
      <c r="I1428" s="16"/>
    </row>
    <row r="1429" spans="6:9" x14ac:dyDescent="0.3">
      <c r="F1429" s="14"/>
      <c r="G1429" s="15"/>
      <c r="H1429" s="15"/>
      <c r="I1429" s="16"/>
    </row>
    <row r="1430" spans="6:9" x14ac:dyDescent="0.3">
      <c r="F1430" s="14"/>
      <c r="G1430" s="15"/>
      <c r="H1430" s="15"/>
      <c r="I1430" s="16"/>
    </row>
    <row r="1431" spans="6:9" x14ac:dyDescent="0.3">
      <c r="F1431" s="14"/>
      <c r="G1431" s="15"/>
      <c r="H1431" s="15"/>
      <c r="I1431" s="16"/>
    </row>
    <row r="1432" spans="6:9" x14ac:dyDescent="0.3">
      <c r="F1432" s="14"/>
      <c r="G1432" s="15"/>
      <c r="H1432" s="15"/>
      <c r="I1432" s="16"/>
    </row>
    <row r="1433" spans="6:9" x14ac:dyDescent="0.3">
      <c r="F1433" s="14"/>
      <c r="G1433" s="15"/>
      <c r="H1433" s="15"/>
      <c r="I1433" s="16"/>
    </row>
    <row r="1434" spans="6:9" x14ac:dyDescent="0.3">
      <c r="F1434" s="14"/>
      <c r="G1434" s="15"/>
      <c r="H1434" s="15"/>
      <c r="I1434" s="16"/>
    </row>
    <row r="1435" spans="6:9" x14ac:dyDescent="0.3">
      <c r="F1435" s="14"/>
      <c r="G1435" s="15"/>
      <c r="H1435" s="15"/>
      <c r="I1435" s="16"/>
    </row>
    <row r="1436" spans="6:9" x14ac:dyDescent="0.3">
      <c r="F1436" s="14"/>
      <c r="G1436" s="15"/>
      <c r="H1436" s="15"/>
      <c r="I1436" s="16"/>
    </row>
    <row r="1437" spans="6:9" x14ac:dyDescent="0.3">
      <c r="F1437" s="14"/>
      <c r="G1437" s="15"/>
      <c r="H1437" s="15"/>
      <c r="I1437" s="16"/>
    </row>
    <row r="1438" spans="6:9" x14ac:dyDescent="0.3">
      <c r="F1438" s="14"/>
      <c r="G1438" s="15"/>
      <c r="H1438" s="15"/>
      <c r="I1438" s="16"/>
    </row>
    <row r="1439" spans="6:9" x14ac:dyDescent="0.3">
      <c r="F1439" s="14"/>
      <c r="G1439" s="15"/>
      <c r="H1439" s="15"/>
      <c r="I1439" s="16"/>
    </row>
    <row r="1440" spans="6:9" x14ac:dyDescent="0.3">
      <c r="F1440" s="14"/>
      <c r="G1440" s="15"/>
      <c r="H1440" s="15"/>
      <c r="I1440" s="16"/>
    </row>
    <row r="1441" spans="6:9" x14ac:dyDescent="0.3">
      <c r="F1441" s="14"/>
      <c r="G1441" s="15"/>
      <c r="H1441" s="15"/>
      <c r="I1441" s="16"/>
    </row>
    <row r="1442" spans="6:9" x14ac:dyDescent="0.3">
      <c r="F1442" s="14"/>
      <c r="G1442" s="15"/>
      <c r="H1442" s="15"/>
      <c r="I1442" s="16"/>
    </row>
    <row r="1443" spans="6:9" x14ac:dyDescent="0.3">
      <c r="F1443" s="14"/>
      <c r="G1443" s="15"/>
      <c r="H1443" s="15"/>
      <c r="I1443" s="16"/>
    </row>
    <row r="1444" spans="6:9" x14ac:dyDescent="0.3">
      <c r="F1444" s="14"/>
      <c r="G1444" s="15"/>
      <c r="H1444" s="15"/>
      <c r="I1444" s="16"/>
    </row>
    <row r="1445" spans="6:9" x14ac:dyDescent="0.3">
      <c r="F1445" s="14"/>
      <c r="G1445" s="15"/>
      <c r="H1445" s="15"/>
      <c r="I1445" s="16"/>
    </row>
    <row r="1446" spans="6:9" x14ac:dyDescent="0.3">
      <c r="F1446" s="14"/>
      <c r="G1446" s="15"/>
      <c r="H1446" s="15"/>
      <c r="I1446" s="16"/>
    </row>
    <row r="1447" spans="6:9" x14ac:dyDescent="0.3">
      <c r="F1447" s="14"/>
      <c r="G1447" s="15"/>
      <c r="H1447" s="15"/>
      <c r="I1447" s="16"/>
    </row>
    <row r="1448" spans="6:9" x14ac:dyDescent="0.3">
      <c r="F1448" s="14"/>
      <c r="G1448" s="15"/>
      <c r="H1448" s="15"/>
      <c r="I1448" s="16"/>
    </row>
    <row r="1449" spans="6:9" x14ac:dyDescent="0.3">
      <c r="F1449" s="14"/>
      <c r="G1449" s="15"/>
      <c r="H1449" s="15"/>
      <c r="I1449" s="16"/>
    </row>
    <row r="1450" spans="6:9" x14ac:dyDescent="0.3">
      <c r="F1450" s="14"/>
      <c r="G1450" s="15"/>
      <c r="H1450" s="15"/>
      <c r="I1450" s="16"/>
    </row>
    <row r="1451" spans="6:9" x14ac:dyDescent="0.3">
      <c r="F1451" s="14"/>
      <c r="G1451" s="15"/>
      <c r="H1451" s="15"/>
      <c r="I1451" s="16"/>
    </row>
    <row r="1452" spans="6:9" x14ac:dyDescent="0.3">
      <c r="F1452" s="14"/>
      <c r="G1452" s="15"/>
      <c r="H1452" s="15"/>
      <c r="I1452" s="16"/>
    </row>
    <row r="1453" spans="6:9" x14ac:dyDescent="0.3">
      <c r="F1453" s="14"/>
      <c r="G1453" s="15"/>
      <c r="H1453" s="15"/>
      <c r="I1453" s="16"/>
    </row>
    <row r="1454" spans="6:9" x14ac:dyDescent="0.3">
      <c r="F1454" s="14"/>
      <c r="G1454" s="15"/>
      <c r="H1454" s="15"/>
      <c r="I1454" s="16"/>
    </row>
    <row r="1455" spans="6:9" x14ac:dyDescent="0.3">
      <c r="F1455" s="14"/>
      <c r="G1455" s="15"/>
      <c r="H1455" s="15"/>
      <c r="I1455" s="16"/>
    </row>
    <row r="1456" spans="6:9" x14ac:dyDescent="0.3">
      <c r="F1456" s="14"/>
      <c r="G1456" s="15"/>
      <c r="H1456" s="15"/>
      <c r="I1456" s="16"/>
    </row>
    <row r="1457" spans="6:9" x14ac:dyDescent="0.3">
      <c r="F1457" s="14"/>
      <c r="G1457" s="15"/>
      <c r="H1457" s="15"/>
      <c r="I1457" s="16"/>
    </row>
    <row r="1458" spans="6:9" x14ac:dyDescent="0.3">
      <c r="F1458" s="14"/>
      <c r="G1458" s="15"/>
      <c r="H1458" s="15"/>
      <c r="I1458" s="16"/>
    </row>
    <row r="1459" spans="6:9" x14ac:dyDescent="0.3">
      <c r="F1459" s="14"/>
      <c r="G1459" s="15"/>
      <c r="H1459" s="15"/>
      <c r="I1459" s="16"/>
    </row>
    <row r="1460" spans="6:9" x14ac:dyDescent="0.3">
      <c r="F1460" s="14"/>
      <c r="G1460" s="15"/>
      <c r="H1460" s="15"/>
      <c r="I1460" s="16"/>
    </row>
    <row r="1461" spans="6:9" x14ac:dyDescent="0.3">
      <c r="F1461" s="14"/>
      <c r="G1461" s="15"/>
      <c r="H1461" s="15"/>
      <c r="I1461" s="16"/>
    </row>
    <row r="1462" spans="6:9" x14ac:dyDescent="0.3">
      <c r="F1462" s="14"/>
      <c r="G1462" s="15"/>
      <c r="H1462" s="15"/>
      <c r="I1462" s="16"/>
    </row>
    <row r="1463" spans="6:9" x14ac:dyDescent="0.3">
      <c r="F1463" s="14"/>
      <c r="G1463" s="15"/>
      <c r="H1463" s="15"/>
      <c r="I1463" s="16"/>
    </row>
    <row r="1464" spans="6:9" x14ac:dyDescent="0.3">
      <c r="F1464" s="14"/>
      <c r="G1464" s="15"/>
      <c r="H1464" s="15"/>
      <c r="I1464" s="16"/>
    </row>
    <row r="1465" spans="6:9" x14ac:dyDescent="0.3">
      <c r="F1465" s="14"/>
      <c r="G1465" s="15"/>
      <c r="H1465" s="15"/>
      <c r="I1465" s="16"/>
    </row>
    <row r="1466" spans="6:9" x14ac:dyDescent="0.3">
      <c r="F1466" s="14"/>
      <c r="G1466" s="15"/>
      <c r="H1466" s="15"/>
      <c r="I1466" s="16"/>
    </row>
    <row r="1467" spans="6:9" x14ac:dyDescent="0.3">
      <c r="F1467" s="14"/>
      <c r="G1467" s="15"/>
      <c r="H1467" s="15"/>
      <c r="I1467" s="16"/>
    </row>
    <row r="1468" spans="6:9" x14ac:dyDescent="0.3">
      <c r="F1468" s="14"/>
      <c r="G1468" s="15"/>
      <c r="H1468" s="15"/>
      <c r="I1468" s="16"/>
    </row>
    <row r="1469" spans="6:9" x14ac:dyDescent="0.3">
      <c r="F1469" s="14"/>
      <c r="G1469" s="15"/>
      <c r="H1469" s="15"/>
      <c r="I1469" s="16"/>
    </row>
    <row r="1470" spans="6:9" x14ac:dyDescent="0.3">
      <c r="F1470" s="14"/>
      <c r="G1470" s="15"/>
      <c r="H1470" s="15"/>
      <c r="I1470" s="16"/>
    </row>
    <row r="1471" spans="6:9" x14ac:dyDescent="0.3">
      <c r="F1471" s="14"/>
      <c r="G1471" s="15"/>
      <c r="H1471" s="15"/>
      <c r="I1471" s="16"/>
    </row>
    <row r="1472" spans="6:9" x14ac:dyDescent="0.3">
      <c r="F1472" s="14"/>
      <c r="G1472" s="15"/>
      <c r="H1472" s="15"/>
      <c r="I1472" s="16"/>
    </row>
    <row r="1473" spans="6:9" x14ac:dyDescent="0.3">
      <c r="F1473" s="14"/>
      <c r="G1473" s="15"/>
      <c r="H1473" s="15"/>
      <c r="I1473" s="16"/>
    </row>
    <row r="1474" spans="6:9" x14ac:dyDescent="0.3">
      <c r="F1474" s="14"/>
      <c r="G1474" s="15"/>
      <c r="H1474" s="15"/>
      <c r="I1474" s="16"/>
    </row>
    <row r="1475" spans="6:9" x14ac:dyDescent="0.3">
      <c r="F1475" s="14"/>
      <c r="G1475" s="15"/>
      <c r="H1475" s="15"/>
      <c r="I1475" s="16"/>
    </row>
    <row r="1476" spans="6:9" x14ac:dyDescent="0.3">
      <c r="F1476" s="14"/>
      <c r="G1476" s="15"/>
      <c r="H1476" s="15"/>
      <c r="I1476" s="16"/>
    </row>
    <row r="1477" spans="6:9" x14ac:dyDescent="0.3">
      <c r="F1477" s="14"/>
      <c r="G1477" s="15"/>
      <c r="H1477" s="15"/>
      <c r="I1477" s="16"/>
    </row>
    <row r="1478" spans="6:9" x14ac:dyDescent="0.3">
      <c r="F1478" s="14"/>
      <c r="G1478" s="15"/>
      <c r="H1478" s="15"/>
      <c r="I1478" s="16"/>
    </row>
    <row r="1479" spans="6:9" x14ac:dyDescent="0.3">
      <c r="F1479" s="14"/>
      <c r="G1479" s="15"/>
      <c r="H1479" s="15"/>
      <c r="I1479" s="16"/>
    </row>
    <row r="1480" spans="6:9" x14ac:dyDescent="0.3">
      <c r="F1480" s="14"/>
      <c r="G1480" s="15"/>
      <c r="H1480" s="15"/>
      <c r="I1480" s="16"/>
    </row>
    <row r="1481" spans="6:9" x14ac:dyDescent="0.3">
      <c r="F1481" s="14"/>
      <c r="G1481" s="15"/>
      <c r="H1481" s="15"/>
      <c r="I1481" s="16"/>
    </row>
    <row r="1482" spans="6:9" x14ac:dyDescent="0.3">
      <c r="F1482" s="14"/>
      <c r="G1482" s="15"/>
      <c r="H1482" s="15"/>
      <c r="I1482" s="16"/>
    </row>
    <row r="1483" spans="6:9" x14ac:dyDescent="0.3">
      <c r="F1483" s="14"/>
      <c r="G1483" s="15"/>
      <c r="H1483" s="15"/>
      <c r="I1483" s="16"/>
    </row>
    <row r="1484" spans="6:9" x14ac:dyDescent="0.3">
      <c r="F1484" s="14"/>
      <c r="G1484" s="15"/>
      <c r="H1484" s="15"/>
      <c r="I1484" s="16"/>
    </row>
    <row r="1485" spans="6:9" x14ac:dyDescent="0.3">
      <c r="F1485" s="14"/>
      <c r="G1485" s="15"/>
      <c r="H1485" s="15"/>
      <c r="I1485" s="16"/>
    </row>
    <row r="1486" spans="6:9" x14ac:dyDescent="0.3">
      <c r="F1486" s="14"/>
      <c r="G1486" s="15"/>
      <c r="H1486" s="15"/>
      <c r="I1486" s="16"/>
    </row>
    <row r="1487" spans="6:9" x14ac:dyDescent="0.3">
      <c r="F1487" s="14"/>
      <c r="G1487" s="15"/>
      <c r="H1487" s="15"/>
      <c r="I1487" s="16"/>
    </row>
    <row r="1488" spans="6:9" x14ac:dyDescent="0.3">
      <c r="F1488" s="14"/>
      <c r="G1488" s="15"/>
      <c r="H1488" s="15"/>
      <c r="I1488" s="16"/>
    </row>
    <row r="1489" spans="6:9" x14ac:dyDescent="0.3">
      <c r="F1489" s="14"/>
      <c r="G1489" s="15"/>
      <c r="H1489" s="15"/>
      <c r="I1489" s="16"/>
    </row>
    <row r="1490" spans="6:9" x14ac:dyDescent="0.3">
      <c r="F1490" s="14"/>
      <c r="G1490" s="15"/>
      <c r="H1490" s="15"/>
      <c r="I1490" s="16"/>
    </row>
    <row r="1491" spans="6:9" x14ac:dyDescent="0.3">
      <c r="F1491" s="14"/>
      <c r="G1491" s="15"/>
      <c r="H1491" s="15"/>
      <c r="I1491" s="16"/>
    </row>
    <row r="1492" spans="6:9" x14ac:dyDescent="0.3">
      <c r="F1492" s="14"/>
      <c r="G1492" s="15"/>
      <c r="H1492" s="15"/>
      <c r="I1492" s="16"/>
    </row>
    <row r="1493" spans="6:9" x14ac:dyDescent="0.3">
      <c r="F1493" s="14"/>
      <c r="G1493" s="15"/>
      <c r="H1493" s="15"/>
      <c r="I1493" s="16"/>
    </row>
    <row r="1494" spans="6:9" x14ac:dyDescent="0.3">
      <c r="F1494" s="14"/>
      <c r="G1494" s="15"/>
      <c r="H1494" s="15"/>
      <c r="I1494" s="16"/>
    </row>
    <row r="1495" spans="6:9" x14ac:dyDescent="0.3">
      <c r="F1495" s="14"/>
      <c r="G1495" s="15"/>
      <c r="H1495" s="15"/>
      <c r="I1495" s="16"/>
    </row>
    <row r="1496" spans="6:9" x14ac:dyDescent="0.3">
      <c r="F1496" s="14"/>
      <c r="G1496" s="15"/>
      <c r="H1496" s="15"/>
      <c r="I1496" s="16"/>
    </row>
    <row r="1497" spans="6:9" x14ac:dyDescent="0.3">
      <c r="F1497" s="14"/>
      <c r="G1497" s="15"/>
      <c r="H1497" s="15"/>
      <c r="I1497" s="16"/>
    </row>
    <row r="1498" spans="6:9" x14ac:dyDescent="0.3">
      <c r="F1498" s="14"/>
      <c r="G1498" s="15"/>
      <c r="H1498" s="15"/>
      <c r="I1498" s="16"/>
    </row>
    <row r="1499" spans="6:9" x14ac:dyDescent="0.3">
      <c r="F1499" s="14"/>
      <c r="G1499" s="15"/>
      <c r="H1499" s="15"/>
      <c r="I1499" s="16"/>
    </row>
    <row r="1500" spans="6:9" x14ac:dyDescent="0.3">
      <c r="F1500" s="14"/>
      <c r="G1500" s="15"/>
      <c r="H1500" s="15"/>
      <c r="I1500" s="16"/>
    </row>
    <row r="1501" spans="6:9" x14ac:dyDescent="0.3">
      <c r="F1501" s="14"/>
      <c r="G1501" s="15"/>
      <c r="H1501" s="15"/>
      <c r="I1501" s="16"/>
    </row>
    <row r="1502" spans="6:9" x14ac:dyDescent="0.3">
      <c r="F1502" s="14"/>
      <c r="G1502" s="15"/>
      <c r="H1502" s="15"/>
      <c r="I1502" s="16"/>
    </row>
    <row r="1503" spans="6:9" x14ac:dyDescent="0.3">
      <c r="F1503" s="14"/>
      <c r="G1503" s="15"/>
      <c r="H1503" s="15"/>
      <c r="I1503" s="16"/>
    </row>
    <row r="1504" spans="6:9" x14ac:dyDescent="0.3">
      <c r="F1504" s="14"/>
      <c r="G1504" s="15"/>
      <c r="H1504" s="15"/>
      <c r="I1504" s="16"/>
    </row>
    <row r="1505" spans="6:9" x14ac:dyDescent="0.3">
      <c r="F1505" s="14"/>
      <c r="G1505" s="15"/>
      <c r="H1505" s="15"/>
      <c r="I1505" s="16"/>
    </row>
    <row r="1506" spans="6:9" x14ac:dyDescent="0.3">
      <c r="F1506" s="14"/>
      <c r="G1506" s="15"/>
      <c r="H1506" s="15"/>
      <c r="I1506" s="16"/>
    </row>
    <row r="1507" spans="6:9" x14ac:dyDescent="0.3">
      <c r="F1507" s="14"/>
      <c r="G1507" s="15"/>
      <c r="H1507" s="15"/>
      <c r="I1507" s="16"/>
    </row>
    <row r="1508" spans="6:9" x14ac:dyDescent="0.3">
      <c r="F1508" s="14"/>
      <c r="G1508" s="15"/>
      <c r="H1508" s="15"/>
      <c r="I1508" s="16"/>
    </row>
    <row r="1509" spans="6:9" x14ac:dyDescent="0.3">
      <c r="F1509" s="14"/>
      <c r="G1509" s="15"/>
      <c r="H1509" s="15"/>
      <c r="I1509" s="16"/>
    </row>
    <row r="1510" spans="6:9" x14ac:dyDescent="0.3">
      <c r="F1510" s="14"/>
      <c r="G1510" s="15"/>
      <c r="H1510" s="15"/>
      <c r="I1510" s="16"/>
    </row>
    <row r="1511" spans="6:9" x14ac:dyDescent="0.3">
      <c r="F1511" s="14"/>
      <c r="G1511" s="15"/>
      <c r="H1511" s="15"/>
      <c r="I1511" s="16"/>
    </row>
    <row r="1512" spans="6:9" x14ac:dyDescent="0.3">
      <c r="F1512" s="14"/>
      <c r="G1512" s="15"/>
      <c r="H1512" s="15"/>
      <c r="I1512" s="16"/>
    </row>
    <row r="1513" spans="6:9" x14ac:dyDescent="0.3">
      <c r="F1513" s="14"/>
      <c r="G1513" s="15"/>
      <c r="H1513" s="15"/>
      <c r="I1513" s="16"/>
    </row>
    <row r="1514" spans="6:9" x14ac:dyDescent="0.3">
      <c r="F1514" s="14"/>
      <c r="G1514" s="15"/>
      <c r="H1514" s="15"/>
      <c r="I1514" s="16"/>
    </row>
    <row r="1515" spans="6:9" x14ac:dyDescent="0.3">
      <c r="F1515" s="14"/>
      <c r="G1515" s="15"/>
      <c r="H1515" s="15"/>
      <c r="I1515" s="16"/>
    </row>
    <row r="1516" spans="6:9" x14ac:dyDescent="0.3">
      <c r="F1516" s="14"/>
      <c r="G1516" s="15"/>
      <c r="H1516" s="15"/>
      <c r="I1516" s="16"/>
    </row>
    <row r="1517" spans="6:9" x14ac:dyDescent="0.3">
      <c r="F1517" s="14"/>
      <c r="G1517" s="15"/>
      <c r="H1517" s="15"/>
      <c r="I1517" s="16"/>
    </row>
    <row r="1518" spans="6:9" x14ac:dyDescent="0.3">
      <c r="F1518" s="14"/>
      <c r="G1518" s="15"/>
      <c r="H1518" s="15"/>
      <c r="I1518" s="16"/>
    </row>
    <row r="1519" spans="6:9" x14ac:dyDescent="0.3">
      <c r="F1519" s="14"/>
      <c r="G1519" s="15"/>
      <c r="H1519" s="15"/>
      <c r="I1519" s="16"/>
    </row>
    <row r="1520" spans="6:9" x14ac:dyDescent="0.3">
      <c r="F1520" s="14"/>
      <c r="G1520" s="15"/>
      <c r="H1520" s="15"/>
      <c r="I1520" s="16"/>
    </row>
    <row r="1521" spans="6:9" x14ac:dyDescent="0.3">
      <c r="F1521" s="14"/>
      <c r="G1521" s="15"/>
      <c r="H1521" s="15"/>
      <c r="I1521" s="16"/>
    </row>
    <row r="1522" spans="6:9" x14ac:dyDescent="0.3">
      <c r="F1522" s="14"/>
      <c r="G1522" s="15"/>
      <c r="H1522" s="15"/>
      <c r="I1522" s="16"/>
    </row>
    <row r="1523" spans="6:9" x14ac:dyDescent="0.3">
      <c r="F1523" s="14"/>
      <c r="G1523" s="15"/>
      <c r="H1523" s="15"/>
      <c r="I1523" s="16"/>
    </row>
    <row r="1524" spans="6:9" x14ac:dyDescent="0.3">
      <c r="F1524" s="14"/>
      <c r="G1524" s="15"/>
      <c r="H1524" s="15"/>
      <c r="I1524" s="16"/>
    </row>
    <row r="1525" spans="6:9" x14ac:dyDescent="0.3">
      <c r="F1525" s="14"/>
      <c r="G1525" s="15"/>
      <c r="H1525" s="15"/>
      <c r="I1525" s="16"/>
    </row>
    <row r="1526" spans="6:9" x14ac:dyDescent="0.3">
      <c r="F1526" s="14"/>
      <c r="G1526" s="15"/>
      <c r="H1526" s="15"/>
      <c r="I1526" s="16"/>
    </row>
    <row r="1527" spans="6:9" x14ac:dyDescent="0.3">
      <c r="F1527" s="14"/>
      <c r="G1527" s="15"/>
      <c r="H1527" s="15"/>
      <c r="I1527" s="16"/>
    </row>
    <row r="1528" spans="6:9" x14ac:dyDescent="0.3">
      <c r="F1528" s="14"/>
      <c r="G1528" s="15"/>
      <c r="H1528" s="15"/>
      <c r="I1528" s="16"/>
    </row>
    <row r="1529" spans="6:9" x14ac:dyDescent="0.3">
      <c r="F1529" s="14"/>
      <c r="G1529" s="15"/>
      <c r="H1529" s="15"/>
      <c r="I1529" s="16"/>
    </row>
    <row r="1530" spans="6:9" x14ac:dyDescent="0.3">
      <c r="F1530" s="14"/>
      <c r="G1530" s="15"/>
      <c r="H1530" s="15"/>
      <c r="I1530" s="16"/>
    </row>
    <row r="1531" spans="6:9" x14ac:dyDescent="0.3">
      <c r="F1531" s="14"/>
      <c r="G1531" s="15"/>
      <c r="H1531" s="15"/>
      <c r="I1531" s="16"/>
    </row>
    <row r="1532" spans="6:9" x14ac:dyDescent="0.3">
      <c r="F1532" s="14"/>
      <c r="G1532" s="15"/>
      <c r="H1532" s="15"/>
      <c r="I1532" s="16"/>
    </row>
    <row r="1533" spans="6:9" x14ac:dyDescent="0.3">
      <c r="F1533" s="14"/>
      <c r="G1533" s="15"/>
      <c r="H1533" s="15"/>
      <c r="I1533" s="16"/>
    </row>
    <row r="1534" spans="6:9" x14ac:dyDescent="0.3">
      <c r="F1534" s="14"/>
      <c r="G1534" s="15"/>
      <c r="H1534" s="15"/>
      <c r="I1534" s="16"/>
    </row>
    <row r="1535" spans="6:9" x14ac:dyDescent="0.3">
      <c r="F1535" s="14"/>
      <c r="G1535" s="15"/>
      <c r="H1535" s="15"/>
      <c r="I1535" s="16"/>
    </row>
    <row r="1536" spans="6:9" x14ac:dyDescent="0.3">
      <c r="F1536" s="14"/>
      <c r="G1536" s="15"/>
      <c r="H1536" s="15"/>
      <c r="I1536" s="16"/>
    </row>
    <row r="1537" spans="6:9" x14ac:dyDescent="0.3">
      <c r="F1537" s="14"/>
      <c r="G1537" s="15"/>
      <c r="H1537" s="15"/>
      <c r="I1537" s="16"/>
    </row>
    <row r="1538" spans="6:9" x14ac:dyDescent="0.3">
      <c r="F1538" s="14"/>
      <c r="G1538" s="15"/>
      <c r="H1538" s="15"/>
      <c r="I1538" s="16"/>
    </row>
    <row r="1539" spans="6:9" x14ac:dyDescent="0.3">
      <c r="F1539" s="14"/>
      <c r="G1539" s="15"/>
      <c r="H1539" s="15"/>
      <c r="I1539" s="16"/>
    </row>
    <row r="1540" spans="6:9" x14ac:dyDescent="0.3">
      <c r="F1540" s="14"/>
      <c r="G1540" s="15"/>
      <c r="H1540" s="15"/>
      <c r="I1540" s="16"/>
    </row>
    <row r="1541" spans="6:9" x14ac:dyDescent="0.3">
      <c r="F1541" s="14"/>
      <c r="G1541" s="15"/>
      <c r="H1541" s="15"/>
      <c r="I1541" s="16"/>
    </row>
    <row r="1542" spans="6:9" x14ac:dyDescent="0.3">
      <c r="F1542" s="14"/>
      <c r="G1542" s="15"/>
      <c r="H1542" s="15"/>
      <c r="I1542" s="16"/>
    </row>
    <row r="1543" spans="6:9" x14ac:dyDescent="0.3">
      <c r="F1543" s="14"/>
      <c r="G1543" s="15"/>
      <c r="H1543" s="15"/>
      <c r="I1543" s="16"/>
    </row>
    <row r="1544" spans="6:9" x14ac:dyDescent="0.3">
      <c r="F1544" s="14"/>
      <c r="G1544" s="15"/>
      <c r="H1544" s="15"/>
      <c r="I1544" s="16"/>
    </row>
    <row r="1545" spans="6:9" x14ac:dyDescent="0.3">
      <c r="F1545" s="14"/>
      <c r="G1545" s="15"/>
      <c r="H1545" s="15"/>
      <c r="I1545" s="16"/>
    </row>
    <row r="1546" spans="6:9" x14ac:dyDescent="0.3">
      <c r="F1546" s="14"/>
      <c r="G1546" s="15"/>
      <c r="H1546" s="15"/>
      <c r="I1546" s="16"/>
    </row>
    <row r="1547" spans="6:9" x14ac:dyDescent="0.3">
      <c r="F1547" s="14"/>
      <c r="G1547" s="15"/>
      <c r="H1547" s="15"/>
      <c r="I1547" s="16"/>
    </row>
    <row r="1548" spans="6:9" x14ac:dyDescent="0.3">
      <c r="F1548" s="14"/>
      <c r="G1548" s="15"/>
      <c r="H1548" s="15"/>
      <c r="I1548" s="16"/>
    </row>
    <row r="1549" spans="6:9" x14ac:dyDescent="0.3">
      <c r="F1549" s="14"/>
      <c r="G1549" s="15"/>
      <c r="H1549" s="15"/>
      <c r="I1549" s="16"/>
    </row>
    <row r="1550" spans="6:9" x14ac:dyDescent="0.3">
      <c r="F1550" s="14"/>
      <c r="G1550" s="15"/>
      <c r="H1550" s="15"/>
      <c r="I1550" s="16"/>
    </row>
    <row r="1551" spans="6:9" x14ac:dyDescent="0.3">
      <c r="F1551" s="14"/>
      <c r="G1551" s="15"/>
      <c r="H1551" s="15"/>
      <c r="I1551" s="16"/>
    </row>
    <row r="1552" spans="6:9" x14ac:dyDescent="0.3">
      <c r="F1552" s="14"/>
      <c r="G1552" s="15"/>
      <c r="H1552" s="15"/>
      <c r="I1552" s="16"/>
    </row>
    <row r="1553" spans="6:9" x14ac:dyDescent="0.3">
      <c r="F1553" s="14"/>
      <c r="G1553" s="15"/>
      <c r="H1553" s="15"/>
      <c r="I1553" s="16"/>
    </row>
    <row r="1554" spans="6:9" x14ac:dyDescent="0.3">
      <c r="F1554" s="14"/>
      <c r="G1554" s="15"/>
      <c r="H1554" s="15"/>
      <c r="I1554" s="16"/>
    </row>
    <row r="1555" spans="6:9" x14ac:dyDescent="0.3">
      <c r="F1555" s="14"/>
      <c r="G1555" s="15"/>
      <c r="H1555" s="15"/>
      <c r="I1555" s="16"/>
    </row>
    <row r="1556" spans="6:9" x14ac:dyDescent="0.3">
      <c r="F1556" s="14"/>
      <c r="G1556" s="15"/>
      <c r="H1556" s="15"/>
      <c r="I1556" s="16"/>
    </row>
    <row r="1557" spans="6:9" x14ac:dyDescent="0.3">
      <c r="F1557" s="14"/>
      <c r="G1557" s="15"/>
      <c r="H1557" s="15"/>
      <c r="I1557" s="16"/>
    </row>
    <row r="1558" spans="6:9" x14ac:dyDescent="0.3">
      <c r="F1558" s="14"/>
      <c r="G1558" s="15"/>
      <c r="H1558" s="15"/>
      <c r="I1558" s="16"/>
    </row>
    <row r="1559" spans="6:9" x14ac:dyDescent="0.3">
      <c r="F1559" s="14"/>
      <c r="G1559" s="15"/>
      <c r="H1559" s="15"/>
      <c r="I1559" s="16"/>
    </row>
    <row r="1560" spans="6:9" x14ac:dyDescent="0.3">
      <c r="F1560" s="14"/>
      <c r="G1560" s="15"/>
      <c r="H1560" s="15"/>
      <c r="I1560" s="16"/>
    </row>
    <row r="1561" spans="6:9" x14ac:dyDescent="0.3">
      <c r="F1561" s="14"/>
      <c r="G1561" s="15"/>
      <c r="H1561" s="15"/>
      <c r="I1561" s="16"/>
    </row>
    <row r="1562" spans="6:9" x14ac:dyDescent="0.3">
      <c r="F1562" s="14"/>
      <c r="G1562" s="15"/>
      <c r="H1562" s="15"/>
      <c r="I1562" s="16"/>
    </row>
    <row r="1563" spans="6:9" x14ac:dyDescent="0.3">
      <c r="F1563" s="14"/>
      <c r="G1563" s="15"/>
      <c r="H1563" s="15"/>
      <c r="I1563" s="16"/>
    </row>
    <row r="1564" spans="6:9" x14ac:dyDescent="0.3">
      <c r="F1564" s="14"/>
      <c r="G1564" s="15"/>
      <c r="H1564" s="15"/>
      <c r="I1564" s="16"/>
    </row>
    <row r="1565" spans="6:9" x14ac:dyDescent="0.3">
      <c r="F1565" s="14"/>
      <c r="G1565" s="15"/>
      <c r="H1565" s="15"/>
      <c r="I1565" s="16"/>
    </row>
    <row r="1566" spans="6:9" x14ac:dyDescent="0.3">
      <c r="F1566" s="14"/>
      <c r="G1566" s="15"/>
      <c r="H1566" s="15"/>
      <c r="I1566" s="16"/>
    </row>
    <row r="1567" spans="6:9" x14ac:dyDescent="0.3">
      <c r="F1567" s="14"/>
      <c r="G1567" s="15"/>
      <c r="H1567" s="15"/>
      <c r="I1567" s="16"/>
    </row>
    <row r="1568" spans="6:9" x14ac:dyDescent="0.3">
      <c r="F1568" s="14"/>
      <c r="G1568" s="15"/>
      <c r="H1568" s="15"/>
      <c r="I1568" s="16"/>
    </row>
    <row r="1569" spans="6:9" x14ac:dyDescent="0.3">
      <c r="F1569" s="14"/>
      <c r="G1569" s="15"/>
      <c r="H1569" s="15"/>
      <c r="I1569" s="16"/>
    </row>
    <row r="1570" spans="6:9" x14ac:dyDescent="0.3">
      <c r="F1570" s="14"/>
      <c r="G1570" s="15"/>
      <c r="H1570" s="15"/>
      <c r="I1570" s="16"/>
    </row>
    <row r="1571" spans="6:9" x14ac:dyDescent="0.3">
      <c r="F1571" s="14"/>
      <c r="G1571" s="15"/>
      <c r="H1571" s="15"/>
      <c r="I1571" s="16"/>
    </row>
    <row r="1572" spans="6:9" x14ac:dyDescent="0.3">
      <c r="F1572" s="14"/>
      <c r="G1572" s="15"/>
      <c r="H1572" s="15"/>
      <c r="I1572" s="16"/>
    </row>
    <row r="1573" spans="6:9" x14ac:dyDescent="0.3">
      <c r="F1573" s="14"/>
      <c r="G1573" s="15"/>
      <c r="H1573" s="15"/>
      <c r="I1573" s="16"/>
    </row>
    <row r="1574" spans="6:9" x14ac:dyDescent="0.3">
      <c r="F1574" s="14"/>
      <c r="G1574" s="15"/>
      <c r="H1574" s="15"/>
      <c r="I1574" s="16"/>
    </row>
    <row r="1575" spans="6:9" x14ac:dyDescent="0.3">
      <c r="F1575" s="14"/>
      <c r="G1575" s="15"/>
      <c r="H1575" s="15"/>
      <c r="I1575" s="16"/>
    </row>
    <row r="1576" spans="6:9" x14ac:dyDescent="0.3">
      <c r="F1576" s="14"/>
      <c r="G1576" s="15"/>
      <c r="H1576" s="15"/>
      <c r="I1576" s="16"/>
    </row>
    <row r="1577" spans="6:9" x14ac:dyDescent="0.3">
      <c r="F1577" s="14"/>
      <c r="G1577" s="15"/>
      <c r="H1577" s="15"/>
      <c r="I1577" s="16"/>
    </row>
    <row r="1578" spans="6:9" x14ac:dyDescent="0.3">
      <c r="F1578" s="14"/>
      <c r="G1578" s="15"/>
      <c r="H1578" s="15"/>
      <c r="I1578" s="16"/>
    </row>
    <row r="1579" spans="6:9" x14ac:dyDescent="0.3">
      <c r="F1579" s="14"/>
      <c r="G1579" s="15"/>
      <c r="H1579" s="15"/>
      <c r="I1579" s="16"/>
    </row>
    <row r="1580" spans="6:9" x14ac:dyDescent="0.3">
      <c r="F1580" s="14"/>
      <c r="G1580" s="15"/>
      <c r="H1580" s="15"/>
      <c r="I1580" s="16"/>
    </row>
    <row r="1581" spans="6:9" x14ac:dyDescent="0.3">
      <c r="F1581" s="14"/>
      <c r="G1581" s="15"/>
      <c r="H1581" s="15"/>
      <c r="I1581" s="16"/>
    </row>
    <row r="1582" spans="6:9" x14ac:dyDescent="0.3">
      <c r="F1582" s="14"/>
      <c r="G1582" s="15"/>
      <c r="H1582" s="15"/>
      <c r="I1582" s="16"/>
    </row>
    <row r="1583" spans="6:9" x14ac:dyDescent="0.3">
      <c r="F1583" s="14"/>
      <c r="G1583" s="15"/>
      <c r="H1583" s="15"/>
      <c r="I1583" s="16"/>
    </row>
    <row r="1584" spans="6:9" x14ac:dyDescent="0.3">
      <c r="F1584" s="14"/>
      <c r="G1584" s="15"/>
      <c r="H1584" s="15"/>
      <c r="I1584" s="16"/>
    </row>
    <row r="1585" spans="6:9" x14ac:dyDescent="0.3">
      <c r="F1585" s="14"/>
      <c r="G1585" s="15"/>
      <c r="H1585" s="15"/>
      <c r="I1585" s="16"/>
    </row>
    <row r="1586" spans="6:9" x14ac:dyDescent="0.3">
      <c r="F1586" s="14"/>
      <c r="G1586" s="15"/>
      <c r="H1586" s="15"/>
      <c r="I1586" s="16"/>
    </row>
    <row r="1587" spans="6:9" x14ac:dyDescent="0.3">
      <c r="F1587" s="14"/>
      <c r="G1587" s="15"/>
      <c r="H1587" s="15"/>
      <c r="I1587" s="16"/>
    </row>
    <row r="1588" spans="6:9" x14ac:dyDescent="0.3">
      <c r="F1588" s="14"/>
      <c r="G1588" s="15"/>
      <c r="H1588" s="15"/>
      <c r="I1588" s="16"/>
    </row>
    <row r="1589" spans="6:9" x14ac:dyDescent="0.3">
      <c r="F1589" s="14"/>
      <c r="G1589" s="15"/>
      <c r="H1589" s="15"/>
      <c r="I1589" s="16"/>
    </row>
    <row r="1590" spans="6:9" x14ac:dyDescent="0.3">
      <c r="F1590" s="14"/>
      <c r="G1590" s="15"/>
      <c r="H1590" s="15"/>
      <c r="I1590" s="16"/>
    </row>
    <row r="1591" spans="6:9" x14ac:dyDescent="0.3">
      <c r="F1591" s="14"/>
      <c r="G1591" s="15"/>
      <c r="H1591" s="15"/>
      <c r="I1591" s="16"/>
    </row>
    <row r="1592" spans="6:9" x14ac:dyDescent="0.3">
      <c r="F1592" s="14"/>
      <c r="G1592" s="15"/>
      <c r="H1592" s="15"/>
      <c r="I1592" s="16"/>
    </row>
    <row r="1593" spans="6:9" x14ac:dyDescent="0.3">
      <c r="F1593" s="14"/>
      <c r="G1593" s="15"/>
      <c r="H1593" s="15"/>
      <c r="I1593" s="16"/>
    </row>
    <row r="1594" spans="6:9" x14ac:dyDescent="0.3">
      <c r="F1594" s="14"/>
      <c r="G1594" s="15"/>
      <c r="H1594" s="15"/>
      <c r="I1594" s="16"/>
    </row>
    <row r="1595" spans="6:9" x14ac:dyDescent="0.3">
      <c r="F1595" s="14"/>
      <c r="G1595" s="15"/>
      <c r="H1595" s="15"/>
      <c r="I1595" s="16"/>
    </row>
    <row r="1596" spans="6:9" x14ac:dyDescent="0.3">
      <c r="F1596" s="14"/>
      <c r="G1596" s="15"/>
      <c r="H1596" s="15"/>
      <c r="I1596" s="16"/>
    </row>
    <row r="1597" spans="6:9" x14ac:dyDescent="0.3">
      <c r="F1597" s="14"/>
      <c r="G1597" s="15"/>
      <c r="H1597" s="15"/>
      <c r="I1597" s="16"/>
    </row>
    <row r="1598" spans="6:9" x14ac:dyDescent="0.3">
      <c r="F1598" s="14"/>
      <c r="G1598" s="15"/>
      <c r="H1598" s="15"/>
      <c r="I1598" s="16"/>
    </row>
    <row r="1599" spans="6:9" x14ac:dyDescent="0.3">
      <c r="F1599" s="14"/>
      <c r="G1599" s="15"/>
      <c r="H1599" s="15"/>
      <c r="I1599" s="16"/>
    </row>
    <row r="1600" spans="6:9" x14ac:dyDescent="0.3">
      <c r="F1600" s="14"/>
      <c r="G1600" s="15"/>
      <c r="H1600" s="15"/>
      <c r="I1600" s="16"/>
    </row>
    <row r="1601" spans="6:9" x14ac:dyDescent="0.3">
      <c r="F1601" s="14"/>
      <c r="G1601" s="15"/>
      <c r="H1601" s="15"/>
      <c r="I1601" s="16"/>
    </row>
    <row r="1602" spans="6:9" x14ac:dyDescent="0.3">
      <c r="F1602" s="14"/>
      <c r="G1602" s="15"/>
      <c r="H1602" s="15"/>
      <c r="I1602" s="16"/>
    </row>
    <row r="1603" spans="6:9" x14ac:dyDescent="0.3">
      <c r="F1603" s="14"/>
      <c r="G1603" s="15"/>
      <c r="H1603" s="15"/>
      <c r="I1603" s="16"/>
    </row>
    <row r="1604" spans="6:9" x14ac:dyDescent="0.3">
      <c r="F1604" s="14"/>
      <c r="G1604" s="15"/>
      <c r="H1604" s="15"/>
      <c r="I1604" s="16"/>
    </row>
    <row r="1605" spans="6:9" x14ac:dyDescent="0.3">
      <c r="F1605" s="14"/>
      <c r="G1605" s="15"/>
      <c r="H1605" s="15"/>
      <c r="I1605" s="16"/>
    </row>
    <row r="1606" spans="6:9" x14ac:dyDescent="0.3">
      <c r="F1606" s="14"/>
      <c r="G1606" s="15"/>
      <c r="H1606" s="15"/>
      <c r="I1606" s="16"/>
    </row>
    <row r="1607" spans="6:9" x14ac:dyDescent="0.3">
      <c r="F1607" s="14"/>
      <c r="G1607" s="15"/>
      <c r="H1607" s="15"/>
      <c r="I1607" s="16"/>
    </row>
    <row r="1608" spans="6:9" x14ac:dyDescent="0.3">
      <c r="F1608" s="14"/>
      <c r="G1608" s="15"/>
      <c r="H1608" s="15"/>
      <c r="I1608" s="16"/>
    </row>
    <row r="1609" spans="6:9" x14ac:dyDescent="0.3">
      <c r="F1609" s="14"/>
      <c r="G1609" s="15"/>
      <c r="H1609" s="15"/>
      <c r="I1609" s="16"/>
    </row>
    <row r="1610" spans="6:9" x14ac:dyDescent="0.3">
      <c r="F1610" s="14"/>
      <c r="G1610" s="15"/>
      <c r="H1610" s="15"/>
      <c r="I1610" s="16"/>
    </row>
    <row r="1611" spans="6:9" x14ac:dyDescent="0.3">
      <c r="F1611" s="14"/>
      <c r="G1611" s="15"/>
      <c r="H1611" s="15"/>
      <c r="I1611" s="16"/>
    </row>
    <row r="1612" spans="6:9" x14ac:dyDescent="0.3">
      <c r="F1612" s="14"/>
      <c r="G1612" s="15"/>
      <c r="H1612" s="15"/>
      <c r="I1612" s="16"/>
    </row>
    <row r="1613" spans="6:9" x14ac:dyDescent="0.3">
      <c r="F1613" s="14"/>
      <c r="G1613" s="15"/>
      <c r="H1613" s="15"/>
      <c r="I1613" s="16"/>
    </row>
    <row r="1614" spans="6:9" x14ac:dyDescent="0.3">
      <c r="F1614" s="14"/>
      <c r="G1614" s="15"/>
      <c r="H1614" s="15"/>
      <c r="I1614" s="16"/>
    </row>
    <row r="1615" spans="6:9" x14ac:dyDescent="0.3">
      <c r="F1615" s="14"/>
      <c r="G1615" s="15"/>
      <c r="H1615" s="15"/>
      <c r="I1615" s="16"/>
    </row>
    <row r="1616" spans="6:9" x14ac:dyDescent="0.3">
      <c r="F1616" s="14"/>
      <c r="G1616" s="15"/>
      <c r="H1616" s="15"/>
      <c r="I1616" s="16"/>
    </row>
    <row r="1617" spans="6:9" x14ac:dyDescent="0.3">
      <c r="F1617" s="14"/>
      <c r="G1617" s="15"/>
      <c r="H1617" s="15"/>
      <c r="I1617" s="16"/>
    </row>
    <row r="1618" spans="6:9" x14ac:dyDescent="0.3">
      <c r="F1618" s="14"/>
      <c r="G1618" s="15"/>
      <c r="H1618" s="15"/>
      <c r="I1618" s="16"/>
    </row>
    <row r="1619" spans="6:9" x14ac:dyDescent="0.3">
      <c r="F1619" s="14"/>
      <c r="G1619" s="15"/>
      <c r="H1619" s="15"/>
      <c r="I1619" s="16"/>
    </row>
    <row r="1620" spans="6:9" x14ac:dyDescent="0.3">
      <c r="F1620" s="14"/>
      <c r="G1620" s="15"/>
      <c r="H1620" s="15"/>
      <c r="I1620" s="16"/>
    </row>
    <row r="1621" spans="6:9" x14ac:dyDescent="0.3">
      <c r="F1621" s="14"/>
      <c r="G1621" s="15"/>
      <c r="H1621" s="15"/>
      <c r="I1621" s="16"/>
    </row>
    <row r="1622" spans="6:9" x14ac:dyDescent="0.3">
      <c r="F1622" s="14"/>
      <c r="G1622" s="15"/>
      <c r="H1622" s="15"/>
      <c r="I1622" s="16"/>
    </row>
    <row r="1623" spans="6:9" x14ac:dyDescent="0.3">
      <c r="F1623" s="14"/>
      <c r="G1623" s="15"/>
      <c r="H1623" s="15"/>
      <c r="I1623" s="16"/>
    </row>
    <row r="1624" spans="6:9" x14ac:dyDescent="0.3">
      <c r="F1624" s="14"/>
      <c r="G1624" s="15"/>
      <c r="H1624" s="15"/>
      <c r="I1624" s="16"/>
    </row>
    <row r="1625" spans="6:9" x14ac:dyDescent="0.3">
      <c r="F1625" s="14"/>
      <c r="G1625" s="15"/>
      <c r="H1625" s="15"/>
      <c r="I1625" s="16"/>
    </row>
    <row r="1626" spans="6:9" x14ac:dyDescent="0.3">
      <c r="F1626" s="14"/>
      <c r="G1626" s="15"/>
      <c r="H1626" s="15"/>
      <c r="I1626" s="16"/>
    </row>
    <row r="1627" spans="6:9" x14ac:dyDescent="0.3">
      <c r="F1627" s="14"/>
      <c r="G1627" s="15"/>
      <c r="H1627" s="15"/>
      <c r="I1627" s="16"/>
    </row>
    <row r="1628" spans="6:9" x14ac:dyDescent="0.3">
      <c r="F1628" s="14"/>
      <c r="G1628" s="15"/>
      <c r="H1628" s="15"/>
      <c r="I1628" s="16"/>
    </row>
    <row r="1629" spans="6:9" x14ac:dyDescent="0.3">
      <c r="F1629" s="14"/>
      <c r="G1629" s="15"/>
      <c r="H1629" s="15"/>
      <c r="I1629" s="16"/>
    </row>
    <row r="1630" spans="6:9" x14ac:dyDescent="0.3">
      <c r="F1630" s="14"/>
      <c r="G1630" s="15"/>
      <c r="H1630" s="15"/>
      <c r="I1630" s="16"/>
    </row>
    <row r="1631" spans="6:9" x14ac:dyDescent="0.3">
      <c r="F1631" s="14"/>
      <c r="G1631" s="15"/>
      <c r="H1631" s="15"/>
      <c r="I1631" s="16"/>
    </row>
    <row r="1632" spans="6:9" x14ac:dyDescent="0.3">
      <c r="F1632" s="14"/>
      <c r="G1632" s="15"/>
      <c r="H1632" s="15"/>
      <c r="I1632" s="16"/>
    </row>
    <row r="1633" spans="6:9" x14ac:dyDescent="0.3">
      <c r="F1633" s="14"/>
      <c r="G1633" s="15"/>
      <c r="H1633" s="15"/>
      <c r="I1633" s="16"/>
    </row>
    <row r="1634" spans="6:9" x14ac:dyDescent="0.3">
      <c r="F1634" s="14"/>
      <c r="G1634" s="15"/>
      <c r="H1634" s="15"/>
      <c r="I1634" s="16"/>
    </row>
    <row r="1635" spans="6:9" x14ac:dyDescent="0.3">
      <c r="F1635" s="14"/>
      <c r="G1635" s="15"/>
      <c r="H1635" s="15"/>
      <c r="I1635" s="16"/>
    </row>
    <row r="1636" spans="6:9" x14ac:dyDescent="0.3">
      <c r="F1636" s="14"/>
      <c r="G1636" s="15"/>
      <c r="H1636" s="15"/>
      <c r="I1636" s="16"/>
    </row>
    <row r="1637" spans="6:9" x14ac:dyDescent="0.3">
      <c r="F1637" s="14"/>
      <c r="G1637" s="15"/>
      <c r="H1637" s="15"/>
      <c r="I1637" s="16"/>
    </row>
    <row r="1638" spans="6:9" x14ac:dyDescent="0.3">
      <c r="F1638" s="14"/>
      <c r="G1638" s="15"/>
      <c r="H1638" s="15"/>
      <c r="I1638" s="16"/>
    </row>
    <row r="1639" spans="6:9" x14ac:dyDescent="0.3">
      <c r="F1639" s="14"/>
      <c r="G1639" s="15"/>
      <c r="H1639" s="15"/>
      <c r="I1639" s="16"/>
    </row>
    <row r="1640" spans="6:9" x14ac:dyDescent="0.3">
      <c r="F1640" s="14"/>
      <c r="G1640" s="15"/>
      <c r="H1640" s="15"/>
      <c r="I1640" s="16"/>
    </row>
    <row r="1641" spans="6:9" x14ac:dyDescent="0.3">
      <c r="F1641" s="14"/>
      <c r="G1641" s="15"/>
      <c r="H1641" s="15"/>
      <c r="I1641" s="16"/>
    </row>
    <row r="1642" spans="6:9" x14ac:dyDescent="0.3">
      <c r="F1642" s="14"/>
      <c r="G1642" s="15"/>
      <c r="H1642" s="15"/>
      <c r="I1642" s="16"/>
    </row>
    <row r="1643" spans="6:9" x14ac:dyDescent="0.3">
      <c r="F1643" s="14"/>
      <c r="G1643" s="15"/>
      <c r="H1643" s="15"/>
      <c r="I1643" s="16"/>
    </row>
    <row r="1644" spans="6:9" x14ac:dyDescent="0.3">
      <c r="F1644" s="14"/>
      <c r="G1644" s="15"/>
      <c r="H1644" s="15"/>
      <c r="I1644" s="16"/>
    </row>
    <row r="1645" spans="6:9" x14ac:dyDescent="0.3">
      <c r="F1645" s="14"/>
      <c r="G1645" s="15"/>
      <c r="H1645" s="15"/>
      <c r="I1645" s="16"/>
    </row>
    <row r="1646" spans="6:9" x14ac:dyDescent="0.3">
      <c r="F1646" s="14"/>
      <c r="G1646" s="15"/>
      <c r="H1646" s="15"/>
      <c r="I1646" s="16"/>
    </row>
    <row r="1647" spans="6:9" x14ac:dyDescent="0.3">
      <c r="F1647" s="14"/>
      <c r="G1647" s="15"/>
      <c r="H1647" s="15"/>
      <c r="I1647" s="16"/>
    </row>
    <row r="1648" spans="6:9" x14ac:dyDescent="0.3">
      <c r="F1648" s="14"/>
      <c r="G1648" s="15"/>
      <c r="H1648" s="15"/>
      <c r="I1648" s="16"/>
    </row>
    <row r="1649" spans="6:9" x14ac:dyDescent="0.3">
      <c r="F1649" s="14"/>
      <c r="G1649" s="15"/>
      <c r="H1649" s="15"/>
      <c r="I1649" s="16"/>
    </row>
    <row r="1650" spans="6:9" x14ac:dyDescent="0.3">
      <c r="F1650" s="14"/>
      <c r="G1650" s="15"/>
      <c r="H1650" s="15"/>
      <c r="I1650" s="16"/>
    </row>
    <row r="1651" spans="6:9" x14ac:dyDescent="0.3">
      <c r="F1651" s="14"/>
      <c r="G1651" s="15"/>
      <c r="H1651" s="15"/>
      <c r="I1651" s="16"/>
    </row>
    <row r="1652" spans="6:9" x14ac:dyDescent="0.3">
      <c r="F1652" s="14"/>
      <c r="G1652" s="15"/>
      <c r="H1652" s="15"/>
      <c r="I1652" s="16"/>
    </row>
    <row r="1653" spans="6:9" x14ac:dyDescent="0.3">
      <c r="F1653" s="14"/>
      <c r="G1653" s="15"/>
      <c r="H1653" s="15"/>
      <c r="I1653" s="16"/>
    </row>
    <row r="1654" spans="6:9" x14ac:dyDescent="0.3">
      <c r="F1654" s="14"/>
      <c r="G1654" s="15"/>
      <c r="H1654" s="15"/>
      <c r="I1654" s="16"/>
    </row>
    <row r="1655" spans="6:9" x14ac:dyDescent="0.3">
      <c r="F1655" s="14"/>
      <c r="G1655" s="15"/>
      <c r="H1655" s="15"/>
      <c r="I1655" s="16"/>
    </row>
    <row r="1656" spans="6:9" x14ac:dyDescent="0.3">
      <c r="F1656" s="14"/>
      <c r="G1656" s="15"/>
      <c r="H1656" s="15"/>
      <c r="I1656" s="16"/>
    </row>
    <row r="1657" spans="6:9" x14ac:dyDescent="0.3">
      <c r="F1657" s="14"/>
      <c r="G1657" s="15"/>
      <c r="H1657" s="15"/>
      <c r="I1657" s="16"/>
    </row>
    <row r="1658" spans="6:9" x14ac:dyDescent="0.3">
      <c r="F1658" s="14"/>
      <c r="G1658" s="15"/>
      <c r="H1658" s="15"/>
      <c r="I1658" s="16"/>
    </row>
    <row r="1659" spans="6:9" x14ac:dyDescent="0.3">
      <c r="F1659" s="14"/>
      <c r="G1659" s="15"/>
      <c r="H1659" s="15"/>
      <c r="I1659" s="16"/>
    </row>
    <row r="1660" spans="6:9" x14ac:dyDescent="0.3">
      <c r="F1660" s="14"/>
      <c r="G1660" s="15"/>
      <c r="H1660" s="15"/>
      <c r="I1660" s="16"/>
    </row>
    <row r="1661" spans="6:9" x14ac:dyDescent="0.3">
      <c r="F1661" s="14"/>
      <c r="G1661" s="15"/>
      <c r="H1661" s="15"/>
      <c r="I1661" s="16"/>
    </row>
    <row r="1662" spans="6:9" x14ac:dyDescent="0.3">
      <c r="F1662" s="14"/>
      <c r="G1662" s="15"/>
      <c r="H1662" s="15"/>
      <c r="I1662" s="16"/>
    </row>
    <row r="1663" spans="6:9" x14ac:dyDescent="0.3">
      <c r="F1663" s="14"/>
      <c r="G1663" s="15"/>
      <c r="H1663" s="15"/>
      <c r="I1663" s="16"/>
    </row>
    <row r="1664" spans="6:9" x14ac:dyDescent="0.3">
      <c r="F1664" s="14"/>
      <c r="G1664" s="15"/>
      <c r="H1664" s="15"/>
      <c r="I1664" s="16"/>
    </row>
    <row r="1665" spans="6:9" x14ac:dyDescent="0.3">
      <c r="F1665" s="14"/>
      <c r="G1665" s="15"/>
      <c r="H1665" s="15"/>
      <c r="I1665" s="16"/>
    </row>
    <row r="1666" spans="6:9" x14ac:dyDescent="0.3">
      <c r="F1666" s="14"/>
      <c r="G1666" s="15"/>
      <c r="H1666" s="15"/>
      <c r="I1666" s="16"/>
    </row>
    <row r="1667" spans="6:9" x14ac:dyDescent="0.3">
      <c r="F1667" s="14"/>
      <c r="G1667" s="15"/>
      <c r="H1667" s="15"/>
      <c r="I1667" s="16"/>
    </row>
    <row r="1668" spans="6:9" x14ac:dyDescent="0.3">
      <c r="F1668" s="14"/>
      <c r="G1668" s="15"/>
      <c r="H1668" s="15"/>
      <c r="I1668" s="16"/>
    </row>
    <row r="1669" spans="6:9" x14ac:dyDescent="0.3">
      <c r="F1669" s="14"/>
      <c r="G1669" s="15"/>
      <c r="H1669" s="15"/>
      <c r="I1669" s="16"/>
    </row>
    <row r="1670" spans="6:9" x14ac:dyDescent="0.3">
      <c r="F1670" s="14"/>
      <c r="G1670" s="15"/>
      <c r="H1670" s="15"/>
      <c r="I1670" s="16"/>
    </row>
    <row r="1671" spans="6:9" x14ac:dyDescent="0.3">
      <c r="F1671" s="14"/>
      <c r="G1671" s="15"/>
      <c r="H1671" s="15"/>
      <c r="I1671" s="16"/>
    </row>
    <row r="1672" spans="6:9" x14ac:dyDescent="0.3">
      <c r="F1672" s="14"/>
      <c r="G1672" s="15"/>
      <c r="H1672" s="15"/>
      <c r="I1672" s="16"/>
    </row>
    <row r="1673" spans="6:9" x14ac:dyDescent="0.3">
      <c r="F1673" s="14"/>
      <c r="G1673" s="15"/>
      <c r="H1673" s="15"/>
      <c r="I1673" s="16"/>
    </row>
    <row r="1674" spans="6:9" x14ac:dyDescent="0.3">
      <c r="F1674" s="14"/>
      <c r="G1674" s="15"/>
      <c r="H1674" s="15"/>
      <c r="I1674" s="16"/>
    </row>
    <row r="1675" spans="6:9" x14ac:dyDescent="0.3">
      <c r="F1675" s="14"/>
      <c r="G1675" s="15"/>
      <c r="H1675" s="15"/>
      <c r="I1675" s="16"/>
    </row>
    <row r="1676" spans="6:9" x14ac:dyDescent="0.3">
      <c r="F1676" s="14"/>
      <c r="G1676" s="15"/>
      <c r="H1676" s="15"/>
      <c r="I1676" s="16"/>
    </row>
    <row r="1677" spans="6:9" x14ac:dyDescent="0.3">
      <c r="F1677" s="14"/>
      <c r="G1677" s="15"/>
      <c r="H1677" s="15"/>
      <c r="I1677" s="16"/>
    </row>
    <row r="1678" spans="6:9" x14ac:dyDescent="0.3">
      <c r="F1678" s="14"/>
      <c r="G1678" s="15"/>
      <c r="H1678" s="15"/>
      <c r="I1678" s="16"/>
    </row>
    <row r="1679" spans="6:9" x14ac:dyDescent="0.3">
      <c r="F1679" s="14"/>
      <c r="G1679" s="15"/>
      <c r="H1679" s="15"/>
      <c r="I1679" s="16"/>
    </row>
    <row r="1680" spans="6:9" x14ac:dyDescent="0.3">
      <c r="F1680" s="14"/>
      <c r="G1680" s="15"/>
      <c r="H1680" s="15"/>
      <c r="I1680" s="16"/>
    </row>
    <row r="1681" spans="6:9" x14ac:dyDescent="0.3">
      <c r="F1681" s="14"/>
      <c r="G1681" s="15"/>
      <c r="H1681" s="15"/>
      <c r="I1681" s="16"/>
    </row>
    <row r="1682" spans="6:9" x14ac:dyDescent="0.3">
      <c r="F1682" s="14"/>
      <c r="G1682" s="15"/>
      <c r="H1682" s="15"/>
      <c r="I1682" s="16"/>
    </row>
    <row r="1683" spans="6:9" x14ac:dyDescent="0.3">
      <c r="F1683" s="14"/>
      <c r="G1683" s="15"/>
      <c r="H1683" s="15"/>
      <c r="I1683" s="16"/>
    </row>
    <row r="1684" spans="6:9" x14ac:dyDescent="0.3">
      <c r="F1684" s="14"/>
      <c r="G1684" s="15"/>
      <c r="H1684" s="15"/>
      <c r="I1684" s="16"/>
    </row>
    <row r="1685" spans="6:9" x14ac:dyDescent="0.3">
      <c r="F1685" s="14"/>
      <c r="G1685" s="15"/>
      <c r="H1685" s="15"/>
      <c r="I1685" s="16"/>
    </row>
    <row r="1686" spans="6:9" x14ac:dyDescent="0.3">
      <c r="F1686" s="14"/>
      <c r="G1686" s="15"/>
      <c r="H1686" s="15"/>
      <c r="I1686" s="16"/>
    </row>
    <row r="1687" spans="6:9" x14ac:dyDescent="0.3">
      <c r="F1687" s="14"/>
      <c r="G1687" s="15"/>
      <c r="H1687" s="15"/>
      <c r="I1687" s="16"/>
    </row>
    <row r="1688" spans="6:9" x14ac:dyDescent="0.3">
      <c r="F1688" s="14"/>
      <c r="G1688" s="15"/>
      <c r="H1688" s="15"/>
      <c r="I1688" s="16"/>
    </row>
    <row r="1689" spans="6:9" x14ac:dyDescent="0.3">
      <c r="F1689" s="14"/>
      <c r="G1689" s="15"/>
      <c r="H1689" s="15"/>
      <c r="I1689" s="16"/>
    </row>
    <row r="1690" spans="6:9" x14ac:dyDescent="0.3">
      <c r="F1690" s="14"/>
      <c r="G1690" s="15"/>
      <c r="H1690" s="15"/>
      <c r="I1690" s="16"/>
    </row>
    <row r="1691" spans="6:9" x14ac:dyDescent="0.3">
      <c r="F1691" s="14"/>
      <c r="G1691" s="15"/>
      <c r="H1691" s="15"/>
      <c r="I1691" s="16"/>
    </row>
    <row r="1692" spans="6:9" x14ac:dyDescent="0.3">
      <c r="F1692" s="14"/>
      <c r="G1692" s="15"/>
      <c r="H1692" s="15"/>
      <c r="I1692" s="16"/>
    </row>
    <row r="1693" spans="6:9" x14ac:dyDescent="0.3">
      <c r="F1693" s="14"/>
      <c r="G1693" s="15"/>
      <c r="H1693" s="15"/>
      <c r="I1693" s="16"/>
    </row>
    <row r="1694" spans="6:9" x14ac:dyDescent="0.3">
      <c r="F1694" s="14"/>
      <c r="G1694" s="15"/>
      <c r="H1694" s="15"/>
      <c r="I1694" s="16"/>
    </row>
    <row r="1695" spans="6:9" x14ac:dyDescent="0.3">
      <c r="F1695" s="14"/>
      <c r="G1695" s="15"/>
      <c r="H1695" s="15"/>
      <c r="I1695" s="16"/>
    </row>
    <row r="1696" spans="6:9" x14ac:dyDescent="0.3">
      <c r="F1696" s="14"/>
      <c r="G1696" s="15"/>
      <c r="H1696" s="15"/>
      <c r="I1696" s="16"/>
    </row>
    <row r="1697" spans="6:9" x14ac:dyDescent="0.3">
      <c r="F1697" s="14"/>
      <c r="G1697" s="15"/>
      <c r="H1697" s="15"/>
      <c r="I1697" s="16"/>
    </row>
    <row r="1698" spans="6:9" x14ac:dyDescent="0.3">
      <c r="F1698" s="14"/>
      <c r="G1698" s="15"/>
      <c r="H1698" s="15"/>
      <c r="I1698" s="16"/>
    </row>
    <row r="1699" spans="6:9" x14ac:dyDescent="0.3">
      <c r="F1699" s="14"/>
      <c r="G1699" s="15"/>
      <c r="H1699" s="15"/>
      <c r="I1699" s="16"/>
    </row>
    <row r="1700" spans="6:9" x14ac:dyDescent="0.3">
      <c r="F1700" s="14"/>
      <c r="G1700" s="15"/>
      <c r="H1700" s="15"/>
      <c r="I1700" s="16"/>
    </row>
    <row r="1701" spans="6:9" x14ac:dyDescent="0.3">
      <c r="F1701" s="14"/>
      <c r="G1701" s="15"/>
      <c r="H1701" s="15"/>
      <c r="I1701" s="16"/>
    </row>
    <row r="1702" spans="6:9" x14ac:dyDescent="0.3">
      <c r="F1702" s="14"/>
      <c r="G1702" s="15"/>
      <c r="H1702" s="15"/>
      <c r="I1702" s="16"/>
    </row>
    <row r="1703" spans="6:9" x14ac:dyDescent="0.3">
      <c r="F1703" s="14"/>
      <c r="G1703" s="15"/>
      <c r="H1703" s="15"/>
      <c r="I1703" s="16"/>
    </row>
    <row r="1704" spans="6:9" x14ac:dyDescent="0.3">
      <c r="F1704" s="14"/>
      <c r="G1704" s="15"/>
      <c r="H1704" s="15"/>
      <c r="I1704" s="16"/>
    </row>
    <row r="1705" spans="6:9" x14ac:dyDescent="0.3">
      <c r="F1705" s="14"/>
      <c r="G1705" s="15"/>
      <c r="H1705" s="15"/>
      <c r="I1705" s="16"/>
    </row>
    <row r="1706" spans="6:9" x14ac:dyDescent="0.3">
      <c r="F1706" s="14"/>
      <c r="G1706" s="15"/>
      <c r="H1706" s="15"/>
      <c r="I1706" s="16"/>
    </row>
    <row r="1707" spans="6:9" x14ac:dyDescent="0.3">
      <c r="F1707" s="14"/>
      <c r="G1707" s="15"/>
      <c r="H1707" s="15"/>
      <c r="I1707" s="16"/>
    </row>
    <row r="1708" spans="6:9" x14ac:dyDescent="0.3">
      <c r="F1708" s="14"/>
      <c r="G1708" s="15"/>
      <c r="H1708" s="15"/>
      <c r="I1708" s="16"/>
    </row>
    <row r="1709" spans="6:9" x14ac:dyDescent="0.3">
      <c r="F1709" s="14"/>
      <c r="G1709" s="15"/>
      <c r="H1709" s="15"/>
      <c r="I1709" s="16"/>
    </row>
    <row r="1710" spans="6:9" x14ac:dyDescent="0.3">
      <c r="F1710" s="14"/>
      <c r="G1710" s="15"/>
      <c r="H1710" s="15"/>
      <c r="I1710" s="16"/>
    </row>
    <row r="1711" spans="6:9" x14ac:dyDescent="0.3">
      <c r="F1711" s="14"/>
      <c r="G1711" s="15"/>
      <c r="H1711" s="15"/>
      <c r="I1711" s="16"/>
    </row>
    <row r="1712" spans="6:9" x14ac:dyDescent="0.3">
      <c r="F1712" s="14"/>
      <c r="G1712" s="15"/>
      <c r="H1712" s="15"/>
      <c r="I1712" s="16"/>
    </row>
    <row r="1713" spans="6:9" x14ac:dyDescent="0.3">
      <c r="F1713" s="14"/>
      <c r="G1713" s="15"/>
      <c r="H1713" s="15"/>
      <c r="I1713" s="16"/>
    </row>
    <row r="1714" spans="6:9" x14ac:dyDescent="0.3">
      <c r="F1714" s="14"/>
      <c r="G1714" s="15"/>
      <c r="H1714" s="15"/>
      <c r="I1714" s="16"/>
    </row>
    <row r="1715" spans="6:9" x14ac:dyDescent="0.3">
      <c r="F1715" s="14"/>
      <c r="G1715" s="15"/>
      <c r="H1715" s="15"/>
      <c r="I1715" s="16"/>
    </row>
    <row r="1716" spans="6:9" x14ac:dyDescent="0.3">
      <c r="F1716" s="14"/>
      <c r="G1716" s="15"/>
      <c r="H1716" s="15"/>
      <c r="I1716" s="16"/>
    </row>
    <row r="1717" spans="6:9" x14ac:dyDescent="0.3">
      <c r="F1717" s="14"/>
      <c r="G1717" s="15"/>
      <c r="H1717" s="15"/>
      <c r="I1717" s="16"/>
    </row>
    <row r="1718" spans="6:9" x14ac:dyDescent="0.3">
      <c r="F1718" s="14"/>
      <c r="G1718" s="15"/>
      <c r="H1718" s="15"/>
      <c r="I1718" s="16"/>
    </row>
    <row r="1719" spans="6:9" x14ac:dyDescent="0.3">
      <c r="F1719" s="14"/>
      <c r="G1719" s="15"/>
      <c r="H1719" s="15"/>
      <c r="I1719" s="16"/>
    </row>
    <row r="1720" spans="6:9" x14ac:dyDescent="0.3">
      <c r="F1720" s="14"/>
      <c r="G1720" s="15"/>
      <c r="H1720" s="15"/>
      <c r="I1720" s="16"/>
    </row>
    <row r="1721" spans="6:9" x14ac:dyDescent="0.3">
      <c r="F1721" s="14"/>
      <c r="G1721" s="15"/>
      <c r="H1721" s="15"/>
      <c r="I1721" s="16"/>
    </row>
    <row r="1722" spans="6:9" x14ac:dyDescent="0.3">
      <c r="F1722" s="14"/>
      <c r="G1722" s="15"/>
      <c r="H1722" s="15"/>
      <c r="I1722" s="16"/>
    </row>
    <row r="1723" spans="6:9" x14ac:dyDescent="0.3">
      <c r="F1723" s="14"/>
      <c r="G1723" s="15"/>
      <c r="H1723" s="15"/>
      <c r="I1723" s="16"/>
    </row>
    <row r="1724" spans="6:9" x14ac:dyDescent="0.3">
      <c r="F1724" s="14"/>
      <c r="G1724" s="15"/>
      <c r="H1724" s="15"/>
      <c r="I1724" s="16"/>
    </row>
    <row r="1725" spans="6:9" x14ac:dyDescent="0.3">
      <c r="F1725" s="14"/>
      <c r="G1725" s="15"/>
      <c r="H1725" s="15"/>
      <c r="I1725" s="16"/>
    </row>
    <row r="1726" spans="6:9" x14ac:dyDescent="0.3">
      <c r="F1726" s="14"/>
      <c r="G1726" s="15"/>
      <c r="H1726" s="15"/>
      <c r="I1726" s="16"/>
    </row>
    <row r="1727" spans="6:9" x14ac:dyDescent="0.3">
      <c r="F1727" s="14"/>
      <c r="G1727" s="15"/>
      <c r="H1727" s="15"/>
      <c r="I1727" s="16"/>
    </row>
    <row r="1728" spans="6:9" x14ac:dyDescent="0.3">
      <c r="F1728" s="14"/>
      <c r="G1728" s="15"/>
      <c r="H1728" s="15"/>
      <c r="I1728" s="16"/>
    </row>
    <row r="1729" spans="6:9" x14ac:dyDescent="0.3">
      <c r="F1729" s="14"/>
      <c r="G1729" s="15"/>
      <c r="H1729" s="15"/>
      <c r="I1729" s="16"/>
    </row>
    <row r="1730" spans="6:9" x14ac:dyDescent="0.3">
      <c r="F1730" s="14"/>
      <c r="G1730" s="15"/>
      <c r="H1730" s="15"/>
      <c r="I1730" s="16"/>
    </row>
    <row r="1731" spans="6:9" x14ac:dyDescent="0.3">
      <c r="F1731" s="14"/>
      <c r="G1731" s="15"/>
      <c r="H1731" s="15"/>
      <c r="I1731" s="16"/>
    </row>
    <row r="1732" spans="6:9" x14ac:dyDescent="0.3">
      <c r="F1732" s="14"/>
      <c r="G1732" s="15"/>
      <c r="H1732" s="15"/>
      <c r="I1732" s="16"/>
    </row>
    <row r="1733" spans="6:9" x14ac:dyDescent="0.3">
      <c r="F1733" s="14"/>
      <c r="G1733" s="15"/>
      <c r="H1733" s="15"/>
      <c r="I1733" s="16"/>
    </row>
    <row r="1734" spans="6:9" x14ac:dyDescent="0.3">
      <c r="F1734" s="14"/>
      <c r="G1734" s="15"/>
      <c r="H1734" s="15"/>
      <c r="I1734" s="16"/>
    </row>
    <row r="1735" spans="6:9" x14ac:dyDescent="0.3">
      <c r="F1735" s="14"/>
      <c r="G1735" s="15"/>
      <c r="H1735" s="15"/>
      <c r="I1735" s="16"/>
    </row>
    <row r="1736" spans="6:9" x14ac:dyDescent="0.3">
      <c r="F1736" s="14"/>
      <c r="G1736" s="15"/>
      <c r="H1736" s="15"/>
      <c r="I1736" s="16"/>
    </row>
    <row r="1737" spans="6:9" x14ac:dyDescent="0.3">
      <c r="F1737" s="14"/>
      <c r="G1737" s="15"/>
      <c r="H1737" s="15"/>
      <c r="I1737" s="16"/>
    </row>
    <row r="1738" spans="6:9" x14ac:dyDescent="0.3">
      <c r="F1738" s="14"/>
      <c r="G1738" s="15"/>
      <c r="H1738" s="15"/>
      <c r="I1738" s="16"/>
    </row>
    <row r="1739" spans="6:9" x14ac:dyDescent="0.3">
      <c r="F1739" s="14"/>
      <c r="G1739" s="15"/>
      <c r="H1739" s="15"/>
      <c r="I1739" s="16"/>
    </row>
    <row r="1740" spans="6:9" x14ac:dyDescent="0.3">
      <c r="F1740" s="14"/>
      <c r="G1740" s="15"/>
      <c r="H1740" s="15"/>
      <c r="I1740" s="16"/>
    </row>
    <row r="1741" spans="6:9" x14ac:dyDescent="0.3">
      <c r="F1741" s="14"/>
      <c r="G1741" s="15"/>
      <c r="H1741" s="15"/>
      <c r="I1741" s="16"/>
    </row>
    <row r="1742" spans="6:9" x14ac:dyDescent="0.3">
      <c r="F1742" s="14"/>
      <c r="G1742" s="15"/>
      <c r="H1742" s="15"/>
      <c r="I1742" s="16"/>
    </row>
    <row r="1743" spans="6:9" x14ac:dyDescent="0.3">
      <c r="F1743" s="14"/>
      <c r="G1743" s="15"/>
      <c r="H1743" s="15"/>
      <c r="I1743" s="16"/>
    </row>
    <row r="1744" spans="6:9" x14ac:dyDescent="0.3">
      <c r="F1744" s="14"/>
      <c r="G1744" s="15"/>
      <c r="H1744" s="15"/>
      <c r="I1744" s="16"/>
    </row>
    <row r="1745" spans="6:9" x14ac:dyDescent="0.3">
      <c r="F1745" s="14"/>
      <c r="G1745" s="15"/>
      <c r="H1745" s="15"/>
      <c r="I1745" s="16"/>
    </row>
    <row r="1746" spans="6:9" x14ac:dyDescent="0.3">
      <c r="F1746" s="14"/>
      <c r="G1746" s="15"/>
      <c r="H1746" s="15"/>
      <c r="I1746" s="16"/>
    </row>
    <row r="1747" spans="6:9" x14ac:dyDescent="0.3">
      <c r="F1747" s="14"/>
      <c r="G1747" s="15"/>
      <c r="H1747" s="15"/>
      <c r="I1747" s="16"/>
    </row>
    <row r="1748" spans="6:9" x14ac:dyDescent="0.3">
      <c r="F1748" s="14"/>
      <c r="G1748" s="15"/>
      <c r="H1748" s="15"/>
      <c r="I1748" s="16"/>
    </row>
    <row r="1749" spans="6:9" x14ac:dyDescent="0.3">
      <c r="F1749" s="14"/>
      <c r="G1749" s="15"/>
      <c r="H1749" s="15"/>
      <c r="I1749" s="16"/>
    </row>
    <row r="1750" spans="6:9" x14ac:dyDescent="0.3">
      <c r="F1750" s="14"/>
      <c r="G1750" s="15"/>
      <c r="H1750" s="15"/>
      <c r="I1750" s="16"/>
    </row>
    <row r="1751" spans="6:9" x14ac:dyDescent="0.3">
      <c r="F1751" s="14"/>
      <c r="G1751" s="15"/>
      <c r="H1751" s="15"/>
      <c r="I1751" s="16"/>
    </row>
    <row r="1752" spans="6:9" x14ac:dyDescent="0.3">
      <c r="F1752" s="14"/>
      <c r="G1752" s="15"/>
      <c r="H1752" s="15"/>
      <c r="I1752" s="16"/>
    </row>
    <row r="1753" spans="6:9" x14ac:dyDescent="0.3">
      <c r="F1753" s="14"/>
      <c r="G1753" s="15"/>
      <c r="H1753" s="15"/>
      <c r="I1753" s="16"/>
    </row>
    <row r="1754" spans="6:9" x14ac:dyDescent="0.3">
      <c r="F1754" s="14"/>
      <c r="G1754" s="15"/>
      <c r="H1754" s="15"/>
      <c r="I1754" s="16"/>
    </row>
    <row r="1755" spans="6:9" x14ac:dyDescent="0.3">
      <c r="F1755" s="14"/>
      <c r="G1755" s="15"/>
      <c r="H1755" s="15"/>
      <c r="I1755" s="16"/>
    </row>
    <row r="1756" spans="6:9" x14ac:dyDescent="0.3">
      <c r="F1756" s="14"/>
      <c r="G1756" s="15"/>
      <c r="H1756" s="15"/>
      <c r="I1756" s="16"/>
    </row>
    <row r="1757" spans="6:9" x14ac:dyDescent="0.3">
      <c r="F1757" s="14"/>
      <c r="G1757" s="15"/>
      <c r="H1757" s="15"/>
      <c r="I1757" s="16"/>
    </row>
    <row r="1758" spans="6:9" x14ac:dyDescent="0.3">
      <c r="F1758" s="14"/>
      <c r="G1758" s="15"/>
      <c r="H1758" s="15"/>
      <c r="I1758" s="16"/>
    </row>
    <row r="1759" spans="6:9" x14ac:dyDescent="0.3">
      <c r="F1759" s="14"/>
      <c r="G1759" s="15"/>
      <c r="H1759" s="15"/>
      <c r="I1759" s="16"/>
    </row>
    <row r="1760" spans="6:9" x14ac:dyDescent="0.3">
      <c r="F1760" s="14"/>
      <c r="G1760" s="15"/>
      <c r="H1760" s="15"/>
      <c r="I1760" s="16"/>
    </row>
    <row r="1761" spans="6:9" x14ac:dyDescent="0.3">
      <c r="F1761" s="14"/>
      <c r="G1761" s="15"/>
      <c r="H1761" s="15"/>
      <c r="I1761" s="16"/>
    </row>
    <row r="1762" spans="6:9" x14ac:dyDescent="0.3">
      <c r="F1762" s="14"/>
      <c r="G1762" s="15"/>
      <c r="H1762" s="15"/>
      <c r="I1762" s="16"/>
    </row>
    <row r="1763" spans="6:9" x14ac:dyDescent="0.3">
      <c r="F1763" s="14"/>
      <c r="G1763" s="15"/>
      <c r="H1763" s="15"/>
      <c r="I1763" s="16"/>
    </row>
    <row r="1764" spans="6:9" x14ac:dyDescent="0.3">
      <c r="F1764" s="14"/>
      <c r="G1764" s="15"/>
      <c r="H1764" s="15"/>
      <c r="I1764" s="16"/>
    </row>
    <row r="1765" spans="6:9" x14ac:dyDescent="0.3">
      <c r="F1765" s="14"/>
      <c r="G1765" s="15"/>
      <c r="H1765" s="15"/>
      <c r="I1765" s="16"/>
    </row>
    <row r="1766" spans="6:9" x14ac:dyDescent="0.3">
      <c r="F1766" s="14"/>
      <c r="G1766" s="15"/>
      <c r="H1766" s="15"/>
      <c r="I1766" s="16"/>
    </row>
    <row r="1767" spans="6:9" x14ac:dyDescent="0.3">
      <c r="F1767" s="14"/>
      <c r="G1767" s="15"/>
      <c r="H1767" s="15"/>
      <c r="I1767" s="16"/>
    </row>
    <row r="1768" spans="6:9" x14ac:dyDescent="0.3">
      <c r="F1768" s="14"/>
      <c r="G1768" s="15"/>
      <c r="H1768" s="15"/>
      <c r="I1768" s="16"/>
    </row>
    <row r="1769" spans="6:9" x14ac:dyDescent="0.3">
      <c r="F1769" s="14"/>
      <c r="G1769" s="15"/>
      <c r="H1769" s="15"/>
      <c r="I1769" s="16"/>
    </row>
    <row r="1770" spans="6:9" x14ac:dyDescent="0.3">
      <c r="F1770" s="14"/>
      <c r="G1770" s="15"/>
      <c r="H1770" s="15"/>
      <c r="I1770" s="16"/>
    </row>
    <row r="1771" spans="6:9" x14ac:dyDescent="0.3">
      <c r="F1771" s="14"/>
      <c r="G1771" s="15"/>
      <c r="H1771" s="15"/>
      <c r="I1771" s="16"/>
    </row>
    <row r="1772" spans="6:9" x14ac:dyDescent="0.3">
      <c r="F1772" s="14"/>
      <c r="G1772" s="15"/>
      <c r="H1772" s="15"/>
      <c r="I1772" s="16"/>
    </row>
    <row r="1773" spans="6:9" x14ac:dyDescent="0.3">
      <c r="F1773" s="14"/>
      <c r="G1773" s="15"/>
      <c r="H1773" s="15"/>
      <c r="I1773" s="16"/>
    </row>
    <row r="1774" spans="6:9" x14ac:dyDescent="0.3">
      <c r="F1774" s="14"/>
      <c r="G1774" s="15"/>
      <c r="H1774" s="15"/>
      <c r="I1774" s="16"/>
    </row>
    <row r="1775" spans="6:9" x14ac:dyDescent="0.3">
      <c r="F1775" s="14"/>
      <c r="G1775" s="15"/>
      <c r="H1775" s="15"/>
      <c r="I1775" s="16"/>
    </row>
    <row r="1776" spans="6:9" x14ac:dyDescent="0.3">
      <c r="F1776" s="14"/>
      <c r="G1776" s="15"/>
      <c r="H1776" s="15"/>
      <c r="I1776" s="16"/>
    </row>
    <row r="1777" spans="6:9" x14ac:dyDescent="0.3">
      <c r="F1777" s="14"/>
      <c r="G1777" s="15"/>
      <c r="H1777" s="15"/>
      <c r="I1777" s="16"/>
    </row>
    <row r="1778" spans="6:9" x14ac:dyDescent="0.3">
      <c r="F1778" s="14"/>
      <c r="G1778" s="15"/>
      <c r="H1778" s="15"/>
      <c r="I1778" s="16"/>
    </row>
    <row r="1779" spans="6:9" x14ac:dyDescent="0.3">
      <c r="F1779" s="14"/>
      <c r="G1779" s="15"/>
      <c r="H1779" s="15"/>
      <c r="I1779" s="16"/>
    </row>
    <row r="1780" spans="6:9" x14ac:dyDescent="0.3">
      <c r="F1780" s="14"/>
      <c r="G1780" s="15"/>
      <c r="H1780" s="15"/>
      <c r="I1780" s="16"/>
    </row>
    <row r="1781" spans="6:9" x14ac:dyDescent="0.3">
      <c r="F1781" s="14"/>
      <c r="G1781" s="15"/>
      <c r="H1781" s="15"/>
      <c r="I1781" s="16"/>
    </row>
    <row r="1782" spans="6:9" x14ac:dyDescent="0.3">
      <c r="F1782" s="14"/>
      <c r="G1782" s="15"/>
      <c r="H1782" s="15"/>
      <c r="I1782" s="16"/>
    </row>
    <row r="1783" spans="6:9" x14ac:dyDescent="0.3">
      <c r="F1783" s="14"/>
      <c r="G1783" s="15"/>
      <c r="H1783" s="15"/>
      <c r="I1783" s="16"/>
    </row>
    <row r="1784" spans="6:9" x14ac:dyDescent="0.3">
      <c r="F1784" s="14"/>
      <c r="G1784" s="15"/>
      <c r="H1784" s="15"/>
      <c r="I1784" s="16"/>
    </row>
    <row r="1785" spans="6:9" x14ac:dyDescent="0.3">
      <c r="F1785" s="14"/>
      <c r="G1785" s="15"/>
      <c r="H1785" s="15"/>
      <c r="I1785" s="16"/>
    </row>
    <row r="1786" spans="6:9" x14ac:dyDescent="0.3">
      <c r="F1786" s="14"/>
      <c r="G1786" s="15"/>
      <c r="H1786" s="15"/>
      <c r="I1786" s="16"/>
    </row>
    <row r="1787" spans="6:9" x14ac:dyDescent="0.3">
      <c r="F1787" s="14"/>
      <c r="G1787" s="15"/>
      <c r="H1787" s="15"/>
      <c r="I1787" s="16"/>
    </row>
    <row r="1788" spans="6:9" x14ac:dyDescent="0.3">
      <c r="F1788" s="14"/>
      <c r="G1788" s="15"/>
      <c r="H1788" s="15"/>
      <c r="I1788" s="16"/>
    </row>
    <row r="1789" spans="6:9" x14ac:dyDescent="0.3">
      <c r="F1789" s="14"/>
      <c r="G1789" s="15"/>
      <c r="H1789" s="15"/>
      <c r="I1789" s="16"/>
    </row>
    <row r="1790" spans="6:9" x14ac:dyDescent="0.3">
      <c r="F1790" s="14"/>
      <c r="G1790" s="15"/>
      <c r="H1790" s="15"/>
      <c r="I1790" s="16"/>
    </row>
    <row r="1791" spans="6:9" x14ac:dyDescent="0.3">
      <c r="F1791" s="14"/>
      <c r="G1791" s="15"/>
      <c r="H1791" s="15"/>
      <c r="I1791" s="16"/>
    </row>
    <row r="1792" spans="6:9" x14ac:dyDescent="0.3">
      <c r="F1792" s="14"/>
      <c r="G1792" s="15"/>
      <c r="H1792" s="15"/>
      <c r="I1792" s="16"/>
    </row>
    <row r="1793" spans="6:9" x14ac:dyDescent="0.3">
      <c r="F1793" s="14"/>
      <c r="G1793" s="15"/>
      <c r="H1793" s="15"/>
      <c r="I1793" s="16"/>
    </row>
    <row r="1794" spans="6:9" x14ac:dyDescent="0.3">
      <c r="F1794" s="14"/>
      <c r="G1794" s="15"/>
      <c r="H1794" s="15"/>
      <c r="I1794" s="16"/>
    </row>
    <row r="1795" spans="6:9" x14ac:dyDescent="0.3">
      <c r="F1795" s="14"/>
      <c r="G1795" s="15"/>
      <c r="H1795" s="15"/>
      <c r="I1795" s="16"/>
    </row>
    <row r="1796" spans="6:9" x14ac:dyDescent="0.3">
      <c r="F1796" s="14"/>
      <c r="G1796" s="15"/>
      <c r="H1796" s="15"/>
      <c r="I1796" s="16"/>
    </row>
    <row r="1797" spans="6:9" x14ac:dyDescent="0.3">
      <c r="F1797" s="14"/>
      <c r="G1797" s="15"/>
      <c r="H1797" s="15"/>
      <c r="I1797" s="16"/>
    </row>
    <row r="1798" spans="6:9" x14ac:dyDescent="0.3">
      <c r="F1798" s="14"/>
      <c r="G1798" s="15"/>
      <c r="H1798" s="15"/>
      <c r="I1798" s="16"/>
    </row>
    <row r="1799" spans="6:9" x14ac:dyDescent="0.3">
      <c r="F1799" s="14"/>
      <c r="G1799" s="15"/>
      <c r="H1799" s="15"/>
      <c r="I1799" s="16"/>
    </row>
    <row r="1800" spans="6:9" x14ac:dyDescent="0.3">
      <c r="F1800" s="14"/>
      <c r="G1800" s="15"/>
      <c r="H1800" s="15"/>
      <c r="I1800" s="16"/>
    </row>
    <row r="1801" spans="6:9" x14ac:dyDescent="0.3">
      <c r="F1801" s="14"/>
      <c r="G1801" s="15"/>
      <c r="H1801" s="15"/>
      <c r="I1801" s="16"/>
    </row>
    <row r="1802" spans="6:9" x14ac:dyDescent="0.3">
      <c r="F1802" s="14"/>
      <c r="G1802" s="15"/>
      <c r="H1802" s="15"/>
      <c r="I1802" s="16"/>
    </row>
    <row r="1803" spans="6:9" x14ac:dyDescent="0.3">
      <c r="F1803" s="14"/>
      <c r="G1803" s="15"/>
      <c r="H1803" s="15"/>
      <c r="I1803" s="16"/>
    </row>
    <row r="1804" spans="6:9" x14ac:dyDescent="0.3">
      <c r="F1804" s="14"/>
      <c r="G1804" s="15"/>
      <c r="H1804" s="15"/>
      <c r="I1804" s="16"/>
    </row>
    <row r="1805" spans="6:9" x14ac:dyDescent="0.3">
      <c r="F1805" s="14"/>
      <c r="G1805" s="15"/>
      <c r="H1805" s="15"/>
      <c r="I1805" s="16"/>
    </row>
    <row r="1806" spans="6:9" x14ac:dyDescent="0.3">
      <c r="F1806" s="14"/>
      <c r="G1806" s="15"/>
      <c r="H1806" s="15"/>
      <c r="I1806" s="16"/>
    </row>
    <row r="1807" spans="6:9" x14ac:dyDescent="0.3">
      <c r="F1807" s="14"/>
      <c r="G1807" s="15"/>
      <c r="H1807" s="15"/>
      <c r="I1807" s="16"/>
    </row>
    <row r="1808" spans="6:9" x14ac:dyDescent="0.3">
      <c r="F1808" s="14"/>
      <c r="G1808" s="15"/>
      <c r="H1808" s="15"/>
      <c r="I1808" s="16"/>
    </row>
    <row r="1809" spans="6:9" x14ac:dyDescent="0.3">
      <c r="F1809" s="14"/>
      <c r="G1809" s="15"/>
      <c r="H1809" s="15"/>
      <c r="I1809" s="16"/>
    </row>
    <row r="1810" spans="6:9" x14ac:dyDescent="0.3">
      <c r="F1810" s="14"/>
      <c r="G1810" s="15"/>
      <c r="H1810" s="15"/>
      <c r="I1810" s="16"/>
    </row>
    <row r="1811" spans="6:9" x14ac:dyDescent="0.3">
      <c r="F1811" s="14"/>
      <c r="G1811" s="15"/>
      <c r="H1811" s="15"/>
      <c r="I1811" s="16"/>
    </row>
    <row r="1812" spans="6:9" x14ac:dyDescent="0.3">
      <c r="F1812" s="14"/>
      <c r="G1812" s="15"/>
      <c r="H1812" s="15"/>
      <c r="I1812" s="16"/>
    </row>
    <row r="1813" spans="6:9" x14ac:dyDescent="0.3">
      <c r="F1813" s="14"/>
      <c r="G1813" s="15"/>
      <c r="H1813" s="15"/>
      <c r="I1813" s="16"/>
    </row>
    <row r="1814" spans="6:9" x14ac:dyDescent="0.3">
      <c r="F1814" s="14"/>
      <c r="G1814" s="15"/>
      <c r="H1814" s="15"/>
      <c r="I1814" s="16"/>
    </row>
    <row r="1815" spans="6:9" x14ac:dyDescent="0.3">
      <c r="F1815" s="14"/>
      <c r="G1815" s="15"/>
      <c r="H1815" s="15"/>
      <c r="I1815" s="16"/>
    </row>
    <row r="1816" spans="6:9" x14ac:dyDescent="0.3">
      <c r="F1816" s="14"/>
      <c r="G1816" s="15"/>
      <c r="H1816" s="15"/>
      <c r="I1816" s="16"/>
    </row>
    <row r="1817" spans="6:9" x14ac:dyDescent="0.3">
      <c r="F1817" s="14"/>
      <c r="G1817" s="15"/>
      <c r="H1817" s="15"/>
      <c r="I1817" s="16"/>
    </row>
    <row r="1818" spans="6:9" x14ac:dyDescent="0.3">
      <c r="F1818" s="14"/>
      <c r="G1818" s="15"/>
      <c r="H1818" s="15"/>
      <c r="I1818" s="16"/>
    </row>
    <row r="1819" spans="6:9" x14ac:dyDescent="0.3">
      <c r="F1819" s="14"/>
      <c r="G1819" s="15"/>
      <c r="H1819" s="15"/>
      <c r="I1819" s="16"/>
    </row>
    <row r="1820" spans="6:9" x14ac:dyDescent="0.3">
      <c r="F1820" s="14"/>
      <c r="G1820" s="15"/>
      <c r="H1820" s="15"/>
      <c r="I1820" s="16"/>
    </row>
    <row r="1821" spans="6:9" x14ac:dyDescent="0.3">
      <c r="F1821" s="14"/>
      <c r="G1821" s="15"/>
      <c r="H1821" s="15"/>
      <c r="I1821" s="16"/>
    </row>
    <row r="1822" spans="6:9" x14ac:dyDescent="0.3">
      <c r="F1822" s="14"/>
      <c r="G1822" s="15"/>
      <c r="H1822" s="15"/>
      <c r="I1822" s="16"/>
    </row>
    <row r="1823" spans="6:9" x14ac:dyDescent="0.3">
      <c r="F1823" s="14"/>
      <c r="G1823" s="15"/>
      <c r="H1823" s="15"/>
      <c r="I1823" s="16"/>
    </row>
    <row r="1824" spans="6:9" x14ac:dyDescent="0.3">
      <c r="F1824" s="14"/>
      <c r="G1824" s="15"/>
      <c r="H1824" s="15"/>
      <c r="I1824" s="16"/>
    </row>
    <row r="1825" spans="6:9" x14ac:dyDescent="0.3">
      <c r="F1825" s="14"/>
      <c r="G1825" s="15"/>
      <c r="H1825" s="15"/>
      <c r="I1825" s="16"/>
    </row>
    <row r="1826" spans="6:9" x14ac:dyDescent="0.3">
      <c r="F1826" s="14"/>
      <c r="G1826" s="15"/>
      <c r="H1826" s="15"/>
      <c r="I1826" s="16"/>
    </row>
    <row r="1827" spans="6:9" x14ac:dyDescent="0.3">
      <c r="F1827" s="14"/>
      <c r="G1827" s="15"/>
      <c r="H1827" s="15"/>
      <c r="I1827" s="16"/>
    </row>
    <row r="1828" spans="6:9" x14ac:dyDescent="0.3">
      <c r="F1828" s="14"/>
      <c r="G1828" s="15"/>
      <c r="H1828" s="15"/>
      <c r="I1828" s="16"/>
    </row>
    <row r="1829" spans="6:9" x14ac:dyDescent="0.3">
      <c r="F1829" s="14"/>
      <c r="G1829" s="15"/>
      <c r="H1829" s="15"/>
      <c r="I1829" s="16"/>
    </row>
    <row r="1830" spans="6:9" x14ac:dyDescent="0.3">
      <c r="F1830" s="14"/>
      <c r="G1830" s="15"/>
      <c r="H1830" s="15"/>
      <c r="I1830" s="16"/>
    </row>
    <row r="1831" spans="6:9" x14ac:dyDescent="0.3">
      <c r="F1831" s="14"/>
      <c r="G1831" s="15"/>
      <c r="H1831" s="15"/>
      <c r="I1831" s="16"/>
    </row>
    <row r="1832" spans="6:9" x14ac:dyDescent="0.3">
      <c r="F1832" s="14"/>
      <c r="G1832" s="15"/>
      <c r="H1832" s="15"/>
      <c r="I1832" s="16"/>
    </row>
    <row r="1833" spans="6:9" x14ac:dyDescent="0.3">
      <c r="F1833" s="14"/>
      <c r="G1833" s="15"/>
      <c r="H1833" s="15"/>
      <c r="I1833" s="16"/>
    </row>
    <row r="1834" spans="6:9" x14ac:dyDescent="0.3">
      <c r="F1834" s="14"/>
      <c r="G1834" s="15"/>
      <c r="H1834" s="15"/>
      <c r="I1834" s="16"/>
    </row>
    <row r="1835" spans="6:9" x14ac:dyDescent="0.3">
      <c r="F1835" s="14"/>
      <c r="G1835" s="15"/>
      <c r="H1835" s="15"/>
      <c r="I1835" s="16"/>
    </row>
    <row r="1836" spans="6:9" x14ac:dyDescent="0.3">
      <c r="F1836" s="14"/>
      <c r="G1836" s="15"/>
      <c r="H1836" s="15"/>
      <c r="I1836" s="16"/>
    </row>
    <row r="1837" spans="6:9" x14ac:dyDescent="0.3">
      <c r="F1837" s="14"/>
      <c r="G1837" s="15"/>
      <c r="H1837" s="15"/>
      <c r="I1837" s="16"/>
    </row>
    <row r="1838" spans="6:9" x14ac:dyDescent="0.3">
      <c r="F1838" s="14"/>
      <c r="G1838" s="15"/>
      <c r="H1838" s="15"/>
      <c r="I1838" s="16"/>
    </row>
    <row r="1839" spans="6:9" x14ac:dyDescent="0.3">
      <c r="F1839" s="14"/>
      <c r="G1839" s="15"/>
      <c r="H1839" s="15"/>
      <c r="I1839" s="16"/>
    </row>
    <row r="1840" spans="6:9" x14ac:dyDescent="0.3">
      <c r="F1840" s="14"/>
      <c r="G1840" s="15"/>
      <c r="H1840" s="15"/>
      <c r="I1840" s="16"/>
    </row>
    <row r="1841" spans="6:9" x14ac:dyDescent="0.3">
      <c r="F1841" s="14"/>
      <c r="G1841" s="15"/>
      <c r="H1841" s="15"/>
      <c r="I1841" s="16"/>
    </row>
    <row r="1842" spans="6:9" x14ac:dyDescent="0.3">
      <c r="F1842" s="14"/>
      <c r="G1842" s="15"/>
      <c r="H1842" s="15"/>
      <c r="I1842" s="16"/>
    </row>
    <row r="1843" spans="6:9" x14ac:dyDescent="0.3">
      <c r="F1843" s="14"/>
      <c r="G1843" s="15"/>
      <c r="H1843" s="15"/>
      <c r="I1843" s="16"/>
    </row>
    <row r="1844" spans="6:9" x14ac:dyDescent="0.3">
      <c r="F1844" s="14"/>
      <c r="G1844" s="15"/>
      <c r="H1844" s="15"/>
      <c r="I1844" s="16"/>
    </row>
    <row r="1845" spans="6:9" x14ac:dyDescent="0.3">
      <c r="F1845" s="14"/>
      <c r="G1845" s="15"/>
      <c r="H1845" s="15"/>
      <c r="I1845" s="16"/>
    </row>
    <row r="1846" spans="6:9" x14ac:dyDescent="0.3">
      <c r="F1846" s="14"/>
      <c r="G1846" s="15"/>
      <c r="H1846" s="15"/>
      <c r="I1846" s="16"/>
    </row>
    <row r="1847" spans="6:9" x14ac:dyDescent="0.3">
      <c r="F1847" s="14"/>
      <c r="G1847" s="15"/>
      <c r="H1847" s="15"/>
      <c r="I1847" s="16"/>
    </row>
    <row r="1848" spans="6:9" x14ac:dyDescent="0.3">
      <c r="F1848" s="14"/>
      <c r="G1848" s="15"/>
      <c r="H1848" s="15"/>
      <c r="I1848" s="16"/>
    </row>
    <row r="1849" spans="6:9" x14ac:dyDescent="0.3">
      <c r="F1849" s="14"/>
      <c r="G1849" s="15"/>
      <c r="H1849" s="15"/>
      <c r="I1849" s="16"/>
    </row>
    <row r="1850" spans="6:9" x14ac:dyDescent="0.3">
      <c r="F1850" s="14"/>
      <c r="G1850" s="15"/>
      <c r="H1850" s="15"/>
      <c r="I1850" s="16"/>
    </row>
    <row r="1851" spans="6:9" x14ac:dyDescent="0.3">
      <c r="F1851" s="14"/>
      <c r="G1851" s="15"/>
      <c r="H1851" s="15"/>
      <c r="I1851" s="16"/>
    </row>
    <row r="1852" spans="6:9" x14ac:dyDescent="0.3">
      <c r="F1852" s="14"/>
      <c r="G1852" s="15"/>
      <c r="H1852" s="15"/>
      <c r="I1852" s="16"/>
    </row>
    <row r="1853" spans="6:9" x14ac:dyDescent="0.3">
      <c r="F1853" s="14"/>
      <c r="G1853" s="15"/>
      <c r="H1853" s="15"/>
      <c r="I1853" s="16"/>
    </row>
    <row r="1854" spans="6:9" x14ac:dyDescent="0.3">
      <c r="F1854" s="14"/>
      <c r="G1854" s="15"/>
      <c r="H1854" s="15"/>
      <c r="I1854" s="16"/>
    </row>
    <row r="1855" spans="6:9" x14ac:dyDescent="0.3">
      <c r="F1855" s="14"/>
      <c r="G1855" s="15"/>
      <c r="H1855" s="15"/>
      <c r="I1855" s="16"/>
    </row>
    <row r="1856" spans="6:9" x14ac:dyDescent="0.3">
      <c r="F1856" s="14"/>
      <c r="G1856" s="15"/>
      <c r="H1856" s="15"/>
      <c r="I1856" s="16"/>
    </row>
    <row r="1857" spans="6:9" x14ac:dyDescent="0.3">
      <c r="F1857" s="14"/>
      <c r="G1857" s="15"/>
      <c r="H1857" s="15"/>
      <c r="I1857" s="16"/>
    </row>
    <row r="1858" spans="6:9" x14ac:dyDescent="0.3">
      <c r="F1858" s="14"/>
      <c r="G1858" s="15"/>
      <c r="H1858" s="15"/>
      <c r="I1858" s="16"/>
    </row>
    <row r="1859" spans="6:9" x14ac:dyDescent="0.3">
      <c r="F1859" s="14"/>
      <c r="G1859" s="15"/>
      <c r="H1859" s="15"/>
      <c r="I1859" s="16"/>
    </row>
    <row r="1860" spans="6:9" x14ac:dyDescent="0.3">
      <c r="F1860" s="14"/>
      <c r="G1860" s="15"/>
      <c r="H1860" s="15"/>
      <c r="I1860" s="16"/>
    </row>
    <row r="1861" spans="6:9" x14ac:dyDescent="0.3">
      <c r="F1861" s="14"/>
      <c r="G1861" s="15"/>
      <c r="H1861" s="15"/>
      <c r="I1861" s="16"/>
    </row>
    <row r="1862" spans="6:9" x14ac:dyDescent="0.3">
      <c r="F1862" s="14"/>
      <c r="G1862" s="15"/>
      <c r="H1862" s="15"/>
      <c r="I1862" s="16"/>
    </row>
    <row r="1863" spans="6:9" x14ac:dyDescent="0.3">
      <c r="F1863" s="14"/>
      <c r="G1863" s="15"/>
      <c r="H1863" s="15"/>
      <c r="I1863" s="16"/>
    </row>
    <row r="1864" spans="6:9" x14ac:dyDescent="0.3">
      <c r="F1864" s="14"/>
      <c r="G1864" s="15"/>
      <c r="H1864" s="15"/>
      <c r="I1864" s="16"/>
    </row>
    <row r="1865" spans="6:9" x14ac:dyDescent="0.3">
      <c r="F1865" s="14"/>
      <c r="G1865" s="15"/>
      <c r="H1865" s="15"/>
      <c r="I1865" s="16"/>
    </row>
    <row r="1866" spans="6:9" x14ac:dyDescent="0.3">
      <c r="F1866" s="14"/>
      <c r="G1866" s="15"/>
      <c r="H1866" s="15"/>
      <c r="I1866" s="16"/>
    </row>
    <row r="1867" spans="6:9" x14ac:dyDescent="0.3">
      <c r="F1867" s="14"/>
      <c r="G1867" s="15"/>
      <c r="H1867" s="15"/>
      <c r="I1867" s="16"/>
    </row>
    <row r="1868" spans="6:9" x14ac:dyDescent="0.3">
      <c r="F1868" s="14"/>
      <c r="G1868" s="15"/>
      <c r="H1868" s="15"/>
      <c r="I1868" s="16"/>
    </row>
    <row r="1869" spans="6:9" x14ac:dyDescent="0.3">
      <c r="F1869" s="14"/>
      <c r="G1869" s="15"/>
      <c r="H1869" s="15"/>
      <c r="I1869" s="16"/>
    </row>
    <row r="1870" spans="6:9" x14ac:dyDescent="0.3">
      <c r="F1870" s="14"/>
      <c r="G1870" s="15"/>
      <c r="H1870" s="15"/>
      <c r="I1870" s="16"/>
    </row>
    <row r="1871" spans="6:9" x14ac:dyDescent="0.3">
      <c r="F1871" s="14"/>
      <c r="G1871" s="15"/>
      <c r="H1871" s="15"/>
      <c r="I1871" s="16"/>
    </row>
    <row r="1872" spans="6:9" x14ac:dyDescent="0.3">
      <c r="F1872" s="14"/>
      <c r="G1872" s="15"/>
      <c r="H1872" s="15"/>
      <c r="I1872" s="16"/>
    </row>
    <row r="1873" spans="6:9" x14ac:dyDescent="0.3">
      <c r="F1873" s="14"/>
      <c r="G1873" s="15"/>
      <c r="H1873" s="15"/>
      <c r="I1873" s="16"/>
    </row>
    <row r="1874" spans="6:9" x14ac:dyDescent="0.3">
      <c r="F1874" s="14"/>
      <c r="G1874" s="15"/>
      <c r="H1874" s="15"/>
      <c r="I1874" s="16"/>
    </row>
    <row r="1875" spans="6:9" x14ac:dyDescent="0.3">
      <c r="F1875" s="14"/>
      <c r="G1875" s="15"/>
      <c r="H1875" s="15"/>
      <c r="I1875" s="16"/>
    </row>
    <row r="1876" spans="6:9" x14ac:dyDescent="0.3">
      <c r="F1876" s="14"/>
      <c r="G1876" s="15"/>
      <c r="H1876" s="15"/>
      <c r="I1876" s="16"/>
    </row>
    <row r="1877" spans="6:9" x14ac:dyDescent="0.3">
      <c r="F1877" s="14"/>
      <c r="G1877" s="15"/>
      <c r="H1877" s="15"/>
      <c r="I1877" s="16"/>
    </row>
    <row r="1878" spans="6:9" x14ac:dyDescent="0.3">
      <c r="F1878" s="14"/>
      <c r="G1878" s="15"/>
      <c r="H1878" s="15"/>
      <c r="I1878" s="16"/>
    </row>
    <row r="1879" spans="6:9" x14ac:dyDescent="0.3">
      <c r="F1879" s="14"/>
      <c r="G1879" s="15"/>
      <c r="H1879" s="15"/>
      <c r="I1879" s="16"/>
    </row>
    <row r="1880" spans="6:9" x14ac:dyDescent="0.3">
      <c r="F1880" s="14"/>
      <c r="G1880" s="15"/>
      <c r="H1880" s="15"/>
      <c r="I1880" s="16"/>
    </row>
    <row r="1881" spans="6:9" x14ac:dyDescent="0.3">
      <c r="F1881" s="14"/>
      <c r="G1881" s="15"/>
      <c r="H1881" s="15"/>
      <c r="I1881" s="16"/>
    </row>
    <row r="1882" spans="6:9" x14ac:dyDescent="0.3">
      <c r="F1882" s="14"/>
      <c r="G1882" s="15"/>
      <c r="H1882" s="15"/>
      <c r="I1882" s="16"/>
    </row>
    <row r="1883" spans="6:9" x14ac:dyDescent="0.3">
      <c r="F1883" s="14"/>
      <c r="G1883" s="15"/>
      <c r="H1883" s="15"/>
      <c r="I1883" s="16"/>
    </row>
    <row r="1884" spans="6:9" x14ac:dyDescent="0.3">
      <c r="F1884" s="14"/>
      <c r="G1884" s="15"/>
      <c r="H1884" s="15"/>
      <c r="I1884" s="16"/>
    </row>
    <row r="1885" spans="6:9" x14ac:dyDescent="0.3">
      <c r="F1885" s="14"/>
      <c r="G1885" s="15"/>
      <c r="H1885" s="15"/>
      <c r="I1885" s="16"/>
    </row>
    <row r="1886" spans="6:9" x14ac:dyDescent="0.3">
      <c r="F1886" s="14"/>
      <c r="G1886" s="15"/>
      <c r="H1886" s="15"/>
      <c r="I1886" s="16"/>
    </row>
    <row r="1887" spans="6:9" x14ac:dyDescent="0.3">
      <c r="F1887" s="14"/>
      <c r="G1887" s="15"/>
      <c r="H1887" s="15"/>
      <c r="I1887" s="16"/>
    </row>
    <row r="1888" spans="6:9" x14ac:dyDescent="0.3">
      <c r="F1888" s="14"/>
      <c r="G1888" s="15"/>
      <c r="H1888" s="15"/>
      <c r="I1888" s="16"/>
    </row>
    <row r="1889" spans="6:9" x14ac:dyDescent="0.3">
      <c r="F1889" s="14"/>
      <c r="G1889" s="15"/>
      <c r="H1889" s="15"/>
      <c r="I1889" s="16"/>
    </row>
    <row r="1890" spans="6:9" x14ac:dyDescent="0.3">
      <c r="F1890" s="14"/>
      <c r="G1890" s="15"/>
      <c r="H1890" s="15"/>
      <c r="I1890" s="16"/>
    </row>
    <row r="1891" spans="6:9" x14ac:dyDescent="0.3">
      <c r="F1891" s="14"/>
      <c r="G1891" s="15"/>
      <c r="H1891" s="15"/>
      <c r="I1891" s="16"/>
    </row>
    <row r="1892" spans="6:9" x14ac:dyDescent="0.3">
      <c r="F1892" s="14"/>
      <c r="G1892" s="15"/>
      <c r="H1892" s="15"/>
      <c r="I1892" s="16"/>
    </row>
    <row r="1893" spans="6:9" x14ac:dyDescent="0.3">
      <c r="F1893" s="14"/>
      <c r="G1893" s="15"/>
      <c r="H1893" s="15"/>
      <c r="I1893" s="16"/>
    </row>
    <row r="1894" spans="6:9" x14ac:dyDescent="0.3">
      <c r="F1894" s="14"/>
      <c r="G1894" s="15"/>
      <c r="H1894" s="15"/>
      <c r="I1894" s="16"/>
    </row>
    <row r="1895" spans="6:9" x14ac:dyDescent="0.3">
      <c r="F1895" s="14"/>
      <c r="G1895" s="15"/>
      <c r="H1895" s="15"/>
      <c r="I1895" s="16"/>
    </row>
    <row r="1896" spans="6:9" x14ac:dyDescent="0.3">
      <c r="F1896" s="14"/>
      <c r="G1896" s="15"/>
      <c r="H1896" s="15"/>
      <c r="I1896" s="16"/>
    </row>
    <row r="1897" spans="6:9" x14ac:dyDescent="0.3">
      <c r="F1897" s="14"/>
      <c r="G1897" s="15"/>
      <c r="H1897" s="15"/>
      <c r="I1897" s="16"/>
    </row>
    <row r="1898" spans="6:9" x14ac:dyDescent="0.3">
      <c r="F1898" s="14"/>
      <c r="G1898" s="15"/>
      <c r="H1898" s="15"/>
      <c r="I1898" s="16"/>
    </row>
    <row r="1899" spans="6:9" x14ac:dyDescent="0.3">
      <c r="F1899" s="14"/>
      <c r="G1899" s="15"/>
      <c r="H1899" s="15"/>
      <c r="I1899" s="16"/>
    </row>
    <row r="1900" spans="6:9" x14ac:dyDescent="0.3">
      <c r="F1900" s="14"/>
      <c r="G1900" s="15"/>
      <c r="H1900" s="15"/>
      <c r="I1900" s="16"/>
    </row>
    <row r="1901" spans="6:9" x14ac:dyDescent="0.3">
      <c r="F1901" s="14"/>
      <c r="G1901" s="15"/>
      <c r="H1901" s="15"/>
      <c r="I1901" s="16"/>
    </row>
    <row r="1902" spans="6:9" x14ac:dyDescent="0.3">
      <c r="F1902" s="14"/>
      <c r="G1902" s="15"/>
      <c r="H1902" s="15"/>
      <c r="I1902" s="16"/>
    </row>
    <row r="1903" spans="6:9" x14ac:dyDescent="0.3">
      <c r="F1903" s="14"/>
      <c r="G1903" s="15"/>
      <c r="H1903" s="15"/>
      <c r="I1903" s="16"/>
    </row>
    <row r="1904" spans="6:9" x14ac:dyDescent="0.3">
      <c r="F1904" s="14"/>
      <c r="G1904" s="15"/>
      <c r="H1904" s="15"/>
      <c r="I1904" s="16"/>
    </row>
    <row r="1905" spans="6:9" x14ac:dyDescent="0.3">
      <c r="F1905" s="14"/>
      <c r="G1905" s="15"/>
      <c r="H1905" s="15"/>
      <c r="I1905" s="16"/>
    </row>
    <row r="1906" spans="6:9" x14ac:dyDescent="0.3">
      <c r="F1906" s="14"/>
      <c r="G1906" s="15"/>
      <c r="H1906" s="15"/>
      <c r="I1906" s="16"/>
    </row>
    <row r="1907" spans="6:9" x14ac:dyDescent="0.3">
      <c r="F1907" s="14"/>
      <c r="G1907" s="15"/>
      <c r="H1907" s="15"/>
      <c r="I1907" s="16"/>
    </row>
    <row r="1908" spans="6:9" x14ac:dyDescent="0.3">
      <c r="F1908" s="14"/>
      <c r="G1908" s="15"/>
      <c r="H1908" s="15"/>
      <c r="I1908" s="16"/>
    </row>
    <row r="1909" spans="6:9" x14ac:dyDescent="0.3">
      <c r="F1909" s="14"/>
      <c r="G1909" s="15"/>
      <c r="H1909" s="15"/>
      <c r="I1909" s="16"/>
    </row>
    <row r="1910" spans="6:9" x14ac:dyDescent="0.3">
      <c r="F1910" s="14"/>
      <c r="G1910" s="15"/>
      <c r="H1910" s="15"/>
      <c r="I1910" s="16"/>
    </row>
    <row r="1911" spans="6:9" x14ac:dyDescent="0.3">
      <c r="F1911" s="14"/>
      <c r="G1911" s="15"/>
      <c r="H1911" s="15"/>
      <c r="I1911" s="16"/>
    </row>
    <row r="1912" spans="6:9" x14ac:dyDescent="0.3">
      <c r="F1912" s="14"/>
      <c r="G1912" s="15"/>
      <c r="H1912" s="15"/>
      <c r="I1912" s="16"/>
    </row>
    <row r="1913" spans="6:9" x14ac:dyDescent="0.3">
      <c r="F1913" s="14"/>
      <c r="G1913" s="15"/>
      <c r="H1913" s="15"/>
      <c r="I1913" s="16"/>
    </row>
    <row r="1914" spans="6:9" x14ac:dyDescent="0.3">
      <c r="F1914" s="14"/>
      <c r="G1914" s="15"/>
      <c r="H1914" s="15"/>
      <c r="I1914" s="16"/>
    </row>
    <row r="1915" spans="6:9" x14ac:dyDescent="0.3">
      <c r="F1915" s="14"/>
      <c r="G1915" s="15"/>
      <c r="H1915" s="15"/>
      <c r="I1915" s="16"/>
    </row>
    <row r="1916" spans="6:9" x14ac:dyDescent="0.3">
      <c r="F1916" s="14"/>
      <c r="G1916" s="15"/>
      <c r="H1916" s="15"/>
      <c r="I1916" s="16"/>
    </row>
    <row r="1917" spans="6:9" x14ac:dyDescent="0.3">
      <c r="F1917" s="14"/>
      <c r="G1917" s="15"/>
      <c r="H1917" s="15"/>
      <c r="I1917" s="16"/>
    </row>
    <row r="1918" spans="6:9" x14ac:dyDescent="0.3">
      <c r="F1918" s="14"/>
      <c r="G1918" s="15"/>
      <c r="H1918" s="15"/>
      <c r="I1918" s="16"/>
    </row>
    <row r="1919" spans="6:9" x14ac:dyDescent="0.3">
      <c r="F1919" s="14"/>
      <c r="G1919" s="15"/>
      <c r="H1919" s="15"/>
      <c r="I1919" s="16"/>
    </row>
    <row r="1920" spans="6:9" x14ac:dyDescent="0.3">
      <c r="F1920" s="14"/>
      <c r="G1920" s="15"/>
      <c r="H1920" s="15"/>
      <c r="I1920" s="16"/>
    </row>
    <row r="1921" spans="6:9" x14ac:dyDescent="0.3">
      <c r="F1921" s="14"/>
      <c r="G1921" s="15"/>
      <c r="H1921" s="15"/>
      <c r="I1921" s="16"/>
    </row>
    <row r="1922" spans="6:9" x14ac:dyDescent="0.3">
      <c r="F1922" s="14"/>
      <c r="G1922" s="15"/>
      <c r="H1922" s="15"/>
      <c r="I1922" s="16"/>
    </row>
    <row r="1923" spans="6:9" x14ac:dyDescent="0.3">
      <c r="F1923" s="14"/>
      <c r="G1923" s="15"/>
      <c r="H1923" s="15"/>
      <c r="I1923" s="16"/>
    </row>
    <row r="1924" spans="6:9" x14ac:dyDescent="0.3">
      <c r="F1924" s="14"/>
      <c r="G1924" s="15"/>
      <c r="H1924" s="15"/>
      <c r="I1924" s="16"/>
    </row>
    <row r="1925" spans="6:9" x14ac:dyDescent="0.3">
      <c r="F1925" s="14"/>
      <c r="G1925" s="15"/>
      <c r="H1925" s="15"/>
      <c r="I1925" s="16"/>
    </row>
    <row r="1926" spans="6:9" x14ac:dyDescent="0.3">
      <c r="F1926" s="14"/>
      <c r="G1926" s="15"/>
      <c r="H1926" s="15"/>
      <c r="I1926" s="16"/>
    </row>
    <row r="1927" spans="6:9" x14ac:dyDescent="0.3">
      <c r="F1927" s="14"/>
      <c r="G1927" s="15"/>
      <c r="H1927" s="15"/>
      <c r="I1927" s="16"/>
    </row>
    <row r="1928" spans="6:9" x14ac:dyDescent="0.3">
      <c r="F1928" s="14"/>
      <c r="G1928" s="15"/>
      <c r="H1928" s="15"/>
      <c r="I1928" s="16"/>
    </row>
    <row r="1929" spans="6:9" x14ac:dyDescent="0.3">
      <c r="F1929" s="14"/>
      <c r="G1929" s="15"/>
      <c r="H1929" s="15"/>
      <c r="I1929" s="16"/>
    </row>
    <row r="1930" spans="6:9" x14ac:dyDescent="0.3">
      <c r="F1930" s="14"/>
      <c r="G1930" s="15"/>
      <c r="H1930" s="15"/>
      <c r="I1930" s="16"/>
    </row>
    <row r="1931" spans="6:9" x14ac:dyDescent="0.3">
      <c r="F1931" s="14"/>
      <c r="G1931" s="15"/>
      <c r="H1931" s="15"/>
      <c r="I1931" s="16"/>
    </row>
    <row r="1932" spans="6:9" x14ac:dyDescent="0.3">
      <c r="F1932" s="14"/>
      <c r="G1932" s="15"/>
      <c r="H1932" s="15"/>
      <c r="I1932" s="16"/>
    </row>
    <row r="1933" spans="6:9" x14ac:dyDescent="0.3">
      <c r="F1933" s="14"/>
      <c r="G1933" s="15"/>
      <c r="H1933" s="15"/>
      <c r="I1933" s="16"/>
    </row>
    <row r="1934" spans="6:9" x14ac:dyDescent="0.3">
      <c r="F1934" s="14"/>
      <c r="G1934" s="15"/>
      <c r="H1934" s="15"/>
      <c r="I1934" s="16"/>
    </row>
    <row r="1935" spans="6:9" x14ac:dyDescent="0.3">
      <c r="F1935" s="14"/>
      <c r="G1935" s="15"/>
      <c r="H1935" s="15"/>
      <c r="I1935" s="16"/>
    </row>
    <row r="1936" spans="6:9" x14ac:dyDescent="0.3">
      <c r="F1936" s="14"/>
      <c r="G1936" s="15"/>
      <c r="H1936" s="15"/>
      <c r="I1936" s="16"/>
    </row>
    <row r="1937" spans="6:9" x14ac:dyDescent="0.3">
      <c r="F1937" s="14"/>
      <c r="G1937" s="15"/>
      <c r="H1937" s="15"/>
      <c r="I1937" s="16"/>
    </row>
    <row r="1938" spans="6:9" x14ac:dyDescent="0.3">
      <c r="F1938" s="14"/>
      <c r="G1938" s="15"/>
      <c r="H1938" s="15"/>
      <c r="I1938" s="16"/>
    </row>
    <row r="1939" spans="6:9" x14ac:dyDescent="0.3">
      <c r="F1939" s="14"/>
      <c r="G1939" s="15"/>
      <c r="H1939" s="15"/>
      <c r="I1939" s="16"/>
    </row>
    <row r="1940" spans="6:9" x14ac:dyDescent="0.3">
      <c r="F1940" s="14"/>
      <c r="G1940" s="15"/>
      <c r="H1940" s="15"/>
      <c r="I1940" s="16"/>
    </row>
    <row r="1941" spans="6:9" x14ac:dyDescent="0.3">
      <c r="F1941" s="14"/>
      <c r="G1941" s="15"/>
      <c r="H1941" s="15"/>
      <c r="I1941" s="16"/>
    </row>
    <row r="1942" spans="6:9" x14ac:dyDescent="0.3">
      <c r="F1942" s="14"/>
      <c r="G1942" s="15"/>
      <c r="H1942" s="15"/>
      <c r="I1942" s="16"/>
    </row>
    <row r="1943" spans="6:9" x14ac:dyDescent="0.3">
      <c r="F1943" s="14"/>
      <c r="G1943" s="15"/>
      <c r="H1943" s="15"/>
      <c r="I1943" s="16"/>
    </row>
    <row r="1944" spans="6:9" x14ac:dyDescent="0.3">
      <c r="F1944" s="14"/>
      <c r="G1944" s="15"/>
      <c r="H1944" s="15"/>
      <c r="I1944" s="16"/>
    </row>
    <row r="1945" spans="6:9" x14ac:dyDescent="0.3">
      <c r="F1945" s="14"/>
      <c r="G1945" s="15"/>
      <c r="H1945" s="15"/>
      <c r="I1945" s="16"/>
    </row>
    <row r="1946" spans="6:9" x14ac:dyDescent="0.3">
      <c r="F1946" s="14"/>
      <c r="G1946" s="15"/>
      <c r="H1946" s="15"/>
      <c r="I1946" s="16"/>
    </row>
    <row r="1947" spans="6:9" x14ac:dyDescent="0.3">
      <c r="F1947" s="14"/>
      <c r="G1947" s="15"/>
      <c r="H1947" s="15"/>
      <c r="I1947" s="16"/>
    </row>
    <row r="1948" spans="6:9" x14ac:dyDescent="0.3">
      <c r="F1948" s="14"/>
      <c r="G1948" s="15"/>
      <c r="H1948" s="15"/>
      <c r="I1948" s="16"/>
    </row>
    <row r="1949" spans="6:9" x14ac:dyDescent="0.3">
      <c r="F1949" s="14"/>
      <c r="G1949" s="15"/>
      <c r="H1949" s="15"/>
      <c r="I1949" s="16"/>
    </row>
    <row r="1950" spans="6:9" x14ac:dyDescent="0.3">
      <c r="F1950" s="14"/>
      <c r="G1950" s="15"/>
      <c r="H1950" s="15"/>
      <c r="I1950" s="16"/>
    </row>
    <row r="1951" spans="6:9" x14ac:dyDescent="0.3">
      <c r="F1951" s="14"/>
      <c r="G1951" s="15"/>
      <c r="H1951" s="15"/>
      <c r="I1951" s="16"/>
    </row>
    <row r="1952" spans="6:9" x14ac:dyDescent="0.3">
      <c r="F1952" s="14"/>
      <c r="G1952" s="15"/>
      <c r="H1952" s="15"/>
      <c r="I1952" s="16"/>
    </row>
    <row r="1953" spans="6:9" x14ac:dyDescent="0.3">
      <c r="F1953" s="14"/>
      <c r="G1953" s="15"/>
      <c r="H1953" s="15"/>
      <c r="I1953" s="16"/>
    </row>
    <row r="1954" spans="6:9" x14ac:dyDescent="0.3">
      <c r="F1954" s="14"/>
      <c r="G1954" s="15"/>
      <c r="H1954" s="15"/>
      <c r="I1954" s="16"/>
    </row>
    <row r="1955" spans="6:9" x14ac:dyDescent="0.3">
      <c r="F1955" s="14"/>
      <c r="G1955" s="15"/>
      <c r="H1955" s="15"/>
      <c r="I1955" s="16"/>
    </row>
    <row r="1956" spans="6:9" x14ac:dyDescent="0.3">
      <c r="F1956" s="14"/>
      <c r="G1956" s="15"/>
      <c r="H1956" s="15"/>
      <c r="I1956" s="16"/>
    </row>
    <row r="1957" spans="6:9" x14ac:dyDescent="0.3">
      <c r="F1957" s="14"/>
      <c r="G1957" s="15"/>
      <c r="H1957" s="15"/>
      <c r="I1957" s="16"/>
    </row>
    <row r="1958" spans="6:9" x14ac:dyDescent="0.3">
      <c r="F1958" s="14"/>
      <c r="G1958" s="15"/>
      <c r="H1958" s="15"/>
      <c r="I1958" s="16"/>
    </row>
    <row r="1959" spans="6:9" x14ac:dyDescent="0.3">
      <c r="F1959" s="14"/>
      <c r="G1959" s="15"/>
      <c r="H1959" s="15"/>
      <c r="I1959" s="16"/>
    </row>
    <row r="1960" spans="6:9" x14ac:dyDescent="0.3">
      <c r="F1960" s="14"/>
      <c r="G1960" s="15"/>
      <c r="H1960" s="15"/>
      <c r="I1960" s="16"/>
    </row>
    <row r="1961" spans="6:9" x14ac:dyDescent="0.3">
      <c r="F1961" s="14"/>
      <c r="G1961" s="15"/>
      <c r="H1961" s="15"/>
      <c r="I1961" s="16"/>
    </row>
    <row r="1962" spans="6:9" x14ac:dyDescent="0.3">
      <c r="F1962" s="14"/>
      <c r="G1962" s="15"/>
      <c r="H1962" s="15"/>
      <c r="I1962" s="16"/>
    </row>
    <row r="1963" spans="6:9" x14ac:dyDescent="0.3">
      <c r="F1963" s="14"/>
      <c r="G1963" s="15"/>
      <c r="H1963" s="15"/>
      <c r="I1963" s="16"/>
    </row>
    <row r="1964" spans="6:9" x14ac:dyDescent="0.3">
      <c r="F1964" s="14"/>
      <c r="G1964" s="15"/>
      <c r="H1964" s="15"/>
      <c r="I1964" s="16"/>
    </row>
    <row r="1965" spans="6:9" x14ac:dyDescent="0.3">
      <c r="F1965" s="14"/>
      <c r="G1965" s="15"/>
      <c r="H1965" s="15"/>
      <c r="I1965" s="16"/>
    </row>
    <row r="1966" spans="6:9" x14ac:dyDescent="0.3">
      <c r="F1966" s="14"/>
      <c r="G1966" s="15"/>
      <c r="H1966" s="15"/>
      <c r="I1966" s="16"/>
    </row>
    <row r="1967" spans="6:9" x14ac:dyDescent="0.3">
      <c r="F1967" s="14"/>
      <c r="G1967" s="15"/>
      <c r="H1967" s="15"/>
      <c r="I1967" s="16"/>
    </row>
    <row r="1968" spans="6:9" x14ac:dyDescent="0.3">
      <c r="F1968" s="14"/>
      <c r="G1968" s="15"/>
      <c r="H1968" s="15"/>
      <c r="I1968" s="16"/>
    </row>
    <row r="1969" spans="6:9" x14ac:dyDescent="0.3">
      <c r="F1969" s="14"/>
      <c r="G1969" s="15"/>
      <c r="H1969" s="15"/>
      <c r="I1969" s="16"/>
    </row>
    <row r="1970" spans="6:9" x14ac:dyDescent="0.3">
      <c r="F1970" s="14"/>
      <c r="G1970" s="15"/>
      <c r="H1970" s="15"/>
      <c r="I1970" s="16"/>
    </row>
    <row r="1971" spans="6:9" x14ac:dyDescent="0.3">
      <c r="F1971" s="14"/>
      <c r="G1971" s="15"/>
      <c r="H1971" s="15"/>
      <c r="I1971" s="16"/>
    </row>
    <row r="1972" spans="6:9" x14ac:dyDescent="0.3">
      <c r="F1972" s="14"/>
      <c r="G1972" s="15"/>
      <c r="H1972" s="15"/>
      <c r="I1972" s="16"/>
    </row>
    <row r="1973" spans="6:9" x14ac:dyDescent="0.3">
      <c r="F1973" s="14"/>
      <c r="G1973" s="15"/>
      <c r="H1973" s="15"/>
      <c r="I1973" s="16"/>
    </row>
    <row r="1974" spans="6:9" x14ac:dyDescent="0.3">
      <c r="F1974" s="14"/>
      <c r="G1974" s="15"/>
      <c r="H1974" s="15"/>
      <c r="I1974" s="16"/>
    </row>
    <row r="1975" spans="6:9" x14ac:dyDescent="0.3">
      <c r="F1975" s="14"/>
      <c r="G1975" s="15"/>
      <c r="H1975" s="15"/>
      <c r="I1975" s="16"/>
    </row>
    <row r="1976" spans="6:9" x14ac:dyDescent="0.3">
      <c r="F1976" s="14"/>
      <c r="G1976" s="15"/>
      <c r="H1976" s="15"/>
      <c r="I1976" s="16"/>
    </row>
    <row r="1977" spans="6:9" x14ac:dyDescent="0.3">
      <c r="F1977" s="14"/>
      <c r="G1977" s="15"/>
      <c r="H1977" s="15"/>
      <c r="I1977" s="16"/>
    </row>
    <row r="1978" spans="6:9" x14ac:dyDescent="0.3">
      <c r="F1978" s="14"/>
      <c r="G1978" s="15"/>
      <c r="H1978" s="15"/>
      <c r="I1978" s="16"/>
    </row>
    <row r="1979" spans="6:9" x14ac:dyDescent="0.3">
      <c r="F1979" s="14"/>
      <c r="G1979" s="15"/>
      <c r="H1979" s="15"/>
      <c r="I1979" s="16"/>
    </row>
    <row r="1980" spans="6:9" x14ac:dyDescent="0.3">
      <c r="F1980" s="14"/>
      <c r="G1980" s="15"/>
      <c r="H1980" s="15"/>
      <c r="I1980" s="16"/>
    </row>
    <row r="1981" spans="6:9" x14ac:dyDescent="0.3">
      <c r="F1981" s="14"/>
      <c r="G1981" s="15"/>
      <c r="H1981" s="15"/>
      <c r="I1981" s="16"/>
    </row>
    <row r="1982" spans="6:9" x14ac:dyDescent="0.3">
      <c r="F1982" s="14"/>
      <c r="G1982" s="15"/>
      <c r="H1982" s="15"/>
      <c r="I1982" s="16"/>
    </row>
    <row r="1983" spans="6:9" x14ac:dyDescent="0.3">
      <c r="F1983" s="14"/>
      <c r="G1983" s="15"/>
      <c r="H1983" s="15"/>
      <c r="I1983" s="16"/>
    </row>
    <row r="1984" spans="6:9" x14ac:dyDescent="0.3">
      <c r="F1984" s="14"/>
      <c r="G1984" s="15"/>
      <c r="H1984" s="15"/>
      <c r="I1984" s="16"/>
    </row>
    <row r="1985" spans="6:9" x14ac:dyDescent="0.3">
      <c r="F1985" s="14"/>
      <c r="G1985" s="15"/>
      <c r="H1985" s="15"/>
      <c r="I1985" s="16"/>
    </row>
    <row r="1986" spans="6:9" x14ac:dyDescent="0.3">
      <c r="F1986" s="14"/>
      <c r="G1986" s="15"/>
      <c r="H1986" s="15"/>
      <c r="I1986" s="16"/>
    </row>
    <row r="1987" spans="6:9" x14ac:dyDescent="0.3">
      <c r="F1987" s="14"/>
      <c r="G1987" s="15"/>
      <c r="H1987" s="15"/>
      <c r="I1987" s="16"/>
    </row>
    <row r="1988" spans="6:9" x14ac:dyDescent="0.3">
      <c r="F1988" s="14"/>
      <c r="G1988" s="15"/>
      <c r="H1988" s="15"/>
      <c r="I1988" s="16"/>
    </row>
    <row r="1989" spans="6:9" x14ac:dyDescent="0.3">
      <c r="F1989" s="14"/>
      <c r="G1989" s="15"/>
      <c r="H1989" s="15"/>
      <c r="I1989" s="16"/>
    </row>
    <row r="1990" spans="6:9" x14ac:dyDescent="0.3">
      <c r="F1990" s="14"/>
      <c r="G1990" s="15"/>
      <c r="H1990" s="15"/>
      <c r="I1990" s="16"/>
    </row>
    <row r="1991" spans="6:9" x14ac:dyDescent="0.3">
      <c r="F1991" s="14"/>
      <c r="G1991" s="15"/>
      <c r="H1991" s="15"/>
      <c r="I1991" s="16"/>
    </row>
    <row r="1992" spans="6:9" x14ac:dyDescent="0.3">
      <c r="F1992" s="14"/>
      <c r="G1992" s="15"/>
      <c r="H1992" s="15"/>
      <c r="I1992" s="16"/>
    </row>
    <row r="1993" spans="6:9" x14ac:dyDescent="0.3">
      <c r="F1993" s="14"/>
      <c r="G1993" s="15"/>
      <c r="H1993" s="15"/>
      <c r="I1993" s="16"/>
    </row>
    <row r="1994" spans="6:9" x14ac:dyDescent="0.3">
      <c r="F1994" s="14"/>
      <c r="G1994" s="15"/>
      <c r="H1994" s="15"/>
      <c r="I1994" s="16"/>
    </row>
    <row r="1995" spans="6:9" x14ac:dyDescent="0.3">
      <c r="F1995" s="14"/>
      <c r="G1995" s="15"/>
      <c r="H1995" s="15"/>
      <c r="I1995" s="16"/>
    </row>
    <row r="1996" spans="6:9" x14ac:dyDescent="0.3">
      <c r="F1996" s="14"/>
      <c r="G1996" s="15"/>
      <c r="H1996" s="15"/>
      <c r="I1996" s="16"/>
    </row>
    <row r="1997" spans="6:9" x14ac:dyDescent="0.3">
      <c r="F1997" s="14"/>
      <c r="G1997" s="15"/>
      <c r="H1997" s="15"/>
      <c r="I1997" s="16"/>
    </row>
    <row r="1998" spans="6:9" x14ac:dyDescent="0.3">
      <c r="F1998" s="14"/>
      <c r="G1998" s="15"/>
      <c r="H1998" s="15"/>
      <c r="I1998" s="16"/>
    </row>
    <row r="1999" spans="6:9" x14ac:dyDescent="0.3">
      <c r="F1999" s="14"/>
      <c r="G1999" s="15"/>
      <c r="H1999" s="15"/>
      <c r="I1999" s="16"/>
    </row>
    <row r="2000" spans="6:9" x14ac:dyDescent="0.3">
      <c r="F2000" s="14"/>
      <c r="G2000" s="15"/>
      <c r="H2000" s="15"/>
      <c r="I2000" s="16"/>
    </row>
    <row r="2001" spans="6:9" x14ac:dyDescent="0.3">
      <c r="F2001" s="14"/>
      <c r="G2001" s="15"/>
      <c r="H2001" s="15"/>
      <c r="I2001" s="16"/>
    </row>
    <row r="2002" spans="6:9" x14ac:dyDescent="0.3">
      <c r="F2002" s="14"/>
      <c r="G2002" s="15"/>
      <c r="H2002" s="15"/>
      <c r="I2002" s="16"/>
    </row>
    <row r="2003" spans="6:9" x14ac:dyDescent="0.3">
      <c r="F2003" s="14"/>
      <c r="G2003" s="15"/>
      <c r="H2003" s="15"/>
      <c r="I2003" s="16"/>
    </row>
    <row r="2004" spans="6:9" x14ac:dyDescent="0.3">
      <c r="F2004" s="14"/>
      <c r="G2004" s="15"/>
      <c r="H2004" s="15"/>
      <c r="I2004" s="16"/>
    </row>
    <row r="2005" spans="6:9" x14ac:dyDescent="0.3">
      <c r="F2005" s="14"/>
      <c r="G2005" s="15"/>
      <c r="H2005" s="15"/>
      <c r="I2005" s="16"/>
    </row>
    <row r="2006" spans="6:9" x14ac:dyDescent="0.3">
      <c r="F2006" s="14"/>
      <c r="G2006" s="15"/>
      <c r="H2006" s="15"/>
      <c r="I2006" s="16"/>
    </row>
    <row r="2007" spans="6:9" x14ac:dyDescent="0.3">
      <c r="F2007" s="14"/>
      <c r="G2007" s="15"/>
      <c r="H2007" s="15"/>
      <c r="I2007" s="16"/>
    </row>
    <row r="2008" spans="6:9" x14ac:dyDescent="0.3">
      <c r="F2008" s="14"/>
      <c r="G2008" s="15"/>
      <c r="H2008" s="15"/>
      <c r="I2008" s="16"/>
    </row>
    <row r="2009" spans="6:9" x14ac:dyDescent="0.3">
      <c r="F2009" s="14"/>
      <c r="G2009" s="15"/>
      <c r="H2009" s="15"/>
      <c r="I2009" s="16"/>
    </row>
    <row r="2010" spans="6:9" x14ac:dyDescent="0.3">
      <c r="F2010" s="14"/>
      <c r="G2010" s="15"/>
      <c r="H2010" s="15"/>
      <c r="I2010" s="16"/>
    </row>
    <row r="2011" spans="6:9" x14ac:dyDescent="0.3">
      <c r="F2011" s="14"/>
      <c r="G2011" s="15"/>
      <c r="H2011" s="15"/>
      <c r="I2011" s="16"/>
    </row>
    <row r="2012" spans="6:9" x14ac:dyDescent="0.3">
      <c r="F2012" s="14"/>
      <c r="G2012" s="15"/>
      <c r="H2012" s="15"/>
      <c r="I2012" s="16"/>
    </row>
    <row r="2013" spans="6:9" x14ac:dyDescent="0.3">
      <c r="F2013" s="14"/>
      <c r="G2013" s="15"/>
      <c r="H2013" s="15"/>
      <c r="I2013" s="16"/>
    </row>
    <row r="2014" spans="6:9" x14ac:dyDescent="0.3">
      <c r="F2014" s="14"/>
      <c r="G2014" s="15"/>
      <c r="H2014" s="15"/>
      <c r="I2014" s="16"/>
    </row>
    <row r="2015" spans="6:9" x14ac:dyDescent="0.3">
      <c r="F2015" s="14"/>
      <c r="G2015" s="15"/>
      <c r="H2015" s="15"/>
      <c r="I2015" s="16"/>
    </row>
    <row r="2016" spans="6:9" x14ac:dyDescent="0.3">
      <c r="F2016" s="14"/>
      <c r="G2016" s="15"/>
      <c r="H2016" s="15"/>
      <c r="I2016" s="16"/>
    </row>
    <row r="2017" spans="6:9" x14ac:dyDescent="0.3">
      <c r="F2017" s="14"/>
      <c r="G2017" s="15"/>
      <c r="H2017" s="15"/>
      <c r="I2017" s="16"/>
    </row>
    <row r="2018" spans="6:9" x14ac:dyDescent="0.3">
      <c r="F2018" s="14"/>
      <c r="G2018" s="15"/>
      <c r="H2018" s="15"/>
      <c r="I2018" s="16"/>
    </row>
    <row r="2019" spans="6:9" x14ac:dyDescent="0.3">
      <c r="F2019" s="14"/>
      <c r="G2019" s="15"/>
      <c r="H2019" s="15"/>
      <c r="I2019" s="16"/>
    </row>
    <row r="2020" spans="6:9" x14ac:dyDescent="0.3">
      <c r="F2020" s="14"/>
      <c r="G2020" s="15"/>
      <c r="H2020" s="15"/>
      <c r="I2020" s="16"/>
    </row>
    <row r="2021" spans="6:9" x14ac:dyDescent="0.3">
      <c r="F2021" s="14"/>
      <c r="G2021" s="15"/>
      <c r="H2021" s="15"/>
      <c r="I2021" s="16"/>
    </row>
    <row r="2022" spans="6:9" x14ac:dyDescent="0.3">
      <c r="F2022" s="14"/>
      <c r="G2022" s="15"/>
      <c r="H2022" s="15"/>
      <c r="I2022" s="16"/>
    </row>
    <row r="2023" spans="6:9" x14ac:dyDescent="0.3">
      <c r="F2023" s="14"/>
      <c r="G2023" s="15"/>
      <c r="H2023" s="15"/>
      <c r="I2023" s="16"/>
    </row>
    <row r="2024" spans="6:9" x14ac:dyDescent="0.3">
      <c r="F2024" s="14"/>
      <c r="G2024" s="15"/>
      <c r="H2024" s="15"/>
      <c r="I2024" s="16"/>
    </row>
    <row r="2025" spans="6:9" x14ac:dyDescent="0.3">
      <c r="F2025" s="14"/>
      <c r="G2025" s="15"/>
      <c r="H2025" s="15"/>
      <c r="I2025" s="16"/>
    </row>
    <row r="2026" spans="6:9" x14ac:dyDescent="0.3">
      <c r="F2026" s="14"/>
      <c r="G2026" s="15"/>
      <c r="H2026" s="15"/>
      <c r="I2026" s="16"/>
    </row>
    <row r="2027" spans="6:9" x14ac:dyDescent="0.3">
      <c r="F2027" s="14"/>
      <c r="G2027" s="15"/>
      <c r="H2027" s="15"/>
      <c r="I2027" s="16"/>
    </row>
    <row r="2028" spans="6:9" x14ac:dyDescent="0.3">
      <c r="F2028" s="14"/>
      <c r="G2028" s="15"/>
      <c r="H2028" s="15"/>
      <c r="I2028" s="16"/>
    </row>
    <row r="2029" spans="6:9" x14ac:dyDescent="0.3">
      <c r="F2029" s="14"/>
      <c r="G2029" s="15"/>
      <c r="H2029" s="15"/>
      <c r="I2029" s="16"/>
    </row>
    <row r="2030" spans="6:9" x14ac:dyDescent="0.3">
      <c r="F2030" s="14"/>
      <c r="G2030" s="15"/>
      <c r="H2030" s="15"/>
      <c r="I2030" s="16"/>
    </row>
    <row r="2031" spans="6:9" x14ac:dyDescent="0.3">
      <c r="F2031" s="14"/>
      <c r="G2031" s="15"/>
      <c r="H2031" s="15"/>
      <c r="I2031" s="16"/>
    </row>
    <row r="2032" spans="6:9" x14ac:dyDescent="0.3">
      <c r="F2032" s="14"/>
      <c r="G2032" s="15"/>
      <c r="H2032" s="15"/>
      <c r="I2032" s="16"/>
    </row>
    <row r="2033" spans="6:9" x14ac:dyDescent="0.3">
      <c r="F2033" s="14"/>
      <c r="G2033" s="15"/>
      <c r="H2033" s="15"/>
      <c r="I2033" s="16"/>
    </row>
    <row r="2034" spans="6:9" x14ac:dyDescent="0.3">
      <c r="F2034" s="14"/>
      <c r="G2034" s="15"/>
      <c r="H2034" s="15"/>
      <c r="I2034" s="16"/>
    </row>
    <row r="2035" spans="6:9" x14ac:dyDescent="0.3">
      <c r="F2035" s="14"/>
      <c r="G2035" s="15"/>
      <c r="H2035" s="15"/>
      <c r="I2035" s="16"/>
    </row>
    <row r="2036" spans="6:9" x14ac:dyDescent="0.3">
      <c r="F2036" s="14"/>
      <c r="G2036" s="15"/>
      <c r="H2036" s="15"/>
      <c r="I2036" s="16"/>
    </row>
    <row r="2037" spans="6:9" x14ac:dyDescent="0.3">
      <c r="F2037" s="14"/>
      <c r="G2037" s="15"/>
      <c r="H2037" s="15"/>
      <c r="I2037" s="16"/>
    </row>
    <row r="2038" spans="6:9" x14ac:dyDescent="0.3">
      <c r="F2038" s="14"/>
      <c r="G2038" s="15"/>
      <c r="H2038" s="15"/>
      <c r="I2038" s="16"/>
    </row>
    <row r="2039" spans="6:9" x14ac:dyDescent="0.3">
      <c r="F2039" s="14"/>
      <c r="G2039" s="15"/>
      <c r="H2039" s="15"/>
      <c r="I2039" s="16"/>
    </row>
    <row r="2040" spans="6:9" x14ac:dyDescent="0.3">
      <c r="F2040" s="14"/>
      <c r="G2040" s="15"/>
      <c r="H2040" s="15"/>
      <c r="I2040" s="16"/>
    </row>
    <row r="2041" spans="6:9" x14ac:dyDescent="0.3">
      <c r="F2041" s="14"/>
      <c r="G2041" s="15"/>
      <c r="H2041" s="15"/>
      <c r="I2041" s="16"/>
    </row>
    <row r="2042" spans="6:9" x14ac:dyDescent="0.3">
      <c r="F2042" s="14"/>
      <c r="G2042" s="15"/>
      <c r="H2042" s="15"/>
      <c r="I2042" s="16"/>
    </row>
    <row r="2043" spans="6:9" x14ac:dyDescent="0.3">
      <c r="F2043" s="14"/>
      <c r="G2043" s="15"/>
      <c r="H2043" s="15"/>
      <c r="I2043" s="16"/>
    </row>
    <row r="2044" spans="6:9" x14ac:dyDescent="0.3">
      <c r="F2044" s="14"/>
      <c r="G2044" s="15"/>
      <c r="H2044" s="15"/>
      <c r="I2044" s="16"/>
    </row>
    <row r="2045" spans="6:9" x14ac:dyDescent="0.3">
      <c r="F2045" s="14"/>
      <c r="G2045" s="15"/>
      <c r="H2045" s="15"/>
      <c r="I2045" s="16"/>
    </row>
    <row r="2046" spans="6:9" x14ac:dyDescent="0.3">
      <c r="F2046" s="14"/>
      <c r="G2046" s="15"/>
      <c r="H2046" s="15"/>
      <c r="I2046" s="16"/>
    </row>
    <row r="2047" spans="6:9" x14ac:dyDescent="0.3">
      <c r="F2047" s="14"/>
      <c r="G2047" s="15"/>
      <c r="H2047" s="15"/>
      <c r="I2047" s="16"/>
    </row>
    <row r="2048" spans="6:9" x14ac:dyDescent="0.3">
      <c r="F2048" s="14"/>
      <c r="G2048" s="15"/>
      <c r="H2048" s="15"/>
      <c r="I2048" s="16"/>
    </row>
    <row r="2049" spans="6:9" x14ac:dyDescent="0.3">
      <c r="F2049" s="14"/>
      <c r="G2049" s="15"/>
      <c r="H2049" s="15"/>
      <c r="I2049" s="16"/>
    </row>
    <row r="2050" spans="6:9" x14ac:dyDescent="0.3">
      <c r="F2050" s="14"/>
      <c r="G2050" s="15"/>
      <c r="H2050" s="15"/>
      <c r="I2050" s="16"/>
    </row>
    <row r="2051" spans="6:9" x14ac:dyDescent="0.3">
      <c r="F2051" s="14"/>
      <c r="G2051" s="15"/>
      <c r="H2051" s="15"/>
      <c r="I2051" s="16"/>
    </row>
    <row r="2052" spans="6:9" x14ac:dyDescent="0.3">
      <c r="F2052" s="14"/>
      <c r="G2052" s="15"/>
      <c r="H2052" s="15"/>
      <c r="I2052" s="16"/>
    </row>
    <row r="2053" spans="6:9" x14ac:dyDescent="0.3">
      <c r="F2053" s="14"/>
      <c r="G2053" s="15"/>
      <c r="H2053" s="15"/>
      <c r="I2053" s="16"/>
    </row>
    <row r="2054" spans="6:9" x14ac:dyDescent="0.3">
      <c r="F2054" s="14"/>
      <c r="G2054" s="15"/>
      <c r="H2054" s="15"/>
      <c r="I2054" s="16"/>
    </row>
    <row r="2055" spans="6:9" x14ac:dyDescent="0.3">
      <c r="F2055" s="14"/>
      <c r="G2055" s="15"/>
      <c r="H2055" s="15"/>
      <c r="I2055" s="16"/>
    </row>
    <row r="2056" spans="6:9" x14ac:dyDescent="0.3">
      <c r="F2056" s="14"/>
      <c r="G2056" s="15"/>
      <c r="H2056" s="15"/>
      <c r="I2056" s="16"/>
    </row>
    <row r="2057" spans="6:9" x14ac:dyDescent="0.3">
      <c r="F2057" s="14"/>
      <c r="G2057" s="15"/>
      <c r="H2057" s="15"/>
      <c r="I2057" s="16"/>
    </row>
    <row r="2058" spans="6:9" x14ac:dyDescent="0.3">
      <c r="F2058" s="14"/>
      <c r="G2058" s="15"/>
      <c r="H2058" s="15"/>
      <c r="I2058" s="16"/>
    </row>
    <row r="2059" spans="6:9" x14ac:dyDescent="0.3">
      <c r="F2059" s="14"/>
      <c r="G2059" s="15"/>
      <c r="H2059" s="15"/>
      <c r="I2059" s="16"/>
    </row>
    <row r="2060" spans="6:9" x14ac:dyDescent="0.3">
      <c r="F2060" s="14"/>
      <c r="G2060" s="15"/>
      <c r="H2060" s="15"/>
      <c r="I2060" s="16"/>
    </row>
    <row r="2061" spans="6:9" x14ac:dyDescent="0.3">
      <c r="F2061" s="14"/>
      <c r="G2061" s="15"/>
      <c r="H2061" s="15"/>
      <c r="I2061" s="16"/>
    </row>
    <row r="2062" spans="6:9" x14ac:dyDescent="0.3">
      <c r="F2062" s="14"/>
      <c r="G2062" s="15"/>
      <c r="H2062" s="15"/>
      <c r="I2062" s="16"/>
    </row>
    <row r="2063" spans="6:9" x14ac:dyDescent="0.3">
      <c r="F2063" s="14"/>
      <c r="G2063" s="15"/>
      <c r="H2063" s="15"/>
      <c r="I2063" s="16"/>
    </row>
    <row r="2064" spans="6:9" x14ac:dyDescent="0.3">
      <c r="F2064" s="14"/>
      <c r="G2064" s="15"/>
      <c r="H2064" s="15"/>
      <c r="I2064" s="16"/>
    </row>
    <row r="2065" spans="6:9" x14ac:dyDescent="0.3">
      <c r="F2065" s="14"/>
      <c r="G2065" s="15"/>
      <c r="H2065" s="15"/>
      <c r="I2065" s="16"/>
    </row>
    <row r="2066" spans="6:9" x14ac:dyDescent="0.3">
      <c r="F2066" s="14"/>
      <c r="G2066" s="15"/>
      <c r="H2066" s="15"/>
      <c r="I2066" s="16"/>
    </row>
    <row r="2067" spans="6:9" x14ac:dyDescent="0.3">
      <c r="F2067" s="14"/>
      <c r="G2067" s="15"/>
      <c r="H2067" s="15"/>
      <c r="I2067" s="16"/>
    </row>
    <row r="2068" spans="6:9" x14ac:dyDescent="0.3">
      <c r="F2068" s="14"/>
      <c r="G2068" s="15"/>
      <c r="H2068" s="15"/>
      <c r="I2068" s="16"/>
    </row>
    <row r="2069" spans="6:9" x14ac:dyDescent="0.3">
      <c r="F2069" s="14"/>
      <c r="G2069" s="15"/>
      <c r="H2069" s="15"/>
      <c r="I2069" s="16"/>
    </row>
    <row r="2070" spans="6:9" x14ac:dyDescent="0.3">
      <c r="F2070" s="14"/>
      <c r="G2070" s="15"/>
      <c r="H2070" s="15"/>
      <c r="I2070" s="16"/>
    </row>
    <row r="2071" spans="6:9" x14ac:dyDescent="0.3">
      <c r="F2071" s="14"/>
      <c r="G2071" s="15"/>
      <c r="H2071" s="15"/>
      <c r="I2071" s="16"/>
    </row>
    <row r="2072" spans="6:9" x14ac:dyDescent="0.3">
      <c r="F2072" s="14"/>
      <c r="G2072" s="15"/>
      <c r="H2072" s="15"/>
      <c r="I2072" s="16"/>
    </row>
    <row r="2073" spans="6:9" x14ac:dyDescent="0.3">
      <c r="F2073" s="14"/>
      <c r="G2073" s="15"/>
      <c r="H2073" s="15"/>
      <c r="I2073" s="16"/>
    </row>
    <row r="2074" spans="6:9" x14ac:dyDescent="0.3">
      <c r="F2074" s="14"/>
      <c r="G2074" s="15"/>
      <c r="H2074" s="15"/>
      <c r="I2074" s="16"/>
    </row>
    <row r="2075" spans="6:9" x14ac:dyDescent="0.3">
      <c r="F2075" s="14"/>
      <c r="G2075" s="15"/>
      <c r="H2075" s="15"/>
      <c r="I2075" s="16"/>
    </row>
    <row r="2076" spans="6:9" x14ac:dyDescent="0.3">
      <c r="F2076" s="14"/>
      <c r="G2076" s="15"/>
      <c r="H2076" s="15"/>
      <c r="I2076" s="16"/>
    </row>
    <row r="2077" spans="6:9" x14ac:dyDescent="0.3">
      <c r="F2077" s="14"/>
      <c r="G2077" s="15"/>
      <c r="H2077" s="15"/>
      <c r="I2077" s="16"/>
    </row>
    <row r="2078" spans="6:9" x14ac:dyDescent="0.3">
      <c r="F2078" s="14"/>
      <c r="G2078" s="15"/>
      <c r="H2078" s="15"/>
      <c r="I2078" s="16"/>
    </row>
    <row r="2079" spans="6:9" x14ac:dyDescent="0.3">
      <c r="F2079" s="14"/>
      <c r="G2079" s="15"/>
      <c r="H2079" s="15"/>
      <c r="I2079" s="16"/>
    </row>
    <row r="2080" spans="6:9" x14ac:dyDescent="0.3">
      <c r="F2080" s="14"/>
      <c r="G2080" s="15"/>
      <c r="H2080" s="15"/>
      <c r="I2080" s="16"/>
    </row>
    <row r="2081" spans="6:9" x14ac:dyDescent="0.3">
      <c r="F2081" s="14"/>
      <c r="G2081" s="15"/>
      <c r="H2081" s="15"/>
      <c r="I2081" s="16"/>
    </row>
    <row r="2082" spans="6:9" x14ac:dyDescent="0.3">
      <c r="F2082" s="14"/>
      <c r="G2082" s="15"/>
      <c r="H2082" s="15"/>
      <c r="I2082" s="16"/>
    </row>
    <row r="2083" spans="6:9" x14ac:dyDescent="0.3">
      <c r="F2083" s="14"/>
      <c r="G2083" s="15"/>
      <c r="H2083" s="15"/>
      <c r="I2083" s="16"/>
    </row>
    <row r="2084" spans="6:9" x14ac:dyDescent="0.3">
      <c r="F2084" s="14"/>
      <c r="G2084" s="15"/>
      <c r="H2084" s="15"/>
      <c r="I2084" s="16"/>
    </row>
    <row r="2085" spans="6:9" x14ac:dyDescent="0.3">
      <c r="F2085" s="14"/>
      <c r="G2085" s="15"/>
      <c r="H2085" s="15"/>
      <c r="I2085" s="16"/>
    </row>
    <row r="2086" spans="6:9" x14ac:dyDescent="0.3">
      <c r="F2086" s="14"/>
      <c r="G2086" s="15"/>
      <c r="H2086" s="15"/>
      <c r="I2086" s="16"/>
    </row>
    <row r="2087" spans="6:9" x14ac:dyDescent="0.3">
      <c r="F2087" s="14"/>
      <c r="G2087" s="15"/>
      <c r="H2087" s="15"/>
      <c r="I2087" s="16"/>
    </row>
    <row r="2088" spans="6:9" x14ac:dyDescent="0.3">
      <c r="F2088" s="14"/>
      <c r="G2088" s="15"/>
      <c r="H2088" s="15"/>
      <c r="I2088" s="16"/>
    </row>
    <row r="2089" spans="6:9" x14ac:dyDescent="0.3">
      <c r="F2089" s="14"/>
      <c r="G2089" s="15"/>
      <c r="H2089" s="15"/>
      <c r="I2089" s="16"/>
    </row>
    <row r="2090" spans="6:9" x14ac:dyDescent="0.3">
      <c r="F2090" s="14"/>
      <c r="G2090" s="15"/>
      <c r="H2090" s="15"/>
      <c r="I2090" s="16"/>
    </row>
    <row r="2091" spans="6:9" x14ac:dyDescent="0.3">
      <c r="F2091" s="14"/>
      <c r="G2091" s="15"/>
      <c r="H2091" s="15"/>
      <c r="I2091" s="16"/>
    </row>
    <row r="2092" spans="6:9" x14ac:dyDescent="0.3">
      <c r="F2092" s="14"/>
      <c r="G2092" s="15"/>
      <c r="H2092" s="15"/>
      <c r="I2092" s="16"/>
    </row>
    <row r="2093" spans="6:9" x14ac:dyDescent="0.3">
      <c r="F2093" s="14"/>
      <c r="G2093" s="15"/>
      <c r="H2093" s="15"/>
      <c r="I2093" s="16"/>
    </row>
    <row r="2094" spans="6:9" x14ac:dyDescent="0.3">
      <c r="F2094" s="14"/>
      <c r="G2094" s="15"/>
      <c r="H2094" s="15"/>
      <c r="I2094" s="16"/>
    </row>
    <row r="2095" spans="6:9" x14ac:dyDescent="0.3">
      <c r="F2095" s="14"/>
      <c r="G2095" s="15"/>
      <c r="H2095" s="15"/>
      <c r="I2095" s="16"/>
    </row>
    <row r="2096" spans="6:9" x14ac:dyDescent="0.3">
      <c r="F2096" s="14"/>
      <c r="G2096" s="15"/>
      <c r="H2096" s="15"/>
      <c r="I2096" s="16"/>
    </row>
    <row r="2097" spans="6:9" x14ac:dyDescent="0.3">
      <c r="F2097" s="14"/>
      <c r="G2097" s="15"/>
      <c r="H2097" s="15"/>
      <c r="I2097" s="16"/>
    </row>
    <row r="2098" spans="6:9" x14ac:dyDescent="0.3">
      <c r="F2098" s="14"/>
      <c r="G2098" s="15"/>
      <c r="H2098" s="15"/>
      <c r="I2098" s="16"/>
    </row>
    <row r="2099" spans="6:9" x14ac:dyDescent="0.3">
      <c r="F2099" s="14"/>
      <c r="G2099" s="15"/>
      <c r="H2099" s="15"/>
      <c r="I2099" s="16"/>
    </row>
    <row r="2100" spans="6:9" x14ac:dyDescent="0.3">
      <c r="F2100" s="14"/>
      <c r="G2100" s="15"/>
      <c r="H2100" s="15"/>
      <c r="I2100" s="16"/>
    </row>
    <row r="2101" spans="6:9" x14ac:dyDescent="0.3">
      <c r="F2101" s="14"/>
      <c r="G2101" s="15"/>
      <c r="H2101" s="15"/>
      <c r="I2101" s="16"/>
    </row>
    <row r="2102" spans="6:9" x14ac:dyDescent="0.3">
      <c r="F2102" s="14"/>
      <c r="G2102" s="15"/>
      <c r="H2102" s="15"/>
      <c r="I2102" s="16"/>
    </row>
    <row r="2103" spans="6:9" x14ac:dyDescent="0.3">
      <c r="F2103" s="14"/>
      <c r="G2103" s="15"/>
      <c r="H2103" s="15"/>
      <c r="I2103" s="16"/>
    </row>
    <row r="2104" spans="6:9" x14ac:dyDescent="0.3">
      <c r="F2104" s="14"/>
      <c r="G2104" s="15"/>
      <c r="H2104" s="15"/>
      <c r="I2104" s="16"/>
    </row>
    <row r="2105" spans="6:9" x14ac:dyDescent="0.3">
      <c r="F2105" s="14"/>
      <c r="G2105" s="15"/>
      <c r="H2105" s="15"/>
      <c r="I2105" s="16"/>
    </row>
    <row r="2106" spans="6:9" x14ac:dyDescent="0.3">
      <c r="F2106" s="14"/>
      <c r="G2106" s="15"/>
      <c r="H2106" s="15"/>
      <c r="I2106" s="16"/>
    </row>
    <row r="2107" spans="6:9" x14ac:dyDescent="0.3">
      <c r="F2107" s="14"/>
      <c r="G2107" s="15"/>
      <c r="H2107" s="15"/>
      <c r="I2107" s="16"/>
    </row>
    <row r="2108" spans="6:9" x14ac:dyDescent="0.3">
      <c r="F2108" s="14"/>
      <c r="G2108" s="15"/>
      <c r="H2108" s="15"/>
      <c r="I2108" s="16"/>
    </row>
    <row r="2109" spans="6:9" x14ac:dyDescent="0.3">
      <c r="F2109" s="14"/>
      <c r="G2109" s="15"/>
      <c r="H2109" s="15"/>
      <c r="I2109" s="16"/>
    </row>
    <row r="2110" spans="6:9" x14ac:dyDescent="0.3">
      <c r="F2110" s="14"/>
      <c r="G2110" s="15"/>
      <c r="H2110" s="15"/>
      <c r="I2110" s="16"/>
    </row>
    <row r="2111" spans="6:9" x14ac:dyDescent="0.3">
      <c r="F2111" s="14"/>
      <c r="G2111" s="15"/>
      <c r="H2111" s="15"/>
      <c r="I2111" s="16"/>
    </row>
    <row r="2112" spans="6:9" x14ac:dyDescent="0.3">
      <c r="F2112" s="14"/>
      <c r="G2112" s="15"/>
      <c r="H2112" s="15"/>
      <c r="I2112" s="16"/>
    </row>
    <row r="2113" spans="6:9" x14ac:dyDescent="0.3">
      <c r="F2113" s="14"/>
      <c r="G2113" s="15"/>
      <c r="H2113" s="15"/>
      <c r="I2113" s="16"/>
    </row>
    <row r="2114" spans="6:9" x14ac:dyDescent="0.3">
      <c r="F2114" s="14"/>
      <c r="G2114" s="15"/>
      <c r="H2114" s="15"/>
      <c r="I2114" s="16"/>
    </row>
    <row r="2115" spans="6:9" x14ac:dyDescent="0.3">
      <c r="F2115" s="14"/>
      <c r="G2115" s="15"/>
      <c r="H2115" s="15"/>
      <c r="I2115" s="16"/>
    </row>
    <row r="2116" spans="6:9" x14ac:dyDescent="0.3">
      <c r="F2116" s="14"/>
      <c r="G2116" s="15"/>
      <c r="H2116" s="15"/>
      <c r="I2116" s="16"/>
    </row>
    <row r="2117" spans="6:9" x14ac:dyDescent="0.3">
      <c r="F2117" s="14"/>
      <c r="G2117" s="15"/>
      <c r="H2117" s="15"/>
      <c r="I2117" s="16"/>
    </row>
    <row r="2118" spans="6:9" x14ac:dyDescent="0.3">
      <c r="F2118" s="14"/>
      <c r="G2118" s="15"/>
      <c r="H2118" s="15"/>
      <c r="I2118" s="16"/>
    </row>
    <row r="2119" spans="6:9" x14ac:dyDescent="0.3">
      <c r="F2119" s="14"/>
      <c r="G2119" s="15"/>
      <c r="H2119" s="15"/>
      <c r="I2119" s="16"/>
    </row>
    <row r="2120" spans="6:9" x14ac:dyDescent="0.3">
      <c r="F2120" s="14"/>
      <c r="G2120" s="15"/>
      <c r="H2120" s="15"/>
      <c r="I2120" s="16"/>
    </row>
    <row r="2121" spans="6:9" x14ac:dyDescent="0.3">
      <c r="F2121" s="14"/>
      <c r="G2121" s="15"/>
      <c r="H2121" s="15"/>
      <c r="I2121" s="16"/>
    </row>
    <row r="2122" spans="6:9" x14ac:dyDescent="0.3">
      <c r="F2122" s="14"/>
      <c r="G2122" s="15"/>
      <c r="H2122" s="15"/>
      <c r="I2122" s="16"/>
    </row>
    <row r="2123" spans="6:9" x14ac:dyDescent="0.3">
      <c r="F2123" s="14"/>
      <c r="G2123" s="15"/>
      <c r="H2123" s="15"/>
      <c r="I2123" s="16"/>
    </row>
    <row r="2124" spans="6:9" x14ac:dyDescent="0.3">
      <c r="F2124" s="14"/>
      <c r="G2124" s="15"/>
      <c r="H2124" s="15"/>
      <c r="I2124" s="16"/>
    </row>
    <row r="2125" spans="6:9" x14ac:dyDescent="0.3">
      <c r="F2125" s="14"/>
      <c r="G2125" s="15"/>
      <c r="H2125" s="15"/>
      <c r="I2125" s="16"/>
    </row>
    <row r="2126" spans="6:9" x14ac:dyDescent="0.3">
      <c r="F2126" s="14"/>
      <c r="G2126" s="15"/>
      <c r="H2126" s="15"/>
      <c r="I2126" s="16"/>
    </row>
    <row r="2127" spans="6:9" x14ac:dyDescent="0.3">
      <c r="F2127" s="14"/>
      <c r="G2127" s="15"/>
      <c r="H2127" s="15"/>
      <c r="I2127" s="16"/>
    </row>
    <row r="2128" spans="6:9" x14ac:dyDescent="0.3">
      <c r="F2128" s="14"/>
      <c r="G2128" s="15"/>
      <c r="H2128" s="15"/>
      <c r="I2128" s="16"/>
    </row>
    <row r="2129" spans="6:9" x14ac:dyDescent="0.3">
      <c r="F2129" s="14"/>
      <c r="G2129" s="15"/>
      <c r="H2129" s="15"/>
      <c r="I2129" s="16"/>
    </row>
    <row r="2130" spans="6:9" x14ac:dyDescent="0.3">
      <c r="F2130" s="14"/>
      <c r="G2130" s="15"/>
      <c r="H2130" s="15"/>
      <c r="I2130" s="16"/>
    </row>
    <row r="2131" spans="6:9" x14ac:dyDescent="0.3">
      <c r="F2131" s="14"/>
      <c r="G2131" s="15"/>
      <c r="H2131" s="15"/>
      <c r="I2131" s="16"/>
    </row>
    <row r="2132" spans="6:9" x14ac:dyDescent="0.3">
      <c r="F2132" s="14"/>
      <c r="G2132" s="15"/>
      <c r="H2132" s="15"/>
      <c r="I2132" s="16"/>
    </row>
    <row r="2133" spans="6:9" x14ac:dyDescent="0.3">
      <c r="F2133" s="14"/>
      <c r="G2133" s="15"/>
      <c r="H2133" s="15"/>
      <c r="I2133" s="16"/>
    </row>
    <row r="2134" spans="6:9" x14ac:dyDescent="0.3">
      <c r="F2134" s="14"/>
      <c r="G2134" s="15"/>
      <c r="H2134" s="15"/>
      <c r="I2134" s="16"/>
    </row>
    <row r="2135" spans="6:9" x14ac:dyDescent="0.3">
      <c r="F2135" s="14"/>
      <c r="G2135" s="15"/>
      <c r="H2135" s="15"/>
      <c r="I2135" s="16"/>
    </row>
    <row r="2136" spans="6:9" x14ac:dyDescent="0.3">
      <c r="F2136" s="14"/>
      <c r="G2136" s="15"/>
      <c r="H2136" s="15"/>
      <c r="I2136" s="16"/>
    </row>
    <row r="2137" spans="6:9" x14ac:dyDescent="0.3">
      <c r="F2137" s="14"/>
      <c r="G2137" s="15"/>
      <c r="H2137" s="15"/>
      <c r="I2137" s="16"/>
    </row>
    <row r="2138" spans="6:9" x14ac:dyDescent="0.3">
      <c r="F2138" s="14"/>
      <c r="G2138" s="15"/>
      <c r="H2138" s="15"/>
      <c r="I2138" s="16"/>
    </row>
    <row r="2139" spans="6:9" x14ac:dyDescent="0.3">
      <c r="F2139" s="14"/>
      <c r="G2139" s="15"/>
      <c r="H2139" s="15"/>
      <c r="I2139" s="16"/>
    </row>
    <row r="2140" spans="6:9" x14ac:dyDescent="0.3">
      <c r="F2140" s="14"/>
      <c r="G2140" s="15"/>
      <c r="H2140" s="15"/>
      <c r="I2140" s="16"/>
    </row>
    <row r="2141" spans="6:9" x14ac:dyDescent="0.3">
      <c r="F2141" s="14"/>
      <c r="G2141" s="15"/>
      <c r="H2141" s="15"/>
      <c r="I2141" s="16"/>
    </row>
    <row r="2142" spans="6:9" x14ac:dyDescent="0.3">
      <c r="F2142" s="14"/>
      <c r="G2142" s="15"/>
      <c r="H2142" s="15"/>
      <c r="I2142" s="16"/>
    </row>
    <row r="2143" spans="6:9" x14ac:dyDescent="0.3">
      <c r="F2143" s="14"/>
      <c r="G2143" s="15"/>
      <c r="H2143" s="15"/>
      <c r="I2143" s="16"/>
    </row>
    <row r="2144" spans="6:9" x14ac:dyDescent="0.3">
      <c r="F2144" s="14"/>
      <c r="G2144" s="15"/>
      <c r="H2144" s="15"/>
      <c r="I2144" s="16"/>
    </row>
    <row r="2145" spans="6:9" x14ac:dyDescent="0.3">
      <c r="F2145" s="14"/>
      <c r="G2145" s="15"/>
      <c r="H2145" s="15"/>
      <c r="I2145" s="16"/>
    </row>
    <row r="2146" spans="6:9" x14ac:dyDescent="0.3">
      <c r="F2146" s="14"/>
      <c r="G2146" s="15"/>
      <c r="H2146" s="15"/>
      <c r="I2146" s="16"/>
    </row>
    <row r="2147" spans="6:9" x14ac:dyDescent="0.3">
      <c r="F2147" s="14"/>
      <c r="G2147" s="15"/>
      <c r="H2147" s="15"/>
      <c r="I2147" s="16"/>
    </row>
    <row r="2148" spans="6:9" x14ac:dyDescent="0.3">
      <c r="F2148" s="14"/>
      <c r="G2148" s="15"/>
      <c r="H2148" s="15"/>
      <c r="I2148" s="16"/>
    </row>
    <row r="2149" spans="6:9" x14ac:dyDescent="0.3">
      <c r="F2149" s="14"/>
      <c r="G2149" s="15"/>
      <c r="H2149" s="15"/>
      <c r="I2149" s="16"/>
    </row>
    <row r="2150" spans="6:9" x14ac:dyDescent="0.3">
      <c r="F2150" s="14"/>
      <c r="G2150" s="15"/>
      <c r="H2150" s="15"/>
      <c r="I2150" s="16"/>
    </row>
    <row r="2151" spans="6:9" x14ac:dyDescent="0.3">
      <c r="F2151" s="14"/>
      <c r="G2151" s="15"/>
      <c r="H2151" s="15"/>
      <c r="I2151" s="16"/>
    </row>
    <row r="2152" spans="6:9" x14ac:dyDescent="0.3">
      <c r="F2152" s="14"/>
      <c r="G2152" s="15"/>
      <c r="H2152" s="15"/>
      <c r="I2152" s="16"/>
    </row>
    <row r="2153" spans="6:9" x14ac:dyDescent="0.3">
      <c r="F2153" s="14"/>
      <c r="G2153" s="15"/>
      <c r="H2153" s="15"/>
      <c r="I2153" s="16"/>
    </row>
    <row r="2154" spans="6:9" x14ac:dyDescent="0.3">
      <c r="F2154" s="14"/>
      <c r="G2154" s="15"/>
      <c r="H2154" s="15"/>
      <c r="I2154" s="16"/>
    </row>
    <row r="2155" spans="6:9" x14ac:dyDescent="0.3">
      <c r="F2155" s="14"/>
      <c r="G2155" s="15"/>
      <c r="H2155" s="15"/>
      <c r="I2155" s="16"/>
    </row>
    <row r="2156" spans="6:9" x14ac:dyDescent="0.3">
      <c r="F2156" s="14"/>
      <c r="G2156" s="15"/>
      <c r="H2156" s="15"/>
      <c r="I2156" s="16"/>
    </row>
    <row r="2157" spans="6:9" x14ac:dyDescent="0.3">
      <c r="F2157" s="14"/>
      <c r="G2157" s="15"/>
      <c r="H2157" s="15"/>
      <c r="I2157" s="16"/>
    </row>
    <row r="2158" spans="6:9" x14ac:dyDescent="0.3">
      <c r="F2158" s="14"/>
      <c r="G2158" s="15"/>
      <c r="H2158" s="15"/>
      <c r="I2158" s="16"/>
    </row>
    <row r="2159" spans="6:9" x14ac:dyDescent="0.3">
      <c r="F2159" s="14"/>
      <c r="G2159" s="15"/>
      <c r="H2159" s="15"/>
      <c r="I2159" s="16"/>
    </row>
    <row r="2160" spans="6:9" x14ac:dyDescent="0.3">
      <c r="F2160" s="14"/>
      <c r="G2160" s="15"/>
      <c r="H2160" s="15"/>
      <c r="I2160" s="16"/>
    </row>
    <row r="2161" spans="6:9" x14ac:dyDescent="0.3">
      <c r="F2161" s="14"/>
      <c r="G2161" s="15"/>
      <c r="H2161" s="15"/>
      <c r="I2161" s="16"/>
    </row>
    <row r="2162" spans="6:9" x14ac:dyDescent="0.3">
      <c r="F2162" s="14"/>
      <c r="G2162" s="15"/>
      <c r="H2162" s="15"/>
      <c r="I2162" s="16"/>
    </row>
    <row r="2163" spans="6:9" x14ac:dyDescent="0.3">
      <c r="F2163" s="14"/>
      <c r="G2163" s="15"/>
      <c r="H2163" s="15"/>
      <c r="I2163" s="16"/>
    </row>
    <row r="2164" spans="6:9" x14ac:dyDescent="0.3">
      <c r="F2164" s="14"/>
      <c r="G2164" s="15"/>
      <c r="H2164" s="15"/>
      <c r="I2164" s="16"/>
    </row>
    <row r="2165" spans="6:9" x14ac:dyDescent="0.3">
      <c r="F2165" s="14"/>
      <c r="G2165" s="15"/>
      <c r="H2165" s="15"/>
      <c r="I2165" s="16"/>
    </row>
    <row r="2166" spans="6:9" x14ac:dyDescent="0.3">
      <c r="F2166" s="14"/>
      <c r="G2166" s="15"/>
      <c r="H2166" s="15"/>
      <c r="I2166" s="16"/>
    </row>
    <row r="2167" spans="6:9" x14ac:dyDescent="0.3">
      <c r="F2167" s="14"/>
      <c r="G2167" s="15"/>
      <c r="H2167" s="15"/>
      <c r="I2167" s="16"/>
    </row>
    <row r="2168" spans="6:9" x14ac:dyDescent="0.3">
      <c r="F2168" s="14"/>
      <c r="G2168" s="15"/>
      <c r="H2168" s="15"/>
      <c r="I2168" s="16"/>
    </row>
    <row r="2169" spans="6:9" x14ac:dyDescent="0.3">
      <c r="F2169" s="14"/>
      <c r="G2169" s="15"/>
      <c r="H2169" s="15"/>
      <c r="I2169" s="16"/>
    </row>
    <row r="2170" spans="6:9" x14ac:dyDescent="0.3">
      <c r="F2170" s="14"/>
      <c r="G2170" s="15"/>
      <c r="H2170" s="15"/>
      <c r="I2170" s="16"/>
    </row>
    <row r="2171" spans="6:9" x14ac:dyDescent="0.3">
      <c r="F2171" s="14"/>
      <c r="G2171" s="15"/>
      <c r="H2171" s="15"/>
      <c r="I2171" s="16"/>
    </row>
    <row r="2172" spans="6:9" x14ac:dyDescent="0.3">
      <c r="F2172" s="14"/>
      <c r="G2172" s="15"/>
      <c r="H2172" s="15"/>
      <c r="I2172" s="16"/>
    </row>
    <row r="2173" spans="6:9" x14ac:dyDescent="0.3">
      <c r="F2173" s="14"/>
      <c r="G2173" s="15"/>
      <c r="H2173" s="15"/>
      <c r="I2173" s="16"/>
    </row>
    <row r="2174" spans="6:9" x14ac:dyDescent="0.3">
      <c r="F2174" s="14"/>
      <c r="G2174" s="15"/>
      <c r="H2174" s="15"/>
      <c r="I2174" s="16"/>
    </row>
    <row r="2175" spans="6:9" x14ac:dyDescent="0.3">
      <c r="F2175" s="14"/>
      <c r="G2175" s="15"/>
      <c r="H2175" s="15"/>
      <c r="I2175" s="16"/>
    </row>
    <row r="2176" spans="6:9" x14ac:dyDescent="0.3">
      <c r="F2176" s="14"/>
      <c r="G2176" s="15"/>
      <c r="H2176" s="15"/>
      <c r="I2176" s="16"/>
    </row>
    <row r="2177" spans="6:9" x14ac:dyDescent="0.3">
      <c r="F2177" s="14"/>
      <c r="G2177" s="15"/>
      <c r="H2177" s="15"/>
      <c r="I2177" s="16"/>
    </row>
    <row r="2178" spans="6:9" x14ac:dyDescent="0.3">
      <c r="F2178" s="14"/>
      <c r="G2178" s="15"/>
      <c r="H2178" s="15"/>
      <c r="I2178" s="16"/>
    </row>
    <row r="2179" spans="6:9" x14ac:dyDescent="0.3">
      <c r="F2179" s="14"/>
      <c r="G2179" s="15"/>
      <c r="H2179" s="15"/>
      <c r="I2179" s="16"/>
    </row>
    <row r="2180" spans="6:9" x14ac:dyDescent="0.3">
      <c r="F2180" s="14"/>
      <c r="G2180" s="15"/>
      <c r="H2180" s="15"/>
      <c r="I2180" s="16"/>
    </row>
    <row r="2181" spans="6:9" x14ac:dyDescent="0.3">
      <c r="F2181" s="14"/>
      <c r="G2181" s="15"/>
      <c r="H2181" s="15"/>
      <c r="I2181" s="16"/>
    </row>
    <row r="2182" spans="6:9" x14ac:dyDescent="0.3">
      <c r="F2182" s="14"/>
      <c r="G2182" s="15"/>
      <c r="H2182" s="15"/>
      <c r="I2182" s="16"/>
    </row>
    <row r="2183" spans="6:9" x14ac:dyDescent="0.3">
      <c r="F2183" s="14"/>
      <c r="G2183" s="15"/>
      <c r="H2183" s="15"/>
      <c r="I2183" s="16"/>
    </row>
    <row r="2184" spans="6:9" x14ac:dyDescent="0.3">
      <c r="F2184" s="14"/>
      <c r="G2184" s="15"/>
      <c r="H2184" s="15"/>
      <c r="I2184" s="16"/>
    </row>
    <row r="2185" spans="6:9" x14ac:dyDescent="0.3">
      <c r="F2185" s="14"/>
      <c r="G2185" s="15"/>
      <c r="H2185" s="15"/>
      <c r="I2185" s="16"/>
    </row>
    <row r="2186" spans="6:9" x14ac:dyDescent="0.3">
      <c r="F2186" s="14"/>
      <c r="G2186" s="15"/>
      <c r="H2186" s="15"/>
      <c r="I2186" s="16"/>
    </row>
    <row r="2187" spans="6:9" x14ac:dyDescent="0.3">
      <c r="F2187" s="14"/>
      <c r="G2187" s="15"/>
      <c r="H2187" s="15"/>
      <c r="I2187" s="16"/>
    </row>
    <row r="2188" spans="6:9" x14ac:dyDescent="0.3">
      <c r="F2188" s="14"/>
      <c r="G2188" s="15"/>
      <c r="H2188" s="15"/>
      <c r="I2188" s="16"/>
    </row>
    <row r="2189" spans="6:9" x14ac:dyDescent="0.3">
      <c r="F2189" s="14"/>
      <c r="G2189" s="15"/>
      <c r="H2189" s="15"/>
      <c r="I2189" s="16"/>
    </row>
    <row r="2190" spans="6:9" x14ac:dyDescent="0.3">
      <c r="F2190" s="14"/>
      <c r="G2190" s="15"/>
      <c r="H2190" s="15"/>
      <c r="I2190" s="16"/>
    </row>
    <row r="2191" spans="6:9" x14ac:dyDescent="0.3">
      <c r="F2191" s="14"/>
      <c r="G2191" s="15"/>
      <c r="H2191" s="15"/>
      <c r="I2191" s="16"/>
    </row>
    <row r="2192" spans="6:9" x14ac:dyDescent="0.3">
      <c r="F2192" s="14"/>
      <c r="G2192" s="15"/>
      <c r="H2192" s="15"/>
      <c r="I2192" s="16"/>
    </row>
    <row r="2193" spans="6:9" x14ac:dyDescent="0.3">
      <c r="F2193" s="14"/>
      <c r="G2193" s="15"/>
      <c r="H2193" s="15"/>
      <c r="I2193" s="16"/>
    </row>
    <row r="2194" spans="6:9" x14ac:dyDescent="0.3">
      <c r="F2194" s="14"/>
      <c r="G2194" s="15"/>
      <c r="H2194" s="15"/>
      <c r="I2194" s="16"/>
    </row>
    <row r="2195" spans="6:9" x14ac:dyDescent="0.3">
      <c r="F2195" s="14"/>
      <c r="G2195" s="15"/>
      <c r="H2195" s="15"/>
      <c r="I2195" s="16"/>
    </row>
    <row r="2196" spans="6:9" x14ac:dyDescent="0.3">
      <c r="F2196" s="14"/>
      <c r="G2196" s="15"/>
      <c r="H2196" s="15"/>
      <c r="I2196" s="16"/>
    </row>
    <row r="2197" spans="6:9" x14ac:dyDescent="0.3">
      <c r="F2197" s="14"/>
      <c r="G2197" s="15"/>
      <c r="H2197" s="15"/>
      <c r="I2197" s="16"/>
    </row>
    <row r="2198" spans="6:9" x14ac:dyDescent="0.3">
      <c r="F2198" s="14"/>
      <c r="G2198" s="15"/>
      <c r="H2198" s="15"/>
      <c r="I2198" s="16"/>
    </row>
    <row r="2199" spans="6:9" x14ac:dyDescent="0.3">
      <c r="F2199" s="14"/>
      <c r="G2199" s="15"/>
      <c r="H2199" s="15"/>
      <c r="I2199" s="16"/>
    </row>
    <row r="2200" spans="6:9" x14ac:dyDescent="0.3">
      <c r="F2200" s="14"/>
      <c r="G2200" s="15"/>
      <c r="H2200" s="15"/>
      <c r="I2200" s="16"/>
    </row>
    <row r="2201" spans="6:9" x14ac:dyDescent="0.3">
      <c r="F2201" s="14"/>
      <c r="G2201" s="15"/>
      <c r="H2201" s="15"/>
      <c r="I2201" s="16"/>
    </row>
    <row r="2202" spans="6:9" x14ac:dyDescent="0.3">
      <c r="F2202" s="14"/>
      <c r="G2202" s="15"/>
      <c r="H2202" s="15"/>
      <c r="I2202" s="16"/>
    </row>
    <row r="2203" spans="6:9" x14ac:dyDescent="0.3">
      <c r="F2203" s="14"/>
      <c r="G2203" s="15"/>
      <c r="H2203" s="15"/>
      <c r="I2203" s="16"/>
    </row>
    <row r="2204" spans="6:9" x14ac:dyDescent="0.3">
      <c r="F2204" s="14"/>
      <c r="G2204" s="15"/>
      <c r="H2204" s="15"/>
      <c r="I2204" s="16"/>
    </row>
    <row r="2205" spans="6:9" x14ac:dyDescent="0.3">
      <c r="F2205" s="14"/>
      <c r="G2205" s="15"/>
      <c r="H2205" s="15"/>
      <c r="I2205" s="16"/>
    </row>
    <row r="2206" spans="6:9" x14ac:dyDescent="0.3">
      <c r="F2206" s="14"/>
      <c r="G2206" s="15"/>
      <c r="H2206" s="15"/>
      <c r="I2206" s="16"/>
    </row>
    <row r="2207" spans="6:9" x14ac:dyDescent="0.3">
      <c r="F2207" s="14"/>
      <c r="G2207" s="15"/>
      <c r="H2207" s="15"/>
      <c r="I2207" s="16"/>
    </row>
    <row r="2208" spans="6:9" x14ac:dyDescent="0.3">
      <c r="F2208" s="14"/>
      <c r="G2208" s="15"/>
      <c r="H2208" s="15"/>
      <c r="I2208" s="16"/>
    </row>
    <row r="2209" spans="6:9" x14ac:dyDescent="0.3">
      <c r="F2209" s="14"/>
      <c r="G2209" s="15"/>
      <c r="H2209" s="15"/>
      <c r="I2209" s="16"/>
    </row>
    <row r="2210" spans="6:9" x14ac:dyDescent="0.3">
      <c r="F2210" s="14"/>
      <c r="G2210" s="15"/>
      <c r="H2210" s="15"/>
      <c r="I2210" s="16"/>
    </row>
    <row r="2211" spans="6:9" x14ac:dyDescent="0.3">
      <c r="F2211" s="14"/>
      <c r="G2211" s="15"/>
      <c r="H2211" s="15"/>
      <c r="I2211" s="16"/>
    </row>
    <row r="2212" spans="6:9" x14ac:dyDescent="0.3">
      <c r="F2212" s="14"/>
      <c r="G2212" s="15"/>
      <c r="H2212" s="15"/>
      <c r="I2212" s="16"/>
    </row>
    <row r="2213" spans="6:9" x14ac:dyDescent="0.3">
      <c r="F2213" s="14"/>
      <c r="G2213" s="15"/>
      <c r="H2213" s="15"/>
      <c r="I2213" s="16"/>
    </row>
    <row r="2214" spans="6:9" x14ac:dyDescent="0.3">
      <c r="F2214" s="14"/>
      <c r="G2214" s="15"/>
      <c r="H2214" s="15"/>
      <c r="I2214" s="16"/>
    </row>
    <row r="2215" spans="6:9" x14ac:dyDescent="0.3">
      <c r="F2215" s="14"/>
      <c r="G2215" s="15"/>
      <c r="H2215" s="15"/>
      <c r="I2215" s="16"/>
    </row>
    <row r="2216" spans="6:9" x14ac:dyDescent="0.3">
      <c r="F2216" s="14"/>
      <c r="G2216" s="15"/>
      <c r="H2216" s="15"/>
      <c r="I2216" s="16"/>
    </row>
    <row r="2217" spans="6:9" x14ac:dyDescent="0.3">
      <c r="F2217" s="14"/>
      <c r="G2217" s="15"/>
      <c r="H2217" s="15"/>
      <c r="I2217" s="16"/>
    </row>
    <row r="2218" spans="6:9" x14ac:dyDescent="0.3">
      <c r="F2218" s="14"/>
      <c r="G2218" s="15"/>
      <c r="H2218" s="15"/>
      <c r="I2218" s="16"/>
    </row>
    <row r="2219" spans="6:9" x14ac:dyDescent="0.3">
      <c r="F2219" s="14"/>
      <c r="G2219" s="15"/>
      <c r="H2219" s="15"/>
      <c r="I2219" s="16"/>
    </row>
    <row r="2220" spans="6:9" x14ac:dyDescent="0.3">
      <c r="F2220" s="14"/>
      <c r="G2220" s="15"/>
      <c r="H2220" s="15"/>
      <c r="I2220" s="16"/>
    </row>
    <row r="2221" spans="6:9" x14ac:dyDescent="0.3">
      <c r="F2221" s="14"/>
      <c r="G2221" s="15"/>
      <c r="H2221" s="15"/>
      <c r="I2221" s="16"/>
    </row>
    <row r="2222" spans="6:9" x14ac:dyDescent="0.3">
      <c r="F2222" s="14"/>
      <c r="G2222" s="15"/>
      <c r="H2222" s="15"/>
      <c r="I2222" s="16"/>
    </row>
    <row r="2223" spans="6:9" x14ac:dyDescent="0.3">
      <c r="F2223" s="14"/>
      <c r="G2223" s="15"/>
      <c r="H2223" s="15"/>
      <c r="I2223" s="16"/>
    </row>
    <row r="2224" spans="6:9" x14ac:dyDescent="0.3">
      <c r="F2224" s="14"/>
      <c r="G2224" s="15"/>
      <c r="H2224" s="15"/>
      <c r="I2224" s="16"/>
    </row>
    <row r="2225" spans="6:9" x14ac:dyDescent="0.3">
      <c r="F2225" s="14"/>
      <c r="G2225" s="15"/>
      <c r="H2225" s="15"/>
      <c r="I2225" s="16"/>
    </row>
    <row r="2226" spans="6:9" x14ac:dyDescent="0.3">
      <c r="F2226" s="14"/>
      <c r="G2226" s="15"/>
      <c r="H2226" s="15"/>
      <c r="I2226" s="16"/>
    </row>
    <row r="2227" spans="6:9" x14ac:dyDescent="0.3">
      <c r="F2227" s="14"/>
      <c r="G2227" s="15"/>
      <c r="H2227" s="15"/>
      <c r="I2227" s="16"/>
    </row>
    <row r="2228" spans="6:9" x14ac:dyDescent="0.3">
      <c r="F2228" s="14"/>
      <c r="G2228" s="15"/>
      <c r="H2228" s="15"/>
      <c r="I2228" s="16"/>
    </row>
    <row r="2229" spans="6:9" x14ac:dyDescent="0.3">
      <c r="F2229" s="14"/>
      <c r="G2229" s="15"/>
      <c r="H2229" s="15"/>
      <c r="I2229" s="16"/>
    </row>
    <row r="2230" spans="6:9" x14ac:dyDescent="0.3">
      <c r="F2230" s="14"/>
      <c r="G2230" s="15"/>
      <c r="H2230" s="15"/>
      <c r="I2230" s="16"/>
    </row>
    <row r="2231" spans="6:9" x14ac:dyDescent="0.3">
      <c r="F2231" s="14"/>
      <c r="G2231" s="15"/>
      <c r="H2231" s="15"/>
      <c r="I2231" s="16"/>
    </row>
    <row r="2232" spans="6:9" x14ac:dyDescent="0.3">
      <c r="F2232" s="14"/>
      <c r="G2232" s="15"/>
      <c r="H2232" s="15"/>
      <c r="I2232" s="16"/>
    </row>
    <row r="2233" spans="6:9" x14ac:dyDescent="0.3">
      <c r="F2233" s="14"/>
      <c r="G2233" s="15"/>
      <c r="H2233" s="15"/>
      <c r="I2233" s="16"/>
    </row>
    <row r="2234" spans="6:9" x14ac:dyDescent="0.3">
      <c r="F2234" s="14"/>
      <c r="G2234" s="15"/>
      <c r="H2234" s="15"/>
      <c r="I2234" s="16"/>
    </row>
    <row r="2235" spans="6:9" x14ac:dyDescent="0.3">
      <c r="F2235" s="14"/>
      <c r="G2235" s="15"/>
      <c r="H2235" s="15"/>
      <c r="I2235" s="16"/>
    </row>
    <row r="2236" spans="6:9" x14ac:dyDescent="0.3">
      <c r="F2236" s="14"/>
      <c r="G2236" s="15"/>
      <c r="H2236" s="15"/>
      <c r="I2236" s="16"/>
    </row>
    <row r="2237" spans="6:9" x14ac:dyDescent="0.3">
      <c r="F2237" s="14"/>
      <c r="G2237" s="15"/>
      <c r="H2237" s="15"/>
      <c r="I2237" s="16"/>
    </row>
    <row r="2238" spans="6:9" x14ac:dyDescent="0.3">
      <c r="F2238" s="14"/>
      <c r="G2238" s="15"/>
      <c r="H2238" s="15"/>
      <c r="I2238" s="16"/>
    </row>
    <row r="2239" spans="6:9" x14ac:dyDescent="0.3">
      <c r="F2239" s="14"/>
      <c r="G2239" s="15"/>
      <c r="H2239" s="15"/>
      <c r="I2239" s="16"/>
    </row>
    <row r="2240" spans="6:9" x14ac:dyDescent="0.3">
      <c r="F2240" s="14"/>
      <c r="G2240" s="15"/>
      <c r="H2240" s="15"/>
      <c r="I2240" s="16"/>
    </row>
    <row r="2241" spans="6:9" x14ac:dyDescent="0.3">
      <c r="F2241" s="14"/>
      <c r="G2241" s="15"/>
      <c r="H2241" s="15"/>
      <c r="I2241" s="16"/>
    </row>
    <row r="2242" spans="6:9" x14ac:dyDescent="0.3">
      <c r="F2242" s="14"/>
      <c r="G2242" s="15"/>
      <c r="H2242" s="15"/>
      <c r="I2242" s="16"/>
    </row>
    <row r="2243" spans="6:9" x14ac:dyDescent="0.3">
      <c r="F2243" s="14"/>
      <c r="G2243" s="15"/>
      <c r="H2243" s="15"/>
      <c r="I2243" s="16"/>
    </row>
    <row r="2244" spans="6:9" x14ac:dyDescent="0.3">
      <c r="F2244" s="14"/>
      <c r="G2244" s="15"/>
      <c r="H2244" s="15"/>
      <c r="I2244" s="16"/>
    </row>
    <row r="2245" spans="6:9" x14ac:dyDescent="0.3">
      <c r="F2245" s="14"/>
      <c r="G2245" s="15"/>
      <c r="H2245" s="15"/>
      <c r="I2245" s="16"/>
    </row>
    <row r="2246" spans="6:9" x14ac:dyDescent="0.3">
      <c r="F2246" s="14"/>
      <c r="G2246" s="15"/>
      <c r="H2246" s="15"/>
      <c r="I2246" s="16"/>
    </row>
    <row r="2247" spans="6:9" x14ac:dyDescent="0.3">
      <c r="F2247" s="14"/>
      <c r="G2247" s="15"/>
      <c r="H2247" s="15"/>
      <c r="I2247" s="16"/>
    </row>
    <row r="2248" spans="6:9" x14ac:dyDescent="0.3">
      <c r="F2248" s="14"/>
      <c r="G2248" s="15"/>
      <c r="H2248" s="15"/>
      <c r="I2248" s="16"/>
    </row>
    <row r="2249" spans="6:9" x14ac:dyDescent="0.3">
      <c r="F2249" s="14"/>
      <c r="G2249" s="15"/>
      <c r="H2249" s="15"/>
      <c r="I2249" s="16"/>
    </row>
    <row r="2250" spans="6:9" x14ac:dyDescent="0.3">
      <c r="F2250" s="14"/>
      <c r="G2250" s="15"/>
      <c r="H2250" s="15"/>
      <c r="I2250" s="16"/>
    </row>
    <row r="2251" spans="6:9" x14ac:dyDescent="0.3">
      <c r="F2251" s="14"/>
      <c r="G2251" s="15"/>
      <c r="H2251" s="15"/>
      <c r="I2251" s="16"/>
    </row>
    <row r="2252" spans="6:9" x14ac:dyDescent="0.3">
      <c r="F2252" s="14"/>
      <c r="G2252" s="15"/>
      <c r="H2252" s="15"/>
      <c r="I2252" s="16"/>
    </row>
    <row r="2253" spans="6:9" x14ac:dyDescent="0.3">
      <c r="F2253" s="14"/>
      <c r="G2253" s="15"/>
      <c r="H2253" s="15"/>
      <c r="I2253" s="16"/>
    </row>
    <row r="2254" spans="6:9" x14ac:dyDescent="0.3">
      <c r="F2254" s="14"/>
      <c r="G2254" s="15"/>
      <c r="H2254" s="15"/>
      <c r="I2254" s="16"/>
    </row>
    <row r="2255" spans="6:9" x14ac:dyDescent="0.3">
      <c r="F2255" s="14"/>
      <c r="G2255" s="15"/>
      <c r="H2255" s="15"/>
      <c r="I2255" s="16"/>
    </row>
    <row r="2256" spans="6:9" x14ac:dyDescent="0.3">
      <c r="F2256" s="14"/>
      <c r="G2256" s="15"/>
      <c r="H2256" s="15"/>
      <c r="I2256" s="16"/>
    </row>
    <row r="2257" spans="6:9" x14ac:dyDescent="0.3">
      <c r="F2257" s="14"/>
      <c r="G2257" s="15"/>
      <c r="H2257" s="15"/>
      <c r="I2257" s="16"/>
    </row>
    <row r="2258" spans="6:9" x14ac:dyDescent="0.3">
      <c r="F2258" s="14"/>
      <c r="G2258" s="15"/>
      <c r="H2258" s="15"/>
      <c r="I2258" s="16"/>
    </row>
    <row r="2259" spans="6:9" x14ac:dyDescent="0.3">
      <c r="F2259" s="14"/>
      <c r="G2259" s="15"/>
      <c r="H2259" s="15"/>
      <c r="I2259" s="16"/>
    </row>
    <row r="2260" spans="6:9" x14ac:dyDescent="0.3">
      <c r="F2260" s="14"/>
      <c r="G2260" s="15"/>
      <c r="H2260" s="15"/>
      <c r="I2260" s="16"/>
    </row>
    <row r="2261" spans="6:9" x14ac:dyDescent="0.3">
      <c r="F2261" s="14"/>
      <c r="G2261" s="15"/>
      <c r="H2261" s="15"/>
      <c r="I2261" s="16"/>
    </row>
    <row r="2262" spans="6:9" x14ac:dyDescent="0.3">
      <c r="F2262" s="14"/>
      <c r="G2262" s="15"/>
      <c r="H2262" s="15"/>
      <c r="I2262" s="16"/>
    </row>
    <row r="2263" spans="6:9" x14ac:dyDescent="0.3">
      <c r="F2263" s="14"/>
      <c r="G2263" s="15"/>
      <c r="H2263" s="15"/>
      <c r="I2263" s="16"/>
    </row>
    <row r="2264" spans="6:9" x14ac:dyDescent="0.3">
      <c r="F2264" s="14"/>
      <c r="G2264" s="15"/>
      <c r="H2264" s="15"/>
      <c r="I2264" s="16"/>
    </row>
    <row r="2265" spans="6:9" x14ac:dyDescent="0.3">
      <c r="F2265" s="14"/>
      <c r="G2265" s="15"/>
      <c r="H2265" s="15"/>
      <c r="I2265" s="16"/>
    </row>
    <row r="2266" spans="6:9" x14ac:dyDescent="0.3">
      <c r="F2266" s="14"/>
      <c r="G2266" s="15"/>
      <c r="H2266" s="15"/>
      <c r="I2266" s="16"/>
    </row>
    <row r="2267" spans="6:9" x14ac:dyDescent="0.3">
      <c r="F2267" s="14"/>
      <c r="G2267" s="15"/>
      <c r="H2267" s="15"/>
      <c r="I2267" s="16"/>
    </row>
    <row r="2268" spans="6:9" x14ac:dyDescent="0.3">
      <c r="F2268" s="14"/>
      <c r="G2268" s="15"/>
      <c r="H2268" s="15"/>
      <c r="I2268" s="16"/>
    </row>
    <row r="2269" spans="6:9" x14ac:dyDescent="0.3">
      <c r="F2269" s="14"/>
      <c r="G2269" s="15"/>
      <c r="H2269" s="15"/>
      <c r="I2269" s="16"/>
    </row>
    <row r="2270" spans="6:9" x14ac:dyDescent="0.3">
      <c r="F2270" s="14"/>
      <c r="G2270" s="15"/>
      <c r="H2270" s="15"/>
      <c r="I2270" s="16"/>
    </row>
    <row r="2271" spans="6:9" x14ac:dyDescent="0.3">
      <c r="F2271" s="14"/>
      <c r="G2271" s="15"/>
      <c r="H2271" s="15"/>
      <c r="I2271" s="16"/>
    </row>
    <row r="2272" spans="6:9" x14ac:dyDescent="0.3">
      <c r="F2272" s="14"/>
      <c r="G2272" s="15"/>
      <c r="H2272" s="15"/>
      <c r="I2272" s="16"/>
    </row>
    <row r="2273" spans="6:9" x14ac:dyDescent="0.3">
      <c r="F2273" s="14"/>
      <c r="G2273" s="15"/>
      <c r="H2273" s="15"/>
      <c r="I2273" s="16"/>
    </row>
    <row r="2274" spans="6:9" x14ac:dyDescent="0.3">
      <c r="F2274" s="14"/>
      <c r="G2274" s="15"/>
      <c r="H2274" s="15"/>
      <c r="I2274" s="16"/>
    </row>
    <row r="2275" spans="6:9" x14ac:dyDescent="0.3">
      <c r="F2275" s="14"/>
      <c r="G2275" s="15"/>
      <c r="H2275" s="15"/>
      <c r="I2275" s="16"/>
    </row>
    <row r="2276" spans="6:9" x14ac:dyDescent="0.3">
      <c r="F2276" s="14"/>
      <c r="G2276" s="15"/>
      <c r="H2276" s="15"/>
      <c r="I2276" s="16"/>
    </row>
    <row r="2277" spans="6:9" x14ac:dyDescent="0.3">
      <c r="F2277" s="14"/>
      <c r="G2277" s="15"/>
      <c r="H2277" s="15"/>
      <c r="I2277" s="16"/>
    </row>
    <row r="2278" spans="6:9" x14ac:dyDescent="0.3">
      <c r="F2278" s="14"/>
      <c r="G2278" s="15"/>
      <c r="H2278" s="15"/>
      <c r="I2278" s="16"/>
    </row>
    <row r="2279" spans="6:9" x14ac:dyDescent="0.3">
      <c r="F2279" s="14"/>
      <c r="G2279" s="15"/>
      <c r="H2279" s="15"/>
      <c r="I2279" s="16"/>
    </row>
    <row r="2280" spans="6:9" x14ac:dyDescent="0.3">
      <c r="F2280" s="14"/>
      <c r="G2280" s="15"/>
      <c r="H2280" s="15"/>
      <c r="I2280" s="16"/>
    </row>
    <row r="2281" spans="6:9" x14ac:dyDescent="0.3">
      <c r="F2281" s="14"/>
      <c r="G2281" s="15"/>
      <c r="H2281" s="15"/>
      <c r="I2281" s="16"/>
    </row>
    <row r="2282" spans="6:9" x14ac:dyDescent="0.3">
      <c r="F2282" s="14"/>
      <c r="G2282" s="15"/>
      <c r="H2282" s="15"/>
      <c r="I2282" s="16"/>
    </row>
    <row r="2283" spans="6:9" x14ac:dyDescent="0.3">
      <c r="F2283" s="14"/>
      <c r="G2283" s="15"/>
      <c r="H2283" s="15"/>
      <c r="I2283" s="16"/>
    </row>
    <row r="2284" spans="6:9" x14ac:dyDescent="0.3">
      <c r="F2284" s="14"/>
      <c r="G2284" s="15"/>
      <c r="H2284" s="15"/>
      <c r="I2284" s="16"/>
    </row>
    <row r="2285" spans="6:9" x14ac:dyDescent="0.3">
      <c r="F2285" s="14"/>
      <c r="G2285" s="15"/>
      <c r="H2285" s="15"/>
      <c r="I2285" s="16"/>
    </row>
    <row r="2286" spans="6:9" x14ac:dyDescent="0.3">
      <c r="F2286" s="14"/>
      <c r="G2286" s="15"/>
      <c r="H2286" s="15"/>
      <c r="I2286" s="16"/>
    </row>
    <row r="2287" spans="6:9" x14ac:dyDescent="0.3">
      <c r="F2287" s="14"/>
      <c r="G2287" s="15"/>
      <c r="H2287" s="15"/>
      <c r="I2287" s="16"/>
    </row>
    <row r="2288" spans="6:9" x14ac:dyDescent="0.3">
      <c r="F2288" s="14"/>
      <c r="G2288" s="15"/>
      <c r="H2288" s="15"/>
      <c r="I2288" s="16"/>
    </row>
    <row r="2289" spans="6:9" x14ac:dyDescent="0.3">
      <c r="F2289" s="14"/>
      <c r="G2289" s="15"/>
      <c r="H2289" s="15"/>
      <c r="I2289" s="16"/>
    </row>
    <row r="2290" spans="6:9" x14ac:dyDescent="0.3">
      <c r="F2290" s="14"/>
      <c r="G2290" s="15"/>
      <c r="H2290" s="15"/>
      <c r="I2290" s="16"/>
    </row>
    <row r="2291" spans="6:9" x14ac:dyDescent="0.3">
      <c r="F2291" s="14"/>
      <c r="G2291" s="15"/>
      <c r="H2291" s="15"/>
      <c r="I2291" s="16"/>
    </row>
    <row r="2292" spans="6:9" x14ac:dyDescent="0.3">
      <c r="F2292" s="14"/>
      <c r="G2292" s="15"/>
      <c r="H2292" s="15"/>
      <c r="I2292" s="16"/>
    </row>
    <row r="2293" spans="6:9" x14ac:dyDescent="0.3">
      <c r="F2293" s="14"/>
      <c r="G2293" s="15"/>
      <c r="H2293" s="15"/>
      <c r="I2293" s="16"/>
    </row>
    <row r="2294" spans="6:9" x14ac:dyDescent="0.3">
      <c r="F2294" s="14"/>
      <c r="G2294" s="15"/>
      <c r="H2294" s="15"/>
      <c r="I2294" s="16"/>
    </row>
    <row r="2295" spans="6:9" x14ac:dyDescent="0.3">
      <c r="F2295" s="14"/>
      <c r="G2295" s="15"/>
      <c r="H2295" s="15"/>
      <c r="I2295" s="16"/>
    </row>
    <row r="2296" spans="6:9" x14ac:dyDescent="0.3">
      <c r="F2296" s="14"/>
      <c r="G2296" s="15"/>
      <c r="H2296" s="15"/>
      <c r="I2296" s="16"/>
    </row>
    <row r="2297" spans="6:9" x14ac:dyDescent="0.3">
      <c r="F2297" s="14"/>
      <c r="G2297" s="15"/>
      <c r="H2297" s="15"/>
      <c r="I2297" s="16"/>
    </row>
    <row r="2298" spans="6:9" x14ac:dyDescent="0.3">
      <c r="F2298" s="14"/>
      <c r="G2298" s="15"/>
      <c r="H2298" s="15"/>
      <c r="I2298" s="16"/>
    </row>
    <row r="2299" spans="6:9" x14ac:dyDescent="0.3">
      <c r="F2299" s="14"/>
      <c r="G2299" s="15"/>
      <c r="H2299" s="15"/>
      <c r="I2299" s="16"/>
    </row>
    <row r="2300" spans="6:9" x14ac:dyDescent="0.3">
      <c r="F2300" s="14"/>
      <c r="G2300" s="15"/>
      <c r="H2300" s="15"/>
      <c r="I2300" s="16"/>
    </row>
    <row r="2301" spans="6:9" x14ac:dyDescent="0.3">
      <c r="F2301" s="14"/>
      <c r="G2301" s="15"/>
      <c r="H2301" s="15"/>
      <c r="I2301" s="16"/>
    </row>
    <row r="2302" spans="6:9" x14ac:dyDescent="0.3">
      <c r="F2302" s="14"/>
      <c r="G2302" s="15"/>
      <c r="H2302" s="15"/>
      <c r="I2302" s="16"/>
    </row>
    <row r="2303" spans="6:9" x14ac:dyDescent="0.3">
      <c r="F2303" s="14"/>
      <c r="G2303" s="15"/>
      <c r="H2303" s="15"/>
      <c r="I2303" s="16"/>
    </row>
    <row r="2304" spans="6:9" x14ac:dyDescent="0.3">
      <c r="F2304" s="14"/>
      <c r="G2304" s="15"/>
      <c r="H2304" s="15"/>
      <c r="I2304" s="16"/>
    </row>
    <row r="2305" spans="6:9" x14ac:dyDescent="0.3">
      <c r="F2305" s="14"/>
      <c r="G2305" s="15"/>
      <c r="H2305" s="15"/>
      <c r="I2305" s="16"/>
    </row>
    <row r="2306" spans="6:9" x14ac:dyDescent="0.3">
      <c r="F2306" s="14"/>
      <c r="G2306" s="15"/>
      <c r="H2306" s="15"/>
      <c r="I2306" s="16"/>
    </row>
    <row r="2307" spans="6:9" x14ac:dyDescent="0.3">
      <c r="F2307" s="14"/>
      <c r="G2307" s="15"/>
      <c r="H2307" s="15"/>
      <c r="I2307" s="16"/>
    </row>
    <row r="2308" spans="6:9" x14ac:dyDescent="0.3">
      <c r="F2308" s="14"/>
      <c r="G2308" s="15"/>
      <c r="H2308" s="15"/>
      <c r="I2308" s="16"/>
    </row>
    <row r="2309" spans="6:9" x14ac:dyDescent="0.3">
      <c r="F2309" s="14"/>
      <c r="G2309" s="15"/>
      <c r="H2309" s="15"/>
      <c r="I2309" s="16"/>
    </row>
    <row r="2310" spans="6:9" x14ac:dyDescent="0.3">
      <c r="F2310" s="14"/>
      <c r="G2310" s="15"/>
      <c r="H2310" s="15"/>
      <c r="I2310" s="16"/>
    </row>
    <row r="2311" spans="6:9" x14ac:dyDescent="0.3">
      <c r="F2311" s="14"/>
      <c r="G2311" s="15"/>
      <c r="H2311" s="15"/>
      <c r="I2311" s="16"/>
    </row>
    <row r="2312" spans="6:9" x14ac:dyDescent="0.3">
      <c r="F2312" s="14"/>
      <c r="G2312" s="15"/>
      <c r="H2312" s="15"/>
      <c r="I2312" s="16"/>
    </row>
    <row r="2313" spans="6:9" x14ac:dyDescent="0.3">
      <c r="F2313" s="14"/>
      <c r="G2313" s="15"/>
      <c r="H2313" s="15"/>
      <c r="I2313" s="16"/>
    </row>
    <row r="2314" spans="6:9" x14ac:dyDescent="0.3">
      <c r="F2314" s="14"/>
      <c r="G2314" s="15"/>
      <c r="H2314" s="15"/>
      <c r="I2314" s="16"/>
    </row>
    <row r="2315" spans="6:9" x14ac:dyDescent="0.3">
      <c r="F2315" s="14"/>
      <c r="G2315" s="15"/>
      <c r="H2315" s="15"/>
      <c r="I2315" s="16"/>
    </row>
    <row r="2316" spans="6:9" x14ac:dyDescent="0.3">
      <c r="F2316" s="14"/>
      <c r="G2316" s="15"/>
      <c r="H2316" s="15"/>
      <c r="I2316" s="16"/>
    </row>
    <row r="2317" spans="6:9" x14ac:dyDescent="0.3">
      <c r="F2317" s="14"/>
      <c r="G2317" s="15"/>
      <c r="H2317" s="15"/>
      <c r="I2317" s="16"/>
    </row>
    <row r="2318" spans="6:9" x14ac:dyDescent="0.3">
      <c r="F2318" s="14"/>
      <c r="G2318" s="15"/>
      <c r="H2318" s="15"/>
      <c r="I2318" s="16"/>
    </row>
    <row r="2319" spans="6:9" x14ac:dyDescent="0.3">
      <c r="F2319" s="14"/>
      <c r="G2319" s="15"/>
      <c r="H2319" s="15"/>
      <c r="I2319" s="16"/>
    </row>
    <row r="2320" spans="6:9" x14ac:dyDescent="0.3">
      <c r="F2320" s="14"/>
      <c r="G2320" s="15"/>
      <c r="H2320" s="15"/>
      <c r="I2320" s="16"/>
    </row>
    <row r="2321" spans="6:9" x14ac:dyDescent="0.3">
      <c r="F2321" s="14"/>
      <c r="G2321" s="15"/>
      <c r="H2321" s="15"/>
      <c r="I2321" s="16"/>
    </row>
    <row r="2322" spans="6:9" x14ac:dyDescent="0.3">
      <c r="F2322" s="14"/>
      <c r="G2322" s="15"/>
      <c r="H2322" s="15"/>
      <c r="I2322" s="16"/>
    </row>
    <row r="2323" spans="6:9" x14ac:dyDescent="0.3">
      <c r="F2323" s="14"/>
      <c r="G2323" s="15"/>
      <c r="H2323" s="15"/>
      <c r="I2323" s="16"/>
    </row>
    <row r="2324" spans="6:9" x14ac:dyDescent="0.3">
      <c r="F2324" s="14"/>
      <c r="G2324" s="15"/>
      <c r="H2324" s="15"/>
      <c r="I2324" s="16"/>
    </row>
    <row r="2325" spans="6:9" x14ac:dyDescent="0.3">
      <c r="F2325" s="14"/>
      <c r="G2325" s="15"/>
      <c r="H2325" s="15"/>
      <c r="I2325" s="16"/>
    </row>
    <row r="2326" spans="6:9" x14ac:dyDescent="0.3">
      <c r="F2326" s="14"/>
      <c r="G2326" s="15"/>
      <c r="H2326" s="15"/>
      <c r="I2326" s="16"/>
    </row>
    <row r="2327" spans="6:9" x14ac:dyDescent="0.3">
      <c r="F2327" s="14"/>
      <c r="G2327" s="15"/>
      <c r="H2327" s="15"/>
      <c r="I2327" s="16"/>
    </row>
    <row r="2328" spans="6:9" x14ac:dyDescent="0.3">
      <c r="F2328" s="14"/>
      <c r="G2328" s="15"/>
      <c r="H2328" s="15"/>
      <c r="I2328" s="16"/>
    </row>
    <row r="2329" spans="6:9" x14ac:dyDescent="0.3">
      <c r="F2329" s="14"/>
      <c r="G2329" s="15"/>
      <c r="H2329" s="15"/>
      <c r="I2329" s="16"/>
    </row>
    <row r="2330" spans="6:9" x14ac:dyDescent="0.3">
      <c r="F2330" s="14"/>
      <c r="G2330" s="15"/>
      <c r="H2330" s="15"/>
      <c r="I2330" s="16"/>
    </row>
    <row r="2331" spans="6:9" x14ac:dyDescent="0.3">
      <c r="F2331" s="14"/>
      <c r="G2331" s="15"/>
      <c r="H2331" s="15"/>
      <c r="I2331" s="16"/>
    </row>
    <row r="2332" spans="6:9" x14ac:dyDescent="0.3">
      <c r="F2332" s="14"/>
      <c r="G2332" s="15"/>
      <c r="H2332" s="15"/>
      <c r="I2332" s="16"/>
    </row>
    <row r="2333" spans="6:9" x14ac:dyDescent="0.3">
      <c r="F2333" s="14"/>
      <c r="G2333" s="15"/>
      <c r="H2333" s="15"/>
      <c r="I2333" s="16"/>
    </row>
    <row r="2334" spans="6:9" x14ac:dyDescent="0.3">
      <c r="F2334" s="14"/>
      <c r="G2334" s="15"/>
      <c r="H2334" s="15"/>
      <c r="I2334" s="16"/>
    </row>
    <row r="2335" spans="6:9" x14ac:dyDescent="0.3">
      <c r="F2335" s="14"/>
      <c r="G2335" s="15"/>
      <c r="H2335" s="15"/>
      <c r="I2335" s="16"/>
    </row>
    <row r="2336" spans="6:9" x14ac:dyDescent="0.3">
      <c r="F2336" s="14"/>
      <c r="G2336" s="15"/>
      <c r="H2336" s="15"/>
      <c r="I2336" s="16"/>
    </row>
    <row r="2337" spans="6:9" x14ac:dyDescent="0.3">
      <c r="F2337" s="14"/>
      <c r="G2337" s="15"/>
      <c r="H2337" s="15"/>
      <c r="I2337" s="16"/>
    </row>
    <row r="2338" spans="6:9" x14ac:dyDescent="0.3">
      <c r="F2338" s="14"/>
      <c r="G2338" s="15"/>
      <c r="H2338" s="15"/>
      <c r="I2338" s="16"/>
    </row>
    <row r="2339" spans="6:9" x14ac:dyDescent="0.3">
      <c r="F2339" s="14"/>
      <c r="G2339" s="15"/>
      <c r="H2339" s="15"/>
      <c r="I2339" s="16"/>
    </row>
    <row r="2340" spans="6:9" x14ac:dyDescent="0.3">
      <c r="F2340" s="14"/>
      <c r="G2340" s="15"/>
      <c r="H2340" s="15"/>
      <c r="I2340" s="16"/>
    </row>
    <row r="2341" spans="6:9" x14ac:dyDescent="0.3">
      <c r="F2341" s="14"/>
      <c r="G2341" s="15"/>
      <c r="H2341" s="15"/>
      <c r="I2341" s="16"/>
    </row>
    <row r="2342" spans="6:9" x14ac:dyDescent="0.3">
      <c r="F2342" s="14"/>
      <c r="G2342" s="15"/>
      <c r="H2342" s="15"/>
      <c r="I2342" s="16"/>
    </row>
    <row r="2343" spans="6:9" x14ac:dyDescent="0.3">
      <c r="F2343" s="14"/>
      <c r="G2343" s="15"/>
      <c r="H2343" s="15"/>
      <c r="I2343" s="16"/>
    </row>
    <row r="2344" spans="6:9" x14ac:dyDescent="0.3">
      <c r="F2344" s="14"/>
      <c r="G2344" s="15"/>
      <c r="H2344" s="15"/>
      <c r="I2344" s="16"/>
    </row>
    <row r="2345" spans="6:9" x14ac:dyDescent="0.3">
      <c r="F2345" s="14"/>
      <c r="G2345" s="15"/>
      <c r="H2345" s="15"/>
      <c r="I2345" s="16"/>
    </row>
    <row r="2346" spans="6:9" x14ac:dyDescent="0.3">
      <c r="F2346" s="14"/>
      <c r="G2346" s="15"/>
      <c r="H2346" s="15"/>
      <c r="I2346" s="16"/>
    </row>
    <row r="2347" spans="6:9" x14ac:dyDescent="0.3">
      <c r="F2347" s="14"/>
      <c r="G2347" s="15"/>
      <c r="H2347" s="15"/>
      <c r="I2347" s="16"/>
    </row>
    <row r="2348" spans="6:9" x14ac:dyDescent="0.3">
      <c r="F2348" s="14"/>
      <c r="G2348" s="15"/>
      <c r="H2348" s="15"/>
      <c r="I2348" s="16"/>
    </row>
    <row r="2349" spans="6:9" x14ac:dyDescent="0.3">
      <c r="F2349" s="14"/>
      <c r="G2349" s="15"/>
      <c r="H2349" s="15"/>
      <c r="I2349" s="16"/>
    </row>
    <row r="2350" spans="6:9" x14ac:dyDescent="0.3">
      <c r="F2350" s="14"/>
      <c r="G2350" s="15"/>
      <c r="H2350" s="15"/>
      <c r="I2350" s="16"/>
    </row>
    <row r="2351" spans="6:9" x14ac:dyDescent="0.3">
      <c r="F2351" s="14"/>
      <c r="G2351" s="15"/>
      <c r="H2351" s="15"/>
      <c r="I2351" s="16"/>
    </row>
    <row r="2352" spans="6:9" x14ac:dyDescent="0.3">
      <c r="F2352" s="14"/>
      <c r="G2352" s="15"/>
      <c r="H2352" s="15"/>
      <c r="I2352" s="16"/>
    </row>
    <row r="2353" spans="6:9" x14ac:dyDescent="0.3">
      <c r="F2353" s="14"/>
      <c r="G2353" s="15"/>
      <c r="H2353" s="15"/>
      <c r="I2353" s="16"/>
    </row>
    <row r="2354" spans="6:9" x14ac:dyDescent="0.3">
      <c r="F2354" s="14"/>
      <c r="G2354" s="15"/>
      <c r="H2354" s="15"/>
      <c r="I2354" s="16"/>
    </row>
    <row r="2355" spans="6:9" x14ac:dyDescent="0.3">
      <c r="F2355" s="14"/>
      <c r="G2355" s="15"/>
      <c r="H2355" s="15"/>
      <c r="I2355" s="16"/>
    </row>
    <row r="2356" spans="6:9" x14ac:dyDescent="0.3">
      <c r="F2356" s="14"/>
      <c r="G2356" s="15"/>
      <c r="H2356" s="15"/>
      <c r="I2356" s="16"/>
    </row>
    <row r="2357" spans="6:9" x14ac:dyDescent="0.3">
      <c r="F2357" s="14"/>
      <c r="G2357" s="15"/>
      <c r="H2357" s="15"/>
      <c r="I2357" s="16"/>
    </row>
    <row r="2358" spans="6:9" x14ac:dyDescent="0.3">
      <c r="F2358" s="14"/>
      <c r="G2358" s="15"/>
      <c r="H2358" s="15"/>
      <c r="I2358" s="16"/>
    </row>
    <row r="2359" spans="6:9" x14ac:dyDescent="0.3">
      <c r="F2359" s="14"/>
      <c r="G2359" s="15"/>
      <c r="H2359" s="15"/>
      <c r="I2359" s="16"/>
    </row>
    <row r="2360" spans="6:9" x14ac:dyDescent="0.3">
      <c r="F2360" s="14"/>
      <c r="G2360" s="15"/>
      <c r="H2360" s="15"/>
      <c r="I2360" s="16"/>
    </row>
    <row r="2361" spans="6:9" x14ac:dyDescent="0.3">
      <c r="F2361" s="14"/>
      <c r="G2361" s="15"/>
      <c r="H2361" s="15"/>
      <c r="I2361" s="16"/>
    </row>
    <row r="2362" spans="6:9" x14ac:dyDescent="0.3">
      <c r="F2362" s="14"/>
      <c r="G2362" s="15"/>
      <c r="H2362" s="15"/>
      <c r="I2362" s="16"/>
    </row>
    <row r="2363" spans="6:9" x14ac:dyDescent="0.3">
      <c r="F2363" s="14"/>
      <c r="G2363" s="15"/>
      <c r="H2363" s="15"/>
      <c r="I2363" s="16"/>
    </row>
    <row r="2364" spans="6:9" x14ac:dyDescent="0.3">
      <c r="F2364" s="14"/>
      <c r="G2364" s="15"/>
      <c r="H2364" s="15"/>
      <c r="I2364" s="16"/>
    </row>
    <row r="2365" spans="6:9" x14ac:dyDescent="0.3">
      <c r="F2365" s="14"/>
      <c r="G2365" s="15"/>
      <c r="H2365" s="15"/>
      <c r="I2365" s="16"/>
    </row>
    <row r="2366" spans="6:9" x14ac:dyDescent="0.3">
      <c r="F2366" s="14"/>
      <c r="G2366" s="15"/>
      <c r="H2366" s="15"/>
      <c r="I2366" s="16"/>
    </row>
    <row r="2367" spans="6:9" x14ac:dyDescent="0.3">
      <c r="F2367" s="14"/>
      <c r="G2367" s="15"/>
      <c r="H2367" s="15"/>
      <c r="I2367" s="16"/>
    </row>
    <row r="2368" spans="6:9" x14ac:dyDescent="0.3">
      <c r="F2368" s="14"/>
      <c r="G2368" s="15"/>
      <c r="H2368" s="15"/>
      <c r="I2368" s="16"/>
    </row>
    <row r="2369" spans="6:9" x14ac:dyDescent="0.3">
      <c r="F2369" s="14"/>
      <c r="G2369" s="15"/>
      <c r="H2369" s="15"/>
      <c r="I2369" s="16"/>
    </row>
    <row r="2370" spans="6:9" x14ac:dyDescent="0.3">
      <c r="F2370" s="14"/>
      <c r="G2370" s="15"/>
      <c r="H2370" s="15"/>
      <c r="I2370" s="16"/>
    </row>
    <row r="2371" spans="6:9" x14ac:dyDescent="0.3">
      <c r="F2371" s="14"/>
      <c r="G2371" s="15"/>
      <c r="H2371" s="15"/>
      <c r="I2371" s="16"/>
    </row>
    <row r="2372" spans="6:9" x14ac:dyDescent="0.3">
      <c r="F2372" s="14"/>
      <c r="G2372" s="15"/>
      <c r="H2372" s="15"/>
      <c r="I2372" s="16"/>
    </row>
    <row r="2373" spans="6:9" x14ac:dyDescent="0.3">
      <c r="F2373" s="14"/>
      <c r="G2373" s="15"/>
      <c r="H2373" s="15"/>
      <c r="I2373" s="16"/>
    </row>
    <row r="2374" spans="6:9" x14ac:dyDescent="0.3">
      <c r="F2374" s="14"/>
      <c r="G2374" s="15"/>
      <c r="H2374" s="15"/>
      <c r="I2374" s="16"/>
    </row>
    <row r="2375" spans="6:9" x14ac:dyDescent="0.3">
      <c r="F2375" s="14"/>
      <c r="G2375" s="15"/>
      <c r="H2375" s="15"/>
      <c r="I2375" s="16"/>
    </row>
    <row r="2376" spans="6:9" x14ac:dyDescent="0.3">
      <c r="F2376" s="14"/>
      <c r="G2376" s="15"/>
      <c r="H2376" s="15"/>
      <c r="I2376" s="16"/>
    </row>
    <row r="2377" spans="6:9" x14ac:dyDescent="0.3">
      <c r="F2377" s="14"/>
      <c r="G2377" s="15"/>
      <c r="H2377" s="15"/>
      <c r="I2377" s="16"/>
    </row>
    <row r="2378" spans="6:9" x14ac:dyDescent="0.3">
      <c r="F2378" s="14"/>
      <c r="G2378" s="15"/>
      <c r="H2378" s="15"/>
      <c r="I2378" s="16"/>
    </row>
    <row r="2379" spans="6:9" x14ac:dyDescent="0.3">
      <c r="F2379" s="14"/>
      <c r="G2379" s="15"/>
      <c r="H2379" s="15"/>
      <c r="I2379" s="16"/>
    </row>
    <row r="2380" spans="6:9" x14ac:dyDescent="0.3">
      <c r="F2380" s="14"/>
      <c r="G2380" s="15"/>
      <c r="H2380" s="15"/>
      <c r="I2380" s="16"/>
    </row>
    <row r="2381" spans="6:9" x14ac:dyDescent="0.3">
      <c r="F2381" s="14"/>
      <c r="G2381" s="15"/>
      <c r="H2381" s="15"/>
      <c r="I2381" s="16"/>
    </row>
    <row r="2382" spans="6:9" x14ac:dyDescent="0.3">
      <c r="F2382" s="14"/>
      <c r="G2382" s="15"/>
      <c r="H2382" s="15"/>
      <c r="I2382" s="16"/>
    </row>
    <row r="2383" spans="6:9" x14ac:dyDescent="0.3">
      <c r="F2383" s="14"/>
      <c r="G2383" s="15"/>
      <c r="H2383" s="15"/>
      <c r="I2383" s="16"/>
    </row>
    <row r="2384" spans="6:9" x14ac:dyDescent="0.3">
      <c r="F2384" s="14"/>
      <c r="G2384" s="15"/>
      <c r="H2384" s="15"/>
      <c r="I2384" s="16"/>
    </row>
    <row r="2385" spans="6:9" x14ac:dyDescent="0.3">
      <c r="F2385" s="14"/>
      <c r="G2385" s="15"/>
      <c r="H2385" s="15"/>
      <c r="I2385" s="16"/>
    </row>
    <row r="2386" spans="6:9" x14ac:dyDescent="0.3">
      <c r="F2386" s="14"/>
      <c r="G2386" s="15"/>
      <c r="H2386" s="15"/>
      <c r="I2386" s="16"/>
    </row>
    <row r="2387" spans="6:9" x14ac:dyDescent="0.3">
      <c r="F2387" s="14"/>
      <c r="G2387" s="15"/>
      <c r="H2387" s="15"/>
      <c r="I2387" s="16"/>
    </row>
    <row r="2388" spans="6:9" x14ac:dyDescent="0.3">
      <c r="F2388" s="14"/>
      <c r="G2388" s="15"/>
      <c r="H2388" s="15"/>
      <c r="I2388" s="16"/>
    </row>
    <row r="2389" spans="6:9" x14ac:dyDescent="0.3">
      <c r="F2389" s="14"/>
      <c r="G2389" s="15"/>
      <c r="H2389" s="15"/>
      <c r="I2389" s="16"/>
    </row>
    <row r="2390" spans="6:9" x14ac:dyDescent="0.3">
      <c r="F2390" s="14"/>
      <c r="G2390" s="15"/>
      <c r="H2390" s="15"/>
      <c r="I2390" s="16"/>
    </row>
    <row r="2391" spans="6:9" x14ac:dyDescent="0.3">
      <c r="F2391" s="14"/>
      <c r="G2391" s="15"/>
      <c r="H2391" s="15"/>
      <c r="I2391" s="16"/>
    </row>
    <row r="2392" spans="6:9" x14ac:dyDescent="0.3">
      <c r="F2392" s="14"/>
      <c r="G2392" s="15"/>
      <c r="H2392" s="15"/>
      <c r="I2392" s="16"/>
    </row>
    <row r="2393" spans="6:9" x14ac:dyDescent="0.3">
      <c r="F2393" s="14"/>
      <c r="G2393" s="15"/>
      <c r="H2393" s="15"/>
      <c r="I2393" s="16"/>
    </row>
    <row r="2394" spans="6:9" x14ac:dyDescent="0.3">
      <c r="F2394" s="14"/>
      <c r="G2394" s="15"/>
      <c r="H2394" s="15"/>
      <c r="I2394" s="16"/>
    </row>
    <row r="2395" spans="6:9" x14ac:dyDescent="0.3">
      <c r="F2395" s="14"/>
      <c r="G2395" s="15"/>
      <c r="H2395" s="15"/>
      <c r="I2395" s="16"/>
    </row>
    <row r="2396" spans="6:9" x14ac:dyDescent="0.3">
      <c r="F2396" s="14"/>
      <c r="G2396" s="15"/>
      <c r="H2396" s="15"/>
      <c r="I2396" s="16"/>
    </row>
    <row r="2397" spans="6:9" x14ac:dyDescent="0.3">
      <c r="F2397" s="14"/>
      <c r="G2397" s="15"/>
      <c r="H2397" s="15"/>
      <c r="I2397" s="16"/>
    </row>
    <row r="2398" spans="6:9" x14ac:dyDescent="0.3">
      <c r="F2398" s="14"/>
      <c r="G2398" s="15"/>
      <c r="H2398" s="15"/>
      <c r="I2398" s="16"/>
    </row>
    <row r="2399" spans="6:9" x14ac:dyDescent="0.3">
      <c r="F2399" s="14"/>
      <c r="G2399" s="15"/>
      <c r="H2399" s="15"/>
      <c r="I2399" s="16"/>
    </row>
    <row r="2400" spans="6:9" x14ac:dyDescent="0.3">
      <c r="F2400" s="14"/>
      <c r="G2400" s="15"/>
      <c r="H2400" s="15"/>
      <c r="I2400" s="16"/>
    </row>
    <row r="2401" spans="6:9" x14ac:dyDescent="0.3">
      <c r="F2401" s="14"/>
      <c r="G2401" s="15"/>
      <c r="H2401" s="15"/>
      <c r="I2401" s="16"/>
    </row>
    <row r="2402" spans="6:9" x14ac:dyDescent="0.3">
      <c r="F2402" s="14"/>
      <c r="G2402" s="15"/>
      <c r="H2402" s="15"/>
      <c r="I2402" s="16"/>
    </row>
    <row r="2403" spans="6:9" x14ac:dyDescent="0.3">
      <c r="F2403" s="14"/>
      <c r="G2403" s="15"/>
      <c r="H2403" s="15"/>
      <c r="I2403" s="16"/>
    </row>
    <row r="2404" spans="6:9" x14ac:dyDescent="0.3">
      <c r="F2404" s="14"/>
      <c r="G2404" s="15"/>
      <c r="H2404" s="15"/>
      <c r="I2404" s="16"/>
    </row>
    <row r="2405" spans="6:9" x14ac:dyDescent="0.3">
      <c r="F2405" s="14"/>
      <c r="G2405" s="15"/>
      <c r="H2405" s="15"/>
      <c r="I2405" s="16"/>
    </row>
    <row r="2406" spans="6:9" x14ac:dyDescent="0.3">
      <c r="F2406" s="14"/>
      <c r="G2406" s="15"/>
      <c r="H2406" s="15"/>
      <c r="I2406" s="16"/>
    </row>
    <row r="2407" spans="6:9" x14ac:dyDescent="0.3">
      <c r="F2407" s="14"/>
      <c r="G2407" s="15"/>
      <c r="H2407" s="15"/>
      <c r="I2407" s="16"/>
    </row>
    <row r="2408" spans="6:9" x14ac:dyDescent="0.3">
      <c r="F2408" s="14"/>
      <c r="G2408" s="15"/>
      <c r="H2408" s="15"/>
      <c r="I2408" s="16"/>
    </row>
    <row r="2409" spans="6:9" x14ac:dyDescent="0.3">
      <c r="F2409" s="14"/>
      <c r="G2409" s="15"/>
      <c r="H2409" s="15"/>
      <c r="I2409" s="16"/>
    </row>
    <row r="2410" spans="6:9" x14ac:dyDescent="0.3">
      <c r="F2410" s="14"/>
      <c r="G2410" s="15"/>
      <c r="H2410" s="15"/>
      <c r="I2410" s="16"/>
    </row>
    <row r="2411" spans="6:9" x14ac:dyDescent="0.3">
      <c r="F2411" s="14"/>
      <c r="G2411" s="15"/>
      <c r="H2411" s="15"/>
      <c r="I2411" s="16"/>
    </row>
    <row r="2412" spans="6:9" x14ac:dyDescent="0.3">
      <c r="F2412" s="14"/>
      <c r="G2412" s="15"/>
      <c r="H2412" s="15"/>
      <c r="I2412" s="16"/>
    </row>
    <row r="2413" spans="6:9" x14ac:dyDescent="0.3">
      <c r="F2413" s="14"/>
      <c r="G2413" s="15"/>
      <c r="H2413" s="15"/>
      <c r="I2413" s="16"/>
    </row>
    <row r="2414" spans="6:9" x14ac:dyDescent="0.3">
      <c r="F2414" s="14"/>
      <c r="G2414" s="15"/>
      <c r="H2414" s="15"/>
      <c r="I2414" s="16"/>
    </row>
    <row r="2415" spans="6:9" x14ac:dyDescent="0.3">
      <c r="F2415" s="14"/>
      <c r="G2415" s="15"/>
      <c r="H2415" s="15"/>
      <c r="I2415" s="16"/>
    </row>
    <row r="2416" spans="6:9" x14ac:dyDescent="0.3">
      <c r="F2416" s="14"/>
      <c r="G2416" s="15"/>
      <c r="H2416" s="15"/>
      <c r="I2416" s="16"/>
    </row>
    <row r="2417" spans="6:9" x14ac:dyDescent="0.3">
      <c r="F2417" s="14"/>
      <c r="G2417" s="15"/>
      <c r="H2417" s="15"/>
      <c r="I2417" s="16"/>
    </row>
    <row r="2418" spans="6:9" x14ac:dyDescent="0.3">
      <c r="F2418" s="14"/>
      <c r="G2418" s="15"/>
      <c r="H2418" s="15"/>
      <c r="I2418" s="16"/>
    </row>
    <row r="2419" spans="6:9" x14ac:dyDescent="0.3">
      <c r="F2419" s="14"/>
      <c r="G2419" s="15"/>
      <c r="H2419" s="15"/>
      <c r="I2419" s="16"/>
    </row>
    <row r="2420" spans="6:9" x14ac:dyDescent="0.3">
      <c r="F2420" s="14"/>
      <c r="G2420" s="15"/>
      <c r="H2420" s="15"/>
      <c r="I2420" s="16"/>
    </row>
    <row r="2421" spans="6:9" x14ac:dyDescent="0.3">
      <c r="F2421" s="14"/>
      <c r="G2421" s="15"/>
      <c r="H2421" s="15"/>
      <c r="I2421" s="16"/>
    </row>
    <row r="2422" spans="6:9" x14ac:dyDescent="0.3">
      <c r="F2422" s="14"/>
      <c r="G2422" s="15"/>
      <c r="H2422" s="15"/>
      <c r="I2422" s="16"/>
    </row>
    <row r="2423" spans="6:9" x14ac:dyDescent="0.3">
      <c r="F2423" s="14"/>
      <c r="G2423" s="15"/>
      <c r="H2423" s="15"/>
      <c r="I2423" s="16"/>
    </row>
    <row r="2424" spans="6:9" x14ac:dyDescent="0.3">
      <c r="F2424" s="14"/>
      <c r="G2424" s="15"/>
      <c r="H2424" s="15"/>
      <c r="I2424" s="16"/>
    </row>
    <row r="2425" spans="6:9" x14ac:dyDescent="0.3">
      <c r="F2425" s="14"/>
      <c r="G2425" s="15"/>
      <c r="H2425" s="15"/>
      <c r="I2425" s="16"/>
    </row>
    <row r="2426" spans="6:9" x14ac:dyDescent="0.3">
      <c r="F2426" s="14"/>
      <c r="G2426" s="15"/>
      <c r="H2426" s="15"/>
      <c r="I2426" s="16"/>
    </row>
    <row r="2427" spans="6:9" x14ac:dyDescent="0.3">
      <c r="F2427" s="14"/>
      <c r="G2427" s="15"/>
      <c r="H2427" s="15"/>
      <c r="I2427" s="16"/>
    </row>
    <row r="2428" spans="6:9" x14ac:dyDescent="0.3">
      <c r="F2428" s="14"/>
      <c r="G2428" s="15"/>
      <c r="H2428" s="15"/>
      <c r="I2428" s="16"/>
    </row>
    <row r="2429" spans="6:9" x14ac:dyDescent="0.3">
      <c r="F2429" s="14"/>
      <c r="G2429" s="15"/>
      <c r="H2429" s="15"/>
      <c r="I2429" s="16"/>
    </row>
    <row r="2430" spans="6:9" x14ac:dyDescent="0.3">
      <c r="F2430" s="14"/>
      <c r="G2430" s="15"/>
      <c r="H2430" s="15"/>
      <c r="I2430" s="16"/>
    </row>
    <row r="2431" spans="6:9" x14ac:dyDescent="0.3">
      <c r="F2431" s="14"/>
      <c r="G2431" s="15"/>
      <c r="H2431" s="15"/>
      <c r="I2431" s="16"/>
    </row>
    <row r="2432" spans="6:9" x14ac:dyDescent="0.3">
      <c r="F2432" s="14"/>
      <c r="G2432" s="15"/>
      <c r="H2432" s="15"/>
      <c r="I2432" s="16"/>
    </row>
    <row r="2433" spans="6:9" x14ac:dyDescent="0.3">
      <c r="F2433" s="14"/>
      <c r="G2433" s="15"/>
      <c r="H2433" s="15"/>
      <c r="I2433" s="16"/>
    </row>
    <row r="2434" spans="6:9" x14ac:dyDescent="0.3">
      <c r="F2434" s="14"/>
      <c r="G2434" s="15"/>
      <c r="H2434" s="15"/>
      <c r="I2434" s="16"/>
    </row>
    <row r="2435" spans="6:9" x14ac:dyDescent="0.3">
      <c r="F2435" s="14"/>
      <c r="G2435" s="15"/>
      <c r="H2435" s="15"/>
      <c r="I2435" s="16"/>
    </row>
    <row r="2436" spans="6:9" x14ac:dyDescent="0.3">
      <c r="F2436" s="14"/>
      <c r="G2436" s="15"/>
      <c r="H2436" s="15"/>
      <c r="I2436" s="16"/>
    </row>
    <row r="2437" spans="6:9" x14ac:dyDescent="0.3">
      <c r="F2437" s="14"/>
      <c r="G2437" s="15"/>
      <c r="H2437" s="15"/>
      <c r="I2437" s="16"/>
    </row>
    <row r="2438" spans="6:9" x14ac:dyDescent="0.3">
      <c r="F2438" s="14"/>
      <c r="G2438" s="15"/>
      <c r="H2438" s="15"/>
      <c r="I2438" s="16"/>
    </row>
    <row r="2439" spans="6:9" x14ac:dyDescent="0.3">
      <c r="F2439" s="14"/>
      <c r="G2439" s="15"/>
      <c r="H2439" s="15"/>
      <c r="I2439" s="16"/>
    </row>
    <row r="2440" spans="6:9" x14ac:dyDescent="0.3">
      <c r="F2440" s="14"/>
      <c r="G2440" s="15"/>
      <c r="H2440" s="15"/>
      <c r="I2440" s="16"/>
    </row>
    <row r="2441" spans="6:9" x14ac:dyDescent="0.3">
      <c r="F2441" s="14"/>
      <c r="G2441" s="15"/>
      <c r="H2441" s="15"/>
      <c r="I2441" s="16"/>
    </row>
    <row r="2442" spans="6:9" x14ac:dyDescent="0.3">
      <c r="F2442" s="14"/>
      <c r="G2442" s="15"/>
      <c r="H2442" s="15"/>
      <c r="I2442" s="16"/>
    </row>
    <row r="2443" spans="6:9" x14ac:dyDescent="0.3">
      <c r="F2443" s="14"/>
      <c r="G2443" s="15"/>
      <c r="H2443" s="15"/>
      <c r="I2443" s="16"/>
    </row>
    <row r="2444" spans="6:9" x14ac:dyDescent="0.3">
      <c r="F2444" s="14"/>
      <c r="G2444" s="15"/>
      <c r="H2444" s="15"/>
      <c r="I2444" s="16"/>
    </row>
    <row r="2445" spans="6:9" x14ac:dyDescent="0.3">
      <c r="F2445" s="14"/>
      <c r="G2445" s="15"/>
      <c r="H2445" s="15"/>
      <c r="I2445" s="16"/>
    </row>
    <row r="2446" spans="6:9" x14ac:dyDescent="0.3">
      <c r="F2446" s="14"/>
      <c r="G2446" s="15"/>
      <c r="H2446" s="15"/>
      <c r="I2446" s="16"/>
    </row>
    <row r="2447" spans="6:9" x14ac:dyDescent="0.3">
      <c r="F2447" s="14"/>
      <c r="G2447" s="15"/>
      <c r="H2447" s="15"/>
      <c r="I2447" s="16"/>
    </row>
    <row r="2448" spans="6:9" x14ac:dyDescent="0.3">
      <c r="F2448" s="14"/>
      <c r="G2448" s="15"/>
      <c r="H2448" s="15"/>
      <c r="I2448" s="16"/>
    </row>
    <row r="2449" spans="6:9" x14ac:dyDescent="0.3">
      <c r="F2449" s="14"/>
      <c r="G2449" s="15"/>
      <c r="H2449" s="15"/>
      <c r="I2449" s="16"/>
    </row>
    <row r="2450" spans="6:9" x14ac:dyDescent="0.3">
      <c r="F2450" s="14"/>
      <c r="G2450" s="15"/>
      <c r="H2450" s="15"/>
      <c r="I2450" s="16"/>
    </row>
    <row r="2451" spans="6:9" x14ac:dyDescent="0.3">
      <c r="F2451" s="14"/>
      <c r="G2451" s="15"/>
      <c r="H2451" s="15"/>
      <c r="I2451" s="16"/>
    </row>
    <row r="2452" spans="6:9" x14ac:dyDescent="0.3">
      <c r="F2452" s="14"/>
      <c r="G2452" s="15"/>
      <c r="H2452" s="15"/>
      <c r="I2452" s="16"/>
    </row>
    <row r="2453" spans="6:9" x14ac:dyDescent="0.3">
      <c r="F2453" s="14"/>
      <c r="G2453" s="15"/>
      <c r="H2453" s="15"/>
      <c r="I2453" s="16"/>
    </row>
    <row r="2454" spans="6:9" x14ac:dyDescent="0.3">
      <c r="F2454" s="14"/>
      <c r="G2454" s="15"/>
      <c r="H2454" s="15"/>
      <c r="I2454" s="16"/>
    </row>
    <row r="2455" spans="6:9" x14ac:dyDescent="0.3">
      <c r="F2455" s="14"/>
      <c r="G2455" s="15"/>
      <c r="H2455" s="15"/>
      <c r="I2455" s="16"/>
    </row>
    <row r="2456" spans="6:9" x14ac:dyDescent="0.3">
      <c r="F2456" s="14"/>
      <c r="G2456" s="15"/>
      <c r="H2456" s="15"/>
      <c r="I2456" s="16"/>
    </row>
    <row r="2457" spans="6:9" x14ac:dyDescent="0.3">
      <c r="F2457" s="14"/>
      <c r="G2457" s="15"/>
      <c r="H2457" s="15"/>
      <c r="I2457" s="16"/>
    </row>
    <row r="2458" spans="6:9" x14ac:dyDescent="0.3">
      <c r="F2458" s="14"/>
      <c r="G2458" s="15"/>
      <c r="H2458" s="15"/>
      <c r="I2458" s="16"/>
    </row>
    <row r="2459" spans="6:9" x14ac:dyDescent="0.3">
      <c r="F2459" s="14"/>
      <c r="G2459" s="15"/>
      <c r="H2459" s="15"/>
      <c r="I2459" s="16"/>
    </row>
    <row r="2460" spans="6:9" x14ac:dyDescent="0.3">
      <c r="F2460" s="14"/>
      <c r="G2460" s="15"/>
      <c r="H2460" s="15"/>
      <c r="I2460" s="16"/>
    </row>
    <row r="2461" spans="6:9" x14ac:dyDescent="0.3">
      <c r="F2461" s="14"/>
      <c r="G2461" s="15"/>
      <c r="H2461" s="15"/>
      <c r="I2461" s="16"/>
    </row>
    <row r="2462" spans="6:9" x14ac:dyDescent="0.3">
      <c r="F2462" s="14"/>
      <c r="G2462" s="15"/>
      <c r="H2462" s="15"/>
      <c r="I2462" s="16"/>
    </row>
    <row r="2463" spans="6:9" x14ac:dyDescent="0.3">
      <c r="F2463" s="14"/>
      <c r="G2463" s="15"/>
      <c r="H2463" s="15"/>
      <c r="I2463" s="16"/>
    </row>
    <row r="2464" spans="6:9" x14ac:dyDescent="0.3">
      <c r="F2464" s="14"/>
      <c r="G2464" s="15"/>
      <c r="H2464" s="15"/>
      <c r="I2464" s="16"/>
    </row>
    <row r="2465" spans="6:9" x14ac:dyDescent="0.3">
      <c r="F2465" s="14"/>
      <c r="G2465" s="15"/>
      <c r="H2465" s="15"/>
      <c r="I2465" s="16"/>
    </row>
    <row r="2466" spans="6:9" x14ac:dyDescent="0.3">
      <c r="F2466" s="14"/>
      <c r="G2466" s="15"/>
      <c r="H2466" s="15"/>
      <c r="I2466" s="16"/>
    </row>
    <row r="2467" spans="6:9" x14ac:dyDescent="0.3">
      <c r="F2467" s="14"/>
      <c r="G2467" s="15"/>
      <c r="H2467" s="15"/>
      <c r="I2467" s="16"/>
    </row>
    <row r="2468" spans="6:9" x14ac:dyDescent="0.3">
      <c r="F2468" s="14"/>
      <c r="G2468" s="15"/>
      <c r="H2468" s="15"/>
      <c r="I2468" s="16"/>
    </row>
    <row r="2469" spans="6:9" x14ac:dyDescent="0.3">
      <c r="F2469" s="14"/>
      <c r="G2469" s="15"/>
      <c r="H2469" s="15"/>
      <c r="I2469" s="16"/>
    </row>
    <row r="2470" spans="6:9" x14ac:dyDescent="0.3">
      <c r="F2470" s="14"/>
      <c r="G2470" s="15"/>
      <c r="H2470" s="15"/>
      <c r="I2470" s="16"/>
    </row>
    <row r="2471" spans="6:9" x14ac:dyDescent="0.3">
      <c r="F2471" s="14"/>
      <c r="G2471" s="15"/>
      <c r="H2471" s="15"/>
      <c r="I2471" s="16"/>
    </row>
    <row r="2472" spans="6:9" x14ac:dyDescent="0.3">
      <c r="F2472" s="14"/>
      <c r="G2472" s="15"/>
      <c r="H2472" s="15"/>
      <c r="I2472" s="16"/>
    </row>
    <row r="2473" spans="6:9" x14ac:dyDescent="0.3">
      <c r="F2473" s="14"/>
      <c r="G2473" s="15"/>
      <c r="H2473" s="15"/>
      <c r="I2473" s="16"/>
    </row>
    <row r="2474" spans="6:9" x14ac:dyDescent="0.3">
      <c r="F2474" s="14"/>
      <c r="G2474" s="15"/>
      <c r="H2474" s="15"/>
      <c r="I2474" s="16"/>
    </row>
    <row r="2475" spans="6:9" x14ac:dyDescent="0.3">
      <c r="F2475" s="14"/>
      <c r="G2475" s="15"/>
      <c r="H2475" s="15"/>
      <c r="I2475" s="16"/>
    </row>
    <row r="2476" spans="6:9" x14ac:dyDescent="0.3">
      <c r="F2476" s="14"/>
      <c r="G2476" s="15"/>
      <c r="H2476" s="15"/>
      <c r="I2476" s="16"/>
    </row>
    <row r="2477" spans="6:9" x14ac:dyDescent="0.3">
      <c r="F2477" s="14"/>
      <c r="G2477" s="15"/>
      <c r="H2477" s="15"/>
      <c r="I2477" s="16"/>
    </row>
    <row r="2478" spans="6:9" x14ac:dyDescent="0.3">
      <c r="F2478" s="14"/>
      <c r="G2478" s="15"/>
      <c r="H2478" s="15"/>
      <c r="I2478" s="16"/>
    </row>
    <row r="2479" spans="6:9" x14ac:dyDescent="0.3">
      <c r="F2479" s="14"/>
      <c r="G2479" s="15"/>
      <c r="H2479" s="15"/>
      <c r="I2479" s="16"/>
    </row>
    <row r="2480" spans="6:9" x14ac:dyDescent="0.3">
      <c r="F2480" s="14"/>
      <c r="G2480" s="15"/>
      <c r="H2480" s="15"/>
      <c r="I2480" s="16"/>
    </row>
    <row r="2481" spans="6:9" x14ac:dyDescent="0.3">
      <c r="F2481" s="14"/>
      <c r="G2481" s="15"/>
      <c r="H2481" s="15"/>
      <c r="I2481" s="16"/>
    </row>
    <row r="2482" spans="6:9" x14ac:dyDescent="0.3">
      <c r="F2482" s="14"/>
      <c r="G2482" s="15"/>
      <c r="H2482" s="15"/>
      <c r="I2482" s="16"/>
    </row>
    <row r="2483" spans="6:9" x14ac:dyDescent="0.3">
      <c r="F2483" s="14"/>
      <c r="G2483" s="15"/>
      <c r="H2483" s="15"/>
      <c r="I2483" s="16"/>
    </row>
    <row r="2484" spans="6:9" x14ac:dyDescent="0.3">
      <c r="F2484" s="14"/>
      <c r="G2484" s="15"/>
      <c r="H2484" s="15"/>
      <c r="I2484" s="16"/>
    </row>
    <row r="2485" spans="6:9" x14ac:dyDescent="0.3">
      <c r="F2485" s="14"/>
      <c r="G2485" s="15"/>
      <c r="H2485" s="15"/>
      <c r="I2485" s="16"/>
    </row>
    <row r="2486" spans="6:9" x14ac:dyDescent="0.3">
      <c r="F2486" s="14"/>
      <c r="G2486" s="15"/>
      <c r="H2486" s="15"/>
      <c r="I2486" s="16"/>
    </row>
    <row r="2487" spans="6:9" x14ac:dyDescent="0.3">
      <c r="F2487" s="14"/>
      <c r="G2487" s="15"/>
      <c r="H2487" s="15"/>
      <c r="I2487" s="16"/>
    </row>
    <row r="2488" spans="6:9" x14ac:dyDescent="0.3">
      <c r="F2488" s="14"/>
      <c r="G2488" s="15"/>
      <c r="H2488" s="15"/>
      <c r="I2488" s="16"/>
    </row>
    <row r="2489" spans="6:9" x14ac:dyDescent="0.3">
      <c r="F2489" s="14"/>
      <c r="G2489" s="15"/>
      <c r="H2489" s="15"/>
      <c r="I2489" s="16"/>
    </row>
    <row r="2490" spans="6:9" x14ac:dyDescent="0.3">
      <c r="F2490" s="14"/>
      <c r="G2490" s="15"/>
      <c r="H2490" s="15"/>
      <c r="I2490" s="16"/>
    </row>
    <row r="2491" spans="6:9" x14ac:dyDescent="0.3">
      <c r="F2491" s="14"/>
      <c r="G2491" s="15"/>
      <c r="H2491" s="15"/>
      <c r="I2491" s="16"/>
    </row>
    <row r="2492" spans="6:9" x14ac:dyDescent="0.3">
      <c r="F2492" s="14"/>
      <c r="G2492" s="15"/>
      <c r="H2492" s="15"/>
      <c r="I2492" s="16"/>
    </row>
    <row r="2493" spans="6:9" x14ac:dyDescent="0.3">
      <c r="F2493" s="14"/>
      <c r="G2493" s="15"/>
      <c r="H2493" s="15"/>
      <c r="I2493" s="16"/>
    </row>
    <row r="2494" spans="6:9" x14ac:dyDescent="0.3">
      <c r="F2494" s="14"/>
      <c r="G2494" s="15"/>
      <c r="H2494" s="15"/>
      <c r="I2494" s="16"/>
    </row>
    <row r="2495" spans="6:9" x14ac:dyDescent="0.3">
      <c r="F2495" s="14"/>
      <c r="G2495" s="15"/>
      <c r="H2495" s="15"/>
      <c r="I2495" s="16"/>
    </row>
    <row r="2496" spans="6:9" x14ac:dyDescent="0.3">
      <c r="F2496" s="14"/>
      <c r="G2496" s="15"/>
      <c r="H2496" s="15"/>
      <c r="I2496" s="16"/>
    </row>
    <row r="2497" spans="6:9" x14ac:dyDescent="0.3">
      <c r="F2497" s="14"/>
      <c r="G2497" s="15"/>
      <c r="H2497" s="15"/>
      <c r="I2497" s="16"/>
    </row>
    <row r="2498" spans="6:9" x14ac:dyDescent="0.3">
      <c r="F2498" s="14"/>
      <c r="G2498" s="15"/>
      <c r="H2498" s="15"/>
      <c r="I2498" s="16"/>
    </row>
    <row r="2499" spans="6:9" x14ac:dyDescent="0.3">
      <c r="F2499" s="14"/>
      <c r="G2499" s="15"/>
      <c r="H2499" s="15"/>
      <c r="I2499" s="16"/>
    </row>
    <row r="2500" spans="6:9" x14ac:dyDescent="0.3">
      <c r="F2500" s="14"/>
      <c r="G2500" s="15"/>
      <c r="H2500" s="15"/>
      <c r="I2500" s="16"/>
    </row>
    <row r="2501" spans="6:9" x14ac:dyDescent="0.3">
      <c r="F2501" s="14"/>
      <c r="G2501" s="15"/>
      <c r="H2501" s="15"/>
      <c r="I2501" s="16"/>
    </row>
    <row r="2502" spans="6:9" x14ac:dyDescent="0.3">
      <c r="F2502" s="14"/>
      <c r="G2502" s="15"/>
      <c r="H2502" s="15"/>
      <c r="I2502" s="16"/>
    </row>
    <row r="2503" spans="6:9" x14ac:dyDescent="0.3">
      <c r="F2503" s="14"/>
      <c r="G2503" s="15"/>
      <c r="H2503" s="15"/>
      <c r="I2503" s="16"/>
    </row>
    <row r="2504" spans="6:9" x14ac:dyDescent="0.3">
      <c r="F2504" s="14"/>
      <c r="G2504" s="15"/>
      <c r="H2504" s="15"/>
      <c r="I2504" s="16"/>
    </row>
    <row r="2505" spans="6:9" x14ac:dyDescent="0.3">
      <c r="F2505" s="14"/>
      <c r="G2505" s="15"/>
      <c r="H2505" s="15"/>
      <c r="I2505" s="16"/>
    </row>
    <row r="2506" spans="6:9" x14ac:dyDescent="0.3">
      <c r="F2506" s="14"/>
      <c r="G2506" s="15"/>
      <c r="H2506" s="15"/>
      <c r="I2506" s="16"/>
    </row>
    <row r="2507" spans="6:9" x14ac:dyDescent="0.3">
      <c r="F2507" s="14"/>
      <c r="G2507" s="15"/>
      <c r="H2507" s="15"/>
      <c r="I2507" s="16"/>
    </row>
    <row r="2508" spans="6:9" x14ac:dyDescent="0.3">
      <c r="F2508" s="14"/>
      <c r="G2508" s="15"/>
      <c r="H2508" s="15"/>
      <c r="I2508" s="16"/>
    </row>
    <row r="2509" spans="6:9" x14ac:dyDescent="0.3">
      <c r="F2509" s="14"/>
      <c r="G2509" s="15"/>
      <c r="H2509" s="15"/>
      <c r="I2509" s="16"/>
    </row>
    <row r="2510" spans="6:9" x14ac:dyDescent="0.3">
      <c r="F2510" s="14"/>
      <c r="G2510" s="15"/>
      <c r="H2510" s="15"/>
      <c r="I2510" s="16"/>
    </row>
    <row r="2511" spans="6:9" x14ac:dyDescent="0.3">
      <c r="F2511" s="14"/>
      <c r="G2511" s="15"/>
      <c r="H2511" s="15"/>
      <c r="I2511" s="16"/>
    </row>
    <row r="2512" spans="6:9" x14ac:dyDescent="0.3">
      <c r="F2512" s="14"/>
      <c r="G2512" s="15"/>
      <c r="H2512" s="15"/>
      <c r="I2512" s="16"/>
    </row>
    <row r="2513" spans="6:9" x14ac:dyDescent="0.3">
      <c r="F2513" s="14"/>
      <c r="G2513" s="15"/>
      <c r="H2513" s="15"/>
      <c r="I2513" s="16"/>
    </row>
    <row r="2514" spans="6:9" x14ac:dyDescent="0.3">
      <c r="F2514" s="14"/>
      <c r="G2514" s="15"/>
      <c r="H2514" s="15"/>
      <c r="I2514" s="16"/>
    </row>
    <row r="2515" spans="6:9" x14ac:dyDescent="0.3">
      <c r="F2515" s="14"/>
      <c r="G2515" s="15"/>
      <c r="H2515" s="15"/>
      <c r="I2515" s="16"/>
    </row>
    <row r="2516" spans="6:9" x14ac:dyDescent="0.3">
      <c r="F2516" s="14"/>
      <c r="G2516" s="15"/>
      <c r="H2516" s="15"/>
      <c r="I2516" s="16"/>
    </row>
    <row r="2517" spans="6:9" x14ac:dyDescent="0.3">
      <c r="F2517" s="14"/>
      <c r="G2517" s="15"/>
      <c r="H2517" s="15"/>
      <c r="I2517" s="16"/>
    </row>
    <row r="2518" spans="6:9" x14ac:dyDescent="0.3">
      <c r="F2518" s="14"/>
      <c r="G2518" s="15"/>
      <c r="H2518" s="15"/>
      <c r="I2518" s="16"/>
    </row>
    <row r="2519" spans="6:9" x14ac:dyDescent="0.3">
      <c r="F2519" s="14"/>
      <c r="G2519" s="15"/>
      <c r="H2519" s="15"/>
      <c r="I2519" s="16"/>
    </row>
    <row r="2520" spans="6:9" x14ac:dyDescent="0.3">
      <c r="F2520" s="14"/>
      <c r="G2520" s="15"/>
      <c r="H2520" s="15"/>
      <c r="I2520" s="16"/>
    </row>
    <row r="2521" spans="6:9" x14ac:dyDescent="0.3">
      <c r="F2521" s="14"/>
      <c r="G2521" s="15"/>
      <c r="H2521" s="15"/>
      <c r="I2521" s="16"/>
    </row>
    <row r="2522" spans="6:9" x14ac:dyDescent="0.3">
      <c r="F2522" s="14"/>
      <c r="G2522" s="15"/>
      <c r="H2522" s="15"/>
      <c r="I2522" s="16"/>
    </row>
    <row r="2523" spans="6:9" x14ac:dyDescent="0.3">
      <c r="F2523" s="14"/>
      <c r="G2523" s="15"/>
      <c r="H2523" s="15"/>
      <c r="I2523" s="16"/>
    </row>
    <row r="2524" spans="6:9" x14ac:dyDescent="0.3">
      <c r="F2524" s="14"/>
      <c r="G2524" s="15"/>
      <c r="H2524" s="15"/>
      <c r="I2524" s="16"/>
    </row>
    <row r="2525" spans="6:9" x14ac:dyDescent="0.3">
      <c r="F2525" s="14"/>
      <c r="G2525" s="15"/>
      <c r="H2525" s="15"/>
      <c r="I2525" s="16"/>
    </row>
    <row r="2526" spans="6:9" x14ac:dyDescent="0.3">
      <c r="F2526" s="14"/>
      <c r="G2526" s="15"/>
      <c r="H2526" s="15"/>
      <c r="I2526" s="16"/>
    </row>
    <row r="2527" spans="6:9" x14ac:dyDescent="0.3">
      <c r="F2527" s="14"/>
      <c r="G2527" s="15"/>
      <c r="H2527" s="15"/>
      <c r="I2527" s="16"/>
    </row>
    <row r="2528" spans="6:9" x14ac:dyDescent="0.3">
      <c r="F2528" s="14"/>
      <c r="G2528" s="15"/>
      <c r="H2528" s="15"/>
      <c r="I2528" s="16"/>
    </row>
    <row r="2529" spans="6:9" x14ac:dyDescent="0.3">
      <c r="F2529" s="14"/>
      <c r="G2529" s="15"/>
      <c r="H2529" s="15"/>
      <c r="I2529" s="16"/>
    </row>
    <row r="2530" spans="6:9" x14ac:dyDescent="0.3">
      <c r="F2530" s="14"/>
      <c r="G2530" s="15"/>
      <c r="H2530" s="15"/>
      <c r="I2530" s="16"/>
    </row>
    <row r="2531" spans="6:9" x14ac:dyDescent="0.3">
      <c r="F2531" s="14"/>
      <c r="G2531" s="15"/>
      <c r="H2531" s="15"/>
      <c r="I2531" s="16"/>
    </row>
    <row r="2532" spans="6:9" x14ac:dyDescent="0.3">
      <c r="F2532" s="14"/>
      <c r="G2532" s="15"/>
      <c r="H2532" s="15"/>
      <c r="I2532" s="16"/>
    </row>
    <row r="2533" spans="6:9" x14ac:dyDescent="0.3">
      <c r="F2533" s="14"/>
      <c r="G2533" s="15"/>
      <c r="H2533" s="15"/>
      <c r="I2533" s="16"/>
    </row>
    <row r="2534" spans="6:9" x14ac:dyDescent="0.3">
      <c r="F2534" s="14"/>
      <c r="G2534" s="15"/>
      <c r="H2534" s="15"/>
      <c r="I2534" s="16"/>
    </row>
    <row r="2535" spans="6:9" x14ac:dyDescent="0.3">
      <c r="F2535" s="14"/>
      <c r="G2535" s="15"/>
      <c r="H2535" s="15"/>
      <c r="I2535" s="16"/>
    </row>
    <row r="2536" spans="6:9" x14ac:dyDescent="0.3">
      <c r="F2536" s="14"/>
      <c r="G2536" s="15"/>
      <c r="H2536" s="15"/>
      <c r="I2536" s="16"/>
    </row>
    <row r="2537" spans="6:9" x14ac:dyDescent="0.3">
      <c r="F2537" s="14"/>
      <c r="G2537" s="15"/>
      <c r="H2537" s="15"/>
      <c r="I2537" s="16"/>
    </row>
    <row r="2538" spans="6:9" x14ac:dyDescent="0.3">
      <c r="F2538" s="14"/>
      <c r="G2538" s="15"/>
      <c r="H2538" s="15"/>
      <c r="I2538" s="16"/>
    </row>
    <row r="2539" spans="6:9" x14ac:dyDescent="0.3">
      <c r="F2539" s="14"/>
      <c r="G2539" s="15"/>
      <c r="H2539" s="15"/>
      <c r="I2539" s="16"/>
    </row>
    <row r="2540" spans="6:9" x14ac:dyDescent="0.3">
      <c r="F2540" s="14"/>
      <c r="G2540" s="15"/>
      <c r="H2540" s="15"/>
      <c r="I2540" s="16"/>
    </row>
    <row r="2541" spans="6:9" x14ac:dyDescent="0.3">
      <c r="F2541" s="14"/>
      <c r="G2541" s="15"/>
      <c r="H2541" s="15"/>
      <c r="I2541" s="16"/>
    </row>
    <row r="2542" spans="6:9" x14ac:dyDescent="0.3">
      <c r="F2542" s="14"/>
      <c r="G2542" s="15"/>
      <c r="H2542" s="15"/>
      <c r="I2542" s="16"/>
    </row>
    <row r="2543" spans="6:9" x14ac:dyDescent="0.3">
      <c r="F2543" s="14"/>
      <c r="G2543" s="15"/>
      <c r="H2543" s="15"/>
      <c r="I2543" s="16"/>
    </row>
    <row r="2544" spans="6:9" x14ac:dyDescent="0.3">
      <c r="F2544" s="14"/>
      <c r="G2544" s="15"/>
      <c r="H2544" s="15"/>
      <c r="I2544" s="16"/>
    </row>
    <row r="2545" spans="6:9" x14ac:dyDescent="0.3">
      <c r="F2545" s="14"/>
      <c r="G2545" s="15"/>
      <c r="H2545" s="15"/>
      <c r="I2545" s="16"/>
    </row>
    <row r="2546" spans="6:9" x14ac:dyDescent="0.3">
      <c r="F2546" s="14"/>
      <c r="G2546" s="15"/>
      <c r="H2546" s="15"/>
      <c r="I2546" s="16"/>
    </row>
    <row r="2547" spans="6:9" x14ac:dyDescent="0.3">
      <c r="F2547" s="14"/>
      <c r="G2547" s="15"/>
      <c r="H2547" s="15"/>
      <c r="I2547" s="16"/>
    </row>
    <row r="2548" spans="6:9" x14ac:dyDescent="0.3">
      <c r="F2548" s="14"/>
      <c r="G2548" s="15"/>
      <c r="H2548" s="15"/>
      <c r="I2548" s="16"/>
    </row>
    <row r="2549" spans="6:9" x14ac:dyDescent="0.3">
      <c r="F2549" s="14"/>
      <c r="G2549" s="15"/>
      <c r="H2549" s="15"/>
      <c r="I2549" s="16"/>
    </row>
    <row r="2550" spans="6:9" x14ac:dyDescent="0.3">
      <c r="F2550" s="14"/>
      <c r="G2550" s="15"/>
      <c r="H2550" s="15"/>
      <c r="I2550" s="16"/>
    </row>
    <row r="2551" spans="6:9" x14ac:dyDescent="0.3">
      <c r="F2551" s="14"/>
      <c r="G2551" s="15"/>
      <c r="H2551" s="15"/>
      <c r="I2551" s="16"/>
    </row>
    <row r="2552" spans="6:9" x14ac:dyDescent="0.3">
      <c r="F2552" s="14"/>
      <c r="G2552" s="15"/>
      <c r="H2552" s="15"/>
      <c r="I2552" s="16"/>
    </row>
    <row r="2553" spans="6:9" x14ac:dyDescent="0.3">
      <c r="F2553" s="14"/>
      <c r="G2553" s="15"/>
      <c r="H2553" s="15"/>
      <c r="I2553" s="16"/>
    </row>
    <row r="2554" spans="6:9" x14ac:dyDescent="0.3">
      <c r="F2554" s="14"/>
      <c r="G2554" s="15"/>
      <c r="H2554" s="15"/>
      <c r="I2554" s="16"/>
    </row>
    <row r="2555" spans="6:9" x14ac:dyDescent="0.3">
      <c r="F2555" s="14"/>
      <c r="G2555" s="15"/>
      <c r="H2555" s="15"/>
      <c r="I2555" s="16"/>
    </row>
    <row r="2556" spans="6:9" x14ac:dyDescent="0.3">
      <c r="F2556" s="14"/>
      <c r="G2556" s="15"/>
      <c r="H2556" s="15"/>
      <c r="I2556" s="16"/>
    </row>
    <row r="2557" spans="6:9" x14ac:dyDescent="0.3">
      <c r="F2557" s="14"/>
      <c r="G2557" s="15"/>
      <c r="H2557" s="15"/>
      <c r="I2557" s="16"/>
    </row>
    <row r="2558" spans="6:9" x14ac:dyDescent="0.3">
      <c r="F2558" s="14"/>
      <c r="G2558" s="15"/>
      <c r="H2558" s="15"/>
      <c r="I2558" s="16"/>
    </row>
    <row r="2559" spans="6:9" x14ac:dyDescent="0.3">
      <c r="F2559" s="14"/>
      <c r="G2559" s="15"/>
      <c r="H2559" s="15"/>
      <c r="I2559" s="16"/>
    </row>
    <row r="2560" spans="6:9" x14ac:dyDescent="0.3">
      <c r="F2560" s="14"/>
      <c r="G2560" s="15"/>
      <c r="H2560" s="15"/>
      <c r="I2560" s="16"/>
    </row>
    <row r="2561" spans="6:9" x14ac:dyDescent="0.3">
      <c r="F2561" s="14"/>
      <c r="G2561" s="15"/>
      <c r="H2561" s="15"/>
      <c r="I2561" s="16"/>
    </row>
    <row r="2562" spans="6:9" x14ac:dyDescent="0.3">
      <c r="F2562" s="14"/>
      <c r="G2562" s="15"/>
      <c r="H2562" s="15"/>
      <c r="I2562" s="16"/>
    </row>
    <row r="2563" spans="6:9" x14ac:dyDescent="0.3">
      <c r="F2563" s="14"/>
      <c r="G2563" s="15"/>
      <c r="H2563" s="15"/>
      <c r="I2563" s="16"/>
    </row>
    <row r="2564" spans="6:9" x14ac:dyDescent="0.3">
      <c r="F2564" s="14"/>
      <c r="G2564" s="15"/>
      <c r="H2564" s="15"/>
      <c r="I2564" s="16"/>
    </row>
    <row r="2565" spans="6:9" x14ac:dyDescent="0.3">
      <c r="F2565" s="14"/>
      <c r="G2565" s="15"/>
      <c r="H2565" s="15"/>
      <c r="I2565" s="16"/>
    </row>
    <row r="2566" spans="6:9" x14ac:dyDescent="0.3">
      <c r="F2566" s="14"/>
      <c r="G2566" s="15"/>
      <c r="H2566" s="15"/>
      <c r="I2566" s="16"/>
    </row>
    <row r="2567" spans="6:9" x14ac:dyDescent="0.3">
      <c r="F2567" s="14"/>
      <c r="G2567" s="15"/>
      <c r="H2567" s="15"/>
      <c r="I2567" s="16"/>
    </row>
    <row r="2568" spans="6:9" x14ac:dyDescent="0.3">
      <c r="F2568" s="14"/>
      <c r="G2568" s="15"/>
      <c r="H2568" s="15"/>
      <c r="I2568" s="16"/>
    </row>
    <row r="2569" spans="6:9" x14ac:dyDescent="0.3">
      <c r="F2569" s="14"/>
      <c r="G2569" s="15"/>
      <c r="H2569" s="15"/>
      <c r="I2569" s="16"/>
    </row>
    <row r="2570" spans="6:9" x14ac:dyDescent="0.3">
      <c r="F2570" s="14"/>
      <c r="G2570" s="15"/>
      <c r="H2570" s="15"/>
      <c r="I2570" s="16"/>
    </row>
    <row r="2571" spans="6:9" x14ac:dyDescent="0.3">
      <c r="F2571" s="14"/>
      <c r="G2571" s="15"/>
      <c r="H2571" s="15"/>
      <c r="I2571" s="16"/>
    </row>
    <row r="2572" spans="6:9" x14ac:dyDescent="0.3">
      <c r="F2572" s="14"/>
      <c r="G2572" s="15"/>
      <c r="H2572" s="15"/>
      <c r="I2572" s="16"/>
    </row>
    <row r="2573" spans="6:9" x14ac:dyDescent="0.3">
      <c r="F2573" s="14"/>
      <c r="G2573" s="15"/>
      <c r="H2573" s="15"/>
      <c r="I2573" s="16"/>
    </row>
    <row r="2574" spans="6:9" x14ac:dyDescent="0.3">
      <c r="F2574" s="14"/>
      <c r="G2574" s="15"/>
      <c r="H2574" s="15"/>
      <c r="I2574" s="16"/>
    </row>
    <row r="2575" spans="6:9" x14ac:dyDescent="0.3">
      <c r="F2575" s="14"/>
      <c r="G2575" s="15"/>
      <c r="H2575" s="15"/>
      <c r="I2575" s="16"/>
    </row>
    <row r="2576" spans="6:9" x14ac:dyDescent="0.3">
      <c r="F2576" s="14"/>
      <c r="G2576" s="15"/>
      <c r="H2576" s="15"/>
      <c r="I2576" s="16"/>
    </row>
    <row r="2577" spans="6:9" x14ac:dyDescent="0.3">
      <c r="F2577" s="14"/>
      <c r="G2577" s="15"/>
      <c r="H2577" s="15"/>
      <c r="I2577" s="16"/>
    </row>
    <row r="2578" spans="6:9" x14ac:dyDescent="0.3">
      <c r="F2578" s="14"/>
      <c r="G2578" s="15"/>
      <c r="H2578" s="15"/>
      <c r="I2578" s="16"/>
    </row>
    <row r="2579" spans="6:9" x14ac:dyDescent="0.3">
      <c r="F2579" s="14"/>
      <c r="G2579" s="15"/>
      <c r="H2579" s="15"/>
      <c r="I2579" s="16"/>
    </row>
    <row r="2580" spans="6:9" x14ac:dyDescent="0.3">
      <c r="F2580" s="14"/>
      <c r="G2580" s="15"/>
      <c r="H2580" s="15"/>
      <c r="I2580" s="16"/>
    </row>
    <row r="2581" spans="6:9" x14ac:dyDescent="0.3">
      <c r="F2581" s="14"/>
      <c r="G2581" s="15"/>
      <c r="H2581" s="15"/>
      <c r="I2581" s="16"/>
    </row>
    <row r="2582" spans="6:9" x14ac:dyDescent="0.3">
      <c r="F2582" s="14"/>
      <c r="G2582" s="15"/>
      <c r="H2582" s="15"/>
      <c r="I2582" s="16"/>
    </row>
    <row r="2583" spans="6:9" x14ac:dyDescent="0.3">
      <c r="F2583" s="14"/>
      <c r="G2583" s="15"/>
      <c r="H2583" s="15"/>
      <c r="I2583" s="16"/>
    </row>
    <row r="2584" spans="6:9" x14ac:dyDescent="0.3">
      <c r="F2584" s="14"/>
      <c r="G2584" s="15"/>
      <c r="H2584" s="15"/>
      <c r="I2584" s="16"/>
    </row>
    <row r="2585" spans="6:9" x14ac:dyDescent="0.3">
      <c r="F2585" s="14"/>
      <c r="G2585" s="15"/>
      <c r="H2585" s="15"/>
      <c r="I2585" s="16"/>
    </row>
    <row r="2586" spans="6:9" x14ac:dyDescent="0.3">
      <c r="F2586" s="14"/>
      <c r="G2586" s="15"/>
      <c r="H2586" s="15"/>
      <c r="I2586" s="16"/>
    </row>
    <row r="2587" spans="6:9" x14ac:dyDescent="0.3">
      <c r="F2587" s="14"/>
      <c r="G2587" s="15"/>
      <c r="H2587" s="15"/>
      <c r="I2587" s="16"/>
    </row>
    <row r="2588" spans="6:9" x14ac:dyDescent="0.3">
      <c r="F2588" s="14"/>
      <c r="G2588" s="15"/>
      <c r="H2588" s="15"/>
      <c r="I2588" s="16"/>
    </row>
    <row r="2589" spans="6:9" x14ac:dyDescent="0.3">
      <c r="F2589" s="14"/>
      <c r="G2589" s="15"/>
      <c r="H2589" s="15"/>
      <c r="I2589" s="16"/>
    </row>
    <row r="2590" spans="6:9" x14ac:dyDescent="0.3">
      <c r="F2590" s="14"/>
      <c r="G2590" s="15"/>
      <c r="H2590" s="15"/>
      <c r="I2590" s="16"/>
    </row>
    <row r="2591" spans="6:9" x14ac:dyDescent="0.3">
      <c r="F2591" s="14"/>
      <c r="G2591" s="15"/>
      <c r="H2591" s="15"/>
      <c r="I2591" s="16"/>
    </row>
    <row r="2592" spans="6:9" x14ac:dyDescent="0.3">
      <c r="F2592" s="14"/>
      <c r="G2592" s="15"/>
      <c r="H2592" s="15"/>
      <c r="I2592" s="16"/>
    </row>
    <row r="2593" spans="6:9" x14ac:dyDescent="0.3">
      <c r="F2593" s="14"/>
      <c r="G2593" s="15"/>
      <c r="H2593" s="15"/>
      <c r="I2593" s="16"/>
    </row>
    <row r="2594" spans="6:9" x14ac:dyDescent="0.3">
      <c r="F2594" s="14"/>
      <c r="G2594" s="15"/>
      <c r="H2594" s="15"/>
      <c r="I2594" s="16"/>
    </row>
    <row r="2595" spans="6:9" x14ac:dyDescent="0.3">
      <c r="F2595" s="14"/>
      <c r="G2595" s="15"/>
      <c r="H2595" s="15"/>
      <c r="I2595" s="16"/>
    </row>
    <row r="2596" spans="6:9" x14ac:dyDescent="0.3">
      <c r="F2596" s="14"/>
      <c r="G2596" s="15"/>
      <c r="H2596" s="15"/>
      <c r="I2596" s="16"/>
    </row>
    <row r="2597" spans="6:9" x14ac:dyDescent="0.3">
      <c r="F2597" s="14"/>
      <c r="G2597" s="15"/>
      <c r="H2597" s="15"/>
      <c r="I2597" s="16"/>
    </row>
    <row r="2598" spans="6:9" x14ac:dyDescent="0.3">
      <c r="F2598" s="14"/>
      <c r="G2598" s="15"/>
      <c r="H2598" s="15"/>
      <c r="I2598" s="16"/>
    </row>
    <row r="2599" spans="6:9" x14ac:dyDescent="0.3">
      <c r="F2599" s="14"/>
      <c r="G2599" s="15"/>
      <c r="H2599" s="15"/>
      <c r="I2599" s="16"/>
    </row>
    <row r="2600" spans="6:9" x14ac:dyDescent="0.3">
      <c r="F2600" s="14"/>
      <c r="G2600" s="15"/>
      <c r="H2600" s="15"/>
      <c r="I2600" s="16"/>
    </row>
    <row r="2601" spans="6:9" x14ac:dyDescent="0.3">
      <c r="F2601" s="14"/>
      <c r="G2601" s="15"/>
      <c r="H2601" s="15"/>
      <c r="I2601" s="16"/>
    </row>
    <row r="2602" spans="6:9" x14ac:dyDescent="0.3">
      <c r="F2602" s="14"/>
      <c r="G2602" s="15"/>
      <c r="H2602" s="15"/>
      <c r="I2602" s="16"/>
    </row>
    <row r="2603" spans="6:9" x14ac:dyDescent="0.3">
      <c r="F2603" s="14"/>
      <c r="G2603" s="15"/>
      <c r="H2603" s="15"/>
      <c r="I2603" s="16"/>
    </row>
    <row r="2604" spans="6:9" x14ac:dyDescent="0.3">
      <c r="F2604" s="14"/>
      <c r="G2604" s="15"/>
      <c r="H2604" s="15"/>
      <c r="I2604" s="16"/>
    </row>
    <row r="2605" spans="6:9" x14ac:dyDescent="0.3">
      <c r="F2605" s="14"/>
      <c r="G2605" s="15"/>
      <c r="H2605" s="15"/>
      <c r="I2605" s="16"/>
    </row>
    <row r="2606" spans="6:9" x14ac:dyDescent="0.3">
      <c r="F2606" s="14"/>
      <c r="G2606" s="15"/>
      <c r="H2606" s="15"/>
      <c r="I2606" s="16"/>
    </row>
    <row r="2607" spans="6:9" x14ac:dyDescent="0.3">
      <c r="F2607" s="14"/>
      <c r="G2607" s="15"/>
      <c r="H2607" s="15"/>
      <c r="I2607" s="16"/>
    </row>
    <row r="2608" spans="6:9" x14ac:dyDescent="0.3">
      <c r="F2608" s="14"/>
      <c r="G2608" s="15"/>
      <c r="H2608" s="15"/>
      <c r="I2608" s="16"/>
    </row>
    <row r="2609" spans="6:9" x14ac:dyDescent="0.3">
      <c r="F2609" s="14"/>
      <c r="G2609" s="15"/>
      <c r="H2609" s="15"/>
      <c r="I2609" s="16"/>
    </row>
    <row r="2610" spans="6:9" x14ac:dyDescent="0.3">
      <c r="F2610" s="14"/>
      <c r="G2610" s="15"/>
      <c r="H2610" s="15"/>
      <c r="I2610" s="16"/>
    </row>
    <row r="2611" spans="6:9" x14ac:dyDescent="0.3">
      <c r="F2611" s="14"/>
      <c r="G2611" s="15"/>
      <c r="H2611" s="15"/>
      <c r="I2611" s="16"/>
    </row>
    <row r="2612" spans="6:9" x14ac:dyDescent="0.3">
      <c r="F2612" s="14"/>
      <c r="G2612" s="15"/>
      <c r="H2612" s="15"/>
      <c r="I2612" s="16"/>
    </row>
    <row r="2613" spans="6:9" x14ac:dyDescent="0.3">
      <c r="F2613" s="14"/>
      <c r="G2613" s="15"/>
      <c r="H2613" s="15"/>
      <c r="I2613" s="16"/>
    </row>
    <row r="2614" spans="6:9" x14ac:dyDescent="0.3">
      <c r="F2614" s="14"/>
      <c r="G2614" s="15"/>
      <c r="H2614" s="15"/>
      <c r="I2614" s="16"/>
    </row>
    <row r="2615" spans="6:9" x14ac:dyDescent="0.3">
      <c r="F2615" s="14"/>
      <c r="G2615" s="15"/>
      <c r="H2615" s="15"/>
      <c r="I2615" s="16"/>
    </row>
    <row r="2616" spans="6:9" x14ac:dyDescent="0.3">
      <c r="F2616" s="14"/>
      <c r="G2616" s="15"/>
      <c r="H2616" s="15"/>
      <c r="I2616" s="16"/>
    </row>
    <row r="2617" spans="6:9" x14ac:dyDescent="0.3">
      <c r="F2617" s="14"/>
      <c r="G2617" s="15"/>
      <c r="H2617" s="15"/>
      <c r="I2617" s="16"/>
    </row>
    <row r="2618" spans="6:9" x14ac:dyDescent="0.3">
      <c r="F2618" s="14"/>
      <c r="G2618" s="15"/>
      <c r="H2618" s="15"/>
      <c r="I2618" s="16"/>
    </row>
    <row r="2619" spans="6:9" x14ac:dyDescent="0.3">
      <c r="F2619" s="14"/>
      <c r="G2619" s="15"/>
      <c r="H2619" s="15"/>
      <c r="I2619" s="16"/>
    </row>
    <row r="2620" spans="6:9" x14ac:dyDescent="0.3">
      <c r="F2620" s="14"/>
      <c r="G2620" s="15"/>
      <c r="H2620" s="15"/>
      <c r="I2620" s="16"/>
    </row>
    <row r="2621" spans="6:9" x14ac:dyDescent="0.3">
      <c r="F2621" s="14"/>
      <c r="G2621" s="15"/>
      <c r="H2621" s="15"/>
      <c r="I2621" s="16"/>
    </row>
    <row r="2622" spans="6:9" x14ac:dyDescent="0.3">
      <c r="F2622" s="14"/>
      <c r="G2622" s="15"/>
      <c r="H2622" s="15"/>
      <c r="I2622" s="16"/>
    </row>
    <row r="2623" spans="6:9" x14ac:dyDescent="0.3">
      <c r="F2623" s="14"/>
      <c r="G2623" s="15"/>
      <c r="H2623" s="15"/>
      <c r="I2623" s="16"/>
    </row>
    <row r="2624" spans="6:9" x14ac:dyDescent="0.3">
      <c r="F2624" s="14"/>
      <c r="G2624" s="15"/>
      <c r="H2624" s="15"/>
      <c r="I2624" s="16"/>
    </row>
    <row r="2625" spans="6:9" x14ac:dyDescent="0.3">
      <c r="F2625" s="14"/>
      <c r="G2625" s="15"/>
      <c r="H2625" s="15"/>
      <c r="I2625" s="16"/>
    </row>
    <row r="2626" spans="6:9" x14ac:dyDescent="0.3">
      <c r="F2626" s="14"/>
      <c r="G2626" s="15"/>
      <c r="H2626" s="15"/>
      <c r="I2626" s="16"/>
    </row>
    <row r="2627" spans="6:9" x14ac:dyDescent="0.3">
      <c r="F2627" s="14"/>
      <c r="G2627" s="15"/>
      <c r="H2627" s="15"/>
      <c r="I2627" s="16"/>
    </row>
    <row r="2628" spans="6:9" x14ac:dyDescent="0.3">
      <c r="F2628" s="14"/>
      <c r="G2628" s="15"/>
      <c r="H2628" s="15"/>
      <c r="I2628" s="16"/>
    </row>
    <row r="2629" spans="6:9" x14ac:dyDescent="0.3">
      <c r="F2629" s="14"/>
      <c r="G2629" s="15"/>
      <c r="H2629" s="15"/>
      <c r="I2629" s="16"/>
    </row>
    <row r="2630" spans="6:9" x14ac:dyDescent="0.3">
      <c r="F2630" s="14"/>
      <c r="G2630" s="15"/>
      <c r="H2630" s="15"/>
      <c r="I2630" s="16"/>
    </row>
    <row r="2631" spans="6:9" x14ac:dyDescent="0.3">
      <c r="F2631" s="14"/>
      <c r="G2631" s="15"/>
      <c r="H2631" s="15"/>
      <c r="I2631" s="16"/>
    </row>
    <row r="2632" spans="6:9" x14ac:dyDescent="0.3">
      <c r="F2632" s="14"/>
      <c r="G2632" s="15"/>
      <c r="H2632" s="15"/>
      <c r="I2632" s="16"/>
    </row>
    <row r="2633" spans="6:9" x14ac:dyDescent="0.3">
      <c r="F2633" s="14"/>
      <c r="G2633" s="15"/>
      <c r="H2633" s="15"/>
      <c r="I2633" s="16"/>
    </row>
    <row r="2634" spans="6:9" x14ac:dyDescent="0.3">
      <c r="F2634" s="14"/>
      <c r="G2634" s="15"/>
      <c r="H2634" s="15"/>
      <c r="I2634" s="16"/>
    </row>
    <row r="2635" spans="6:9" x14ac:dyDescent="0.3">
      <c r="F2635" s="14"/>
      <c r="G2635" s="15"/>
      <c r="H2635" s="15"/>
      <c r="I2635" s="16"/>
    </row>
    <row r="2636" spans="6:9" x14ac:dyDescent="0.3">
      <c r="F2636" s="14"/>
      <c r="G2636" s="15"/>
      <c r="H2636" s="15"/>
      <c r="I2636" s="16"/>
    </row>
    <row r="2637" spans="6:9" x14ac:dyDescent="0.3">
      <c r="F2637" s="14"/>
      <c r="G2637" s="15"/>
      <c r="H2637" s="15"/>
      <c r="I2637" s="16"/>
    </row>
    <row r="2638" spans="6:9" x14ac:dyDescent="0.3">
      <c r="F2638" s="14"/>
      <c r="G2638" s="15"/>
      <c r="H2638" s="15"/>
      <c r="I2638" s="16"/>
    </row>
    <row r="2639" spans="6:9" x14ac:dyDescent="0.3">
      <c r="F2639" s="14"/>
      <c r="G2639" s="15"/>
      <c r="H2639" s="15"/>
      <c r="I2639" s="16"/>
    </row>
    <row r="2640" spans="6:9" x14ac:dyDescent="0.3">
      <c r="F2640" s="14"/>
      <c r="G2640" s="15"/>
      <c r="H2640" s="15"/>
      <c r="I2640" s="16"/>
    </row>
    <row r="2641" spans="6:9" x14ac:dyDescent="0.3">
      <c r="F2641" s="14"/>
      <c r="G2641" s="15"/>
      <c r="H2641" s="15"/>
      <c r="I2641" s="16"/>
    </row>
    <row r="2642" spans="6:9" x14ac:dyDescent="0.3">
      <c r="F2642" s="14"/>
      <c r="G2642" s="15"/>
      <c r="H2642" s="15"/>
      <c r="I2642" s="16"/>
    </row>
    <row r="2643" spans="6:9" x14ac:dyDescent="0.3">
      <c r="F2643" s="14"/>
      <c r="G2643" s="15"/>
      <c r="H2643" s="15"/>
      <c r="I2643" s="16"/>
    </row>
    <row r="2644" spans="6:9" x14ac:dyDescent="0.3">
      <c r="F2644" s="14"/>
      <c r="G2644" s="15"/>
      <c r="H2644" s="15"/>
      <c r="I2644" s="16"/>
    </row>
    <row r="2645" spans="6:9" x14ac:dyDescent="0.3">
      <c r="F2645" s="14"/>
      <c r="G2645" s="15"/>
      <c r="H2645" s="15"/>
      <c r="I2645" s="16"/>
    </row>
    <row r="2646" spans="6:9" x14ac:dyDescent="0.3">
      <c r="F2646" s="14"/>
      <c r="G2646" s="15"/>
      <c r="H2646" s="15"/>
      <c r="I2646" s="16"/>
    </row>
    <row r="2647" spans="6:9" x14ac:dyDescent="0.3">
      <c r="F2647" s="14"/>
      <c r="G2647" s="15"/>
      <c r="H2647" s="15"/>
      <c r="I2647" s="16"/>
    </row>
    <row r="2648" spans="6:9" x14ac:dyDescent="0.3">
      <c r="F2648" s="14"/>
      <c r="G2648" s="15"/>
      <c r="H2648" s="15"/>
      <c r="I2648" s="16"/>
    </row>
    <row r="2649" spans="6:9" x14ac:dyDescent="0.3">
      <c r="F2649" s="14"/>
      <c r="G2649" s="15"/>
      <c r="H2649" s="15"/>
      <c r="I2649" s="16"/>
    </row>
    <row r="2650" spans="6:9" x14ac:dyDescent="0.3">
      <c r="F2650" s="14"/>
      <c r="G2650" s="15"/>
      <c r="H2650" s="15"/>
      <c r="I2650" s="16"/>
    </row>
    <row r="2651" spans="6:9" x14ac:dyDescent="0.3">
      <c r="F2651" s="14"/>
      <c r="G2651" s="15"/>
      <c r="H2651" s="15"/>
      <c r="I2651" s="16"/>
    </row>
    <row r="2652" spans="6:9" x14ac:dyDescent="0.3">
      <c r="F2652" s="14"/>
      <c r="G2652" s="15"/>
      <c r="H2652" s="15"/>
      <c r="I2652" s="16"/>
    </row>
    <row r="2653" spans="6:9" x14ac:dyDescent="0.3">
      <c r="F2653" s="14"/>
      <c r="G2653" s="15"/>
      <c r="H2653" s="15"/>
      <c r="I2653" s="16"/>
    </row>
    <row r="2654" spans="6:9" x14ac:dyDescent="0.3">
      <c r="F2654" s="14"/>
      <c r="G2654" s="15"/>
      <c r="H2654" s="15"/>
      <c r="I2654" s="16"/>
    </row>
    <row r="2655" spans="6:9" x14ac:dyDescent="0.3">
      <c r="F2655" s="14"/>
      <c r="G2655" s="15"/>
      <c r="H2655" s="15"/>
      <c r="I2655" s="16"/>
    </row>
    <row r="2656" spans="6:9" x14ac:dyDescent="0.3">
      <c r="F2656" s="14"/>
      <c r="G2656" s="15"/>
      <c r="H2656" s="15"/>
      <c r="I2656" s="16"/>
    </row>
    <row r="2657" spans="6:9" x14ac:dyDescent="0.3">
      <c r="F2657" s="14"/>
      <c r="G2657" s="15"/>
      <c r="H2657" s="15"/>
      <c r="I2657" s="16"/>
    </row>
    <row r="2658" spans="6:9" x14ac:dyDescent="0.3">
      <c r="F2658" s="14"/>
      <c r="G2658" s="15"/>
      <c r="H2658" s="15"/>
      <c r="I2658" s="16"/>
    </row>
    <row r="2659" spans="6:9" x14ac:dyDescent="0.3">
      <c r="F2659" s="14"/>
      <c r="G2659" s="15"/>
      <c r="H2659" s="15"/>
      <c r="I2659" s="16"/>
    </row>
    <row r="2660" spans="6:9" x14ac:dyDescent="0.3">
      <c r="F2660" s="14"/>
      <c r="G2660" s="15"/>
      <c r="H2660" s="15"/>
      <c r="I2660" s="16"/>
    </row>
    <row r="2661" spans="6:9" x14ac:dyDescent="0.3">
      <c r="F2661" s="14"/>
      <c r="G2661" s="15"/>
      <c r="H2661" s="15"/>
      <c r="I2661" s="16"/>
    </row>
    <row r="2662" spans="6:9" x14ac:dyDescent="0.3">
      <c r="F2662" s="14"/>
      <c r="G2662" s="15"/>
      <c r="H2662" s="15"/>
      <c r="I2662" s="16"/>
    </row>
    <row r="2663" spans="6:9" x14ac:dyDescent="0.3">
      <c r="F2663" s="14"/>
      <c r="G2663" s="15"/>
      <c r="H2663" s="15"/>
      <c r="I2663" s="16"/>
    </row>
    <row r="2664" spans="6:9" x14ac:dyDescent="0.3">
      <c r="F2664" s="14"/>
      <c r="G2664" s="15"/>
      <c r="H2664" s="15"/>
      <c r="I2664" s="16"/>
    </row>
    <row r="2665" spans="6:9" x14ac:dyDescent="0.3">
      <c r="F2665" s="14"/>
      <c r="G2665" s="15"/>
      <c r="H2665" s="15"/>
      <c r="I2665" s="16"/>
    </row>
    <row r="2666" spans="6:9" x14ac:dyDescent="0.3">
      <c r="F2666" s="14"/>
      <c r="G2666" s="15"/>
      <c r="H2666" s="15"/>
      <c r="I2666" s="16"/>
    </row>
    <row r="2667" spans="6:9" x14ac:dyDescent="0.3">
      <c r="F2667" s="14"/>
      <c r="G2667" s="15"/>
      <c r="H2667" s="15"/>
      <c r="I2667" s="16"/>
    </row>
    <row r="2668" spans="6:9" x14ac:dyDescent="0.3">
      <c r="F2668" s="14"/>
      <c r="G2668" s="15"/>
      <c r="H2668" s="15"/>
      <c r="I2668" s="16"/>
    </row>
    <row r="2669" spans="6:9" x14ac:dyDescent="0.3">
      <c r="F2669" s="14"/>
      <c r="G2669" s="15"/>
      <c r="H2669" s="15"/>
      <c r="I2669" s="16"/>
    </row>
    <row r="2670" spans="6:9" x14ac:dyDescent="0.3">
      <c r="F2670" s="14"/>
      <c r="G2670" s="15"/>
      <c r="H2670" s="15"/>
      <c r="I2670" s="16"/>
    </row>
    <row r="2671" spans="6:9" x14ac:dyDescent="0.3">
      <c r="F2671" s="14"/>
      <c r="G2671" s="15"/>
      <c r="H2671" s="15"/>
      <c r="I2671" s="16"/>
    </row>
    <row r="2672" spans="6:9" x14ac:dyDescent="0.3">
      <c r="F2672" s="14"/>
      <c r="G2672" s="15"/>
      <c r="H2672" s="15"/>
      <c r="I2672" s="16"/>
    </row>
    <row r="2673" spans="6:9" x14ac:dyDescent="0.3">
      <c r="F2673" s="14"/>
      <c r="G2673" s="15"/>
      <c r="H2673" s="15"/>
      <c r="I2673" s="16"/>
    </row>
    <row r="2674" spans="6:9" x14ac:dyDescent="0.3">
      <c r="F2674" s="14"/>
      <c r="G2674" s="15"/>
      <c r="H2674" s="15"/>
      <c r="I2674" s="16"/>
    </row>
    <row r="2675" spans="6:9" x14ac:dyDescent="0.3">
      <c r="F2675" s="14"/>
      <c r="G2675" s="15"/>
      <c r="H2675" s="15"/>
      <c r="I2675" s="16"/>
    </row>
    <row r="2676" spans="6:9" x14ac:dyDescent="0.3">
      <c r="F2676" s="14"/>
      <c r="G2676" s="15"/>
      <c r="H2676" s="15"/>
      <c r="I2676" s="16"/>
    </row>
    <row r="2677" spans="6:9" x14ac:dyDescent="0.3">
      <c r="F2677" s="14"/>
      <c r="G2677" s="15"/>
      <c r="H2677" s="15"/>
      <c r="I2677" s="16"/>
    </row>
    <row r="2678" spans="6:9" x14ac:dyDescent="0.3">
      <c r="F2678" s="14"/>
      <c r="G2678" s="15"/>
      <c r="H2678" s="15"/>
      <c r="I2678" s="16"/>
    </row>
    <row r="2679" spans="6:9" x14ac:dyDescent="0.3">
      <c r="F2679" s="14"/>
      <c r="G2679" s="15"/>
      <c r="H2679" s="15"/>
      <c r="I2679" s="16"/>
    </row>
    <row r="2680" spans="6:9" x14ac:dyDescent="0.3">
      <c r="F2680" s="14"/>
      <c r="G2680" s="15"/>
      <c r="H2680" s="15"/>
      <c r="I2680" s="16"/>
    </row>
    <row r="2681" spans="6:9" x14ac:dyDescent="0.3">
      <c r="F2681" s="14"/>
      <c r="G2681" s="15"/>
      <c r="H2681" s="15"/>
      <c r="I2681" s="16"/>
    </row>
    <row r="2682" spans="6:9" x14ac:dyDescent="0.3">
      <c r="F2682" s="14"/>
      <c r="G2682" s="15"/>
      <c r="H2682" s="15"/>
      <c r="I2682" s="16"/>
    </row>
    <row r="2683" spans="6:9" x14ac:dyDescent="0.3">
      <c r="F2683" s="14"/>
      <c r="G2683" s="15"/>
      <c r="H2683" s="15"/>
      <c r="I2683" s="16"/>
    </row>
    <row r="2684" spans="6:9" x14ac:dyDescent="0.3">
      <c r="F2684" s="14"/>
      <c r="G2684" s="15"/>
      <c r="H2684" s="15"/>
      <c r="I2684" s="16"/>
    </row>
    <row r="2685" spans="6:9" x14ac:dyDescent="0.3">
      <c r="F2685" s="14"/>
      <c r="G2685" s="15"/>
      <c r="H2685" s="15"/>
      <c r="I2685" s="16"/>
    </row>
    <row r="2686" spans="6:9" x14ac:dyDescent="0.3">
      <c r="F2686" s="14"/>
      <c r="G2686" s="15"/>
      <c r="H2686" s="15"/>
      <c r="I2686" s="16"/>
    </row>
    <row r="2687" spans="6:9" x14ac:dyDescent="0.3">
      <c r="F2687" s="14"/>
      <c r="G2687" s="15"/>
      <c r="H2687" s="15"/>
      <c r="I2687" s="16"/>
    </row>
    <row r="2688" spans="6:9" x14ac:dyDescent="0.3">
      <c r="F2688" s="14"/>
      <c r="G2688" s="15"/>
      <c r="H2688" s="15"/>
      <c r="I2688" s="16"/>
    </row>
    <row r="2689" spans="6:9" x14ac:dyDescent="0.3">
      <c r="F2689" s="14"/>
      <c r="G2689" s="15"/>
      <c r="H2689" s="15"/>
      <c r="I2689" s="16"/>
    </row>
    <row r="2690" spans="6:9" x14ac:dyDescent="0.3">
      <c r="F2690" s="14"/>
      <c r="G2690" s="15"/>
      <c r="H2690" s="15"/>
      <c r="I2690" s="16"/>
    </row>
    <row r="2691" spans="6:9" x14ac:dyDescent="0.3">
      <c r="F2691" s="14"/>
      <c r="G2691" s="15"/>
      <c r="H2691" s="15"/>
      <c r="I2691" s="16"/>
    </row>
    <row r="2692" spans="6:9" x14ac:dyDescent="0.3">
      <c r="F2692" s="14"/>
      <c r="G2692" s="15"/>
      <c r="H2692" s="15"/>
      <c r="I2692" s="16"/>
    </row>
    <row r="2693" spans="6:9" x14ac:dyDescent="0.3">
      <c r="F2693" s="14"/>
      <c r="G2693" s="15"/>
      <c r="H2693" s="15"/>
      <c r="I2693" s="16"/>
    </row>
    <row r="2694" spans="6:9" x14ac:dyDescent="0.3">
      <c r="F2694" s="14"/>
      <c r="G2694" s="15"/>
      <c r="H2694" s="15"/>
      <c r="I2694" s="16"/>
    </row>
    <row r="2695" spans="6:9" x14ac:dyDescent="0.3">
      <c r="F2695" s="14"/>
      <c r="G2695" s="15"/>
      <c r="H2695" s="15"/>
      <c r="I2695" s="16"/>
    </row>
    <row r="2696" spans="6:9" x14ac:dyDescent="0.3">
      <c r="F2696" s="14"/>
      <c r="G2696" s="15"/>
      <c r="H2696" s="15"/>
      <c r="I2696" s="16"/>
    </row>
    <row r="2697" spans="6:9" x14ac:dyDescent="0.3">
      <c r="F2697" s="14"/>
      <c r="G2697" s="15"/>
      <c r="H2697" s="15"/>
      <c r="I2697" s="16"/>
    </row>
    <row r="2698" spans="6:9" x14ac:dyDescent="0.3">
      <c r="F2698" s="14"/>
      <c r="G2698" s="15"/>
      <c r="H2698" s="15"/>
      <c r="I2698" s="16"/>
    </row>
    <row r="2699" spans="6:9" x14ac:dyDescent="0.3">
      <c r="F2699" s="14"/>
      <c r="G2699" s="15"/>
      <c r="H2699" s="15"/>
      <c r="I2699" s="16"/>
    </row>
    <row r="2700" spans="6:9" x14ac:dyDescent="0.3">
      <c r="F2700" s="14"/>
      <c r="G2700" s="15"/>
      <c r="H2700" s="15"/>
      <c r="I2700" s="16"/>
    </row>
    <row r="2701" spans="6:9" x14ac:dyDescent="0.3">
      <c r="F2701" s="14"/>
      <c r="G2701" s="15"/>
      <c r="H2701" s="15"/>
      <c r="I2701" s="16"/>
    </row>
    <row r="2702" spans="6:9" x14ac:dyDescent="0.3">
      <c r="F2702" s="14"/>
      <c r="G2702" s="15"/>
      <c r="H2702" s="15"/>
      <c r="I2702" s="16"/>
    </row>
    <row r="2703" spans="6:9" x14ac:dyDescent="0.3">
      <c r="F2703" s="14"/>
      <c r="G2703" s="15"/>
      <c r="H2703" s="15"/>
      <c r="I2703" s="16"/>
    </row>
    <row r="2704" spans="6:9" x14ac:dyDescent="0.3">
      <c r="F2704" s="14"/>
      <c r="G2704" s="15"/>
      <c r="H2704" s="15"/>
      <c r="I2704" s="16"/>
    </row>
    <row r="2705" spans="6:9" x14ac:dyDescent="0.3">
      <c r="F2705" s="14"/>
      <c r="G2705" s="15"/>
      <c r="H2705" s="15"/>
      <c r="I2705" s="16"/>
    </row>
    <row r="2706" spans="6:9" x14ac:dyDescent="0.3">
      <c r="F2706" s="14"/>
      <c r="G2706" s="15"/>
      <c r="H2706" s="15"/>
      <c r="I2706" s="16"/>
    </row>
    <row r="2707" spans="6:9" x14ac:dyDescent="0.3">
      <c r="F2707" s="14"/>
      <c r="G2707" s="15"/>
      <c r="H2707" s="15"/>
      <c r="I2707" s="16"/>
    </row>
    <row r="2708" spans="6:9" x14ac:dyDescent="0.3">
      <c r="F2708" s="14"/>
      <c r="G2708" s="15"/>
      <c r="H2708" s="15"/>
      <c r="I2708" s="16"/>
    </row>
    <row r="2709" spans="6:9" x14ac:dyDescent="0.3">
      <c r="F2709" s="14"/>
      <c r="G2709" s="15"/>
      <c r="H2709" s="15"/>
      <c r="I2709" s="16"/>
    </row>
    <row r="2710" spans="6:9" x14ac:dyDescent="0.3">
      <c r="F2710" s="14"/>
      <c r="G2710" s="15"/>
      <c r="H2710" s="15"/>
      <c r="I2710" s="16"/>
    </row>
    <row r="2711" spans="6:9" x14ac:dyDescent="0.3">
      <c r="F2711" s="14"/>
      <c r="G2711" s="15"/>
      <c r="H2711" s="15"/>
      <c r="I2711" s="16"/>
    </row>
    <row r="2712" spans="6:9" x14ac:dyDescent="0.3">
      <c r="F2712" s="14"/>
      <c r="G2712" s="15"/>
      <c r="H2712" s="15"/>
      <c r="I2712" s="16"/>
    </row>
    <row r="2713" spans="6:9" x14ac:dyDescent="0.3">
      <c r="F2713" s="14"/>
      <c r="G2713" s="15"/>
      <c r="H2713" s="15"/>
      <c r="I2713" s="16"/>
    </row>
    <row r="2714" spans="6:9" x14ac:dyDescent="0.3">
      <c r="F2714" s="14"/>
      <c r="G2714" s="15"/>
      <c r="H2714" s="15"/>
      <c r="I2714" s="16"/>
    </row>
    <row r="2715" spans="6:9" x14ac:dyDescent="0.3">
      <c r="F2715" s="14"/>
      <c r="G2715" s="15"/>
      <c r="H2715" s="15"/>
      <c r="I2715" s="16"/>
    </row>
    <row r="2716" spans="6:9" x14ac:dyDescent="0.3">
      <c r="F2716" s="14"/>
      <c r="G2716" s="15"/>
      <c r="H2716" s="15"/>
      <c r="I2716" s="16"/>
    </row>
    <row r="2717" spans="6:9" x14ac:dyDescent="0.3">
      <c r="F2717" s="14"/>
      <c r="G2717" s="15"/>
      <c r="H2717" s="15"/>
      <c r="I2717" s="16"/>
    </row>
    <row r="2718" spans="6:9" x14ac:dyDescent="0.3">
      <c r="F2718" s="14"/>
      <c r="G2718" s="15"/>
      <c r="H2718" s="15"/>
      <c r="I2718" s="16"/>
    </row>
    <row r="2719" spans="6:9" x14ac:dyDescent="0.3">
      <c r="F2719" s="14"/>
      <c r="G2719" s="15"/>
      <c r="H2719" s="15"/>
      <c r="I2719" s="16"/>
    </row>
    <row r="2720" spans="6:9" x14ac:dyDescent="0.3">
      <c r="F2720" s="14"/>
      <c r="G2720" s="15"/>
      <c r="H2720" s="15"/>
      <c r="I2720" s="16"/>
    </row>
    <row r="2721" spans="6:9" x14ac:dyDescent="0.3">
      <c r="F2721" s="14"/>
      <c r="G2721" s="15"/>
      <c r="H2721" s="15"/>
      <c r="I2721" s="16"/>
    </row>
    <row r="2722" spans="6:9" x14ac:dyDescent="0.3">
      <c r="F2722" s="14"/>
      <c r="G2722" s="15"/>
      <c r="H2722" s="15"/>
      <c r="I2722" s="16"/>
    </row>
    <row r="2723" spans="6:9" x14ac:dyDescent="0.3">
      <c r="F2723" s="14"/>
      <c r="G2723" s="15"/>
      <c r="H2723" s="15"/>
      <c r="I2723" s="16"/>
    </row>
    <row r="2724" spans="6:9" x14ac:dyDescent="0.3">
      <c r="F2724" s="14"/>
      <c r="G2724" s="15"/>
      <c r="H2724" s="15"/>
      <c r="I2724" s="16"/>
    </row>
    <row r="2725" spans="6:9" x14ac:dyDescent="0.3">
      <c r="F2725" s="14"/>
      <c r="G2725" s="15"/>
      <c r="H2725" s="15"/>
      <c r="I2725" s="16"/>
    </row>
    <row r="2726" spans="6:9" x14ac:dyDescent="0.3">
      <c r="F2726" s="14"/>
      <c r="G2726" s="15"/>
      <c r="H2726" s="15"/>
      <c r="I2726" s="16"/>
    </row>
    <row r="2727" spans="6:9" x14ac:dyDescent="0.3">
      <c r="F2727" s="14"/>
      <c r="G2727" s="15"/>
      <c r="H2727" s="15"/>
      <c r="I2727" s="16"/>
    </row>
    <row r="2728" spans="6:9" x14ac:dyDescent="0.3">
      <c r="F2728" s="14"/>
      <c r="G2728" s="15"/>
      <c r="H2728" s="15"/>
      <c r="I2728" s="16"/>
    </row>
    <row r="2729" spans="6:9" x14ac:dyDescent="0.3">
      <c r="F2729" s="14"/>
      <c r="G2729" s="15"/>
      <c r="H2729" s="15"/>
      <c r="I2729" s="16"/>
    </row>
    <row r="2730" spans="6:9" x14ac:dyDescent="0.3">
      <c r="F2730" s="14"/>
      <c r="G2730" s="15"/>
      <c r="H2730" s="15"/>
      <c r="I2730" s="16"/>
    </row>
    <row r="2731" spans="6:9" x14ac:dyDescent="0.3">
      <c r="F2731" s="14"/>
      <c r="G2731" s="15"/>
      <c r="H2731" s="15"/>
      <c r="I2731" s="16"/>
    </row>
    <row r="2732" spans="6:9" x14ac:dyDescent="0.3">
      <c r="F2732" s="14"/>
      <c r="G2732" s="15"/>
      <c r="H2732" s="15"/>
      <c r="I2732" s="16"/>
    </row>
    <row r="2733" spans="6:9" x14ac:dyDescent="0.3">
      <c r="F2733" s="14"/>
      <c r="G2733" s="15"/>
      <c r="H2733" s="15"/>
      <c r="I2733" s="16"/>
    </row>
    <row r="2734" spans="6:9" x14ac:dyDescent="0.3">
      <c r="F2734" s="14"/>
      <c r="G2734" s="15"/>
      <c r="H2734" s="15"/>
      <c r="I2734" s="16"/>
    </row>
    <row r="2735" spans="6:9" x14ac:dyDescent="0.3">
      <c r="F2735" s="14"/>
      <c r="G2735" s="15"/>
      <c r="H2735" s="15"/>
      <c r="I2735" s="16"/>
    </row>
    <row r="2736" spans="6:9" x14ac:dyDescent="0.3">
      <c r="F2736" s="14"/>
      <c r="G2736" s="15"/>
      <c r="H2736" s="15"/>
      <c r="I2736" s="16"/>
    </row>
    <row r="2737" spans="6:9" x14ac:dyDescent="0.3">
      <c r="F2737" s="14"/>
      <c r="G2737" s="15"/>
      <c r="H2737" s="15"/>
      <c r="I2737" s="16"/>
    </row>
    <row r="2738" spans="6:9" x14ac:dyDescent="0.3">
      <c r="F2738" s="14"/>
      <c r="G2738" s="15"/>
      <c r="H2738" s="15"/>
      <c r="I2738" s="16"/>
    </row>
    <row r="2739" spans="6:9" x14ac:dyDescent="0.3">
      <c r="F2739" s="14"/>
      <c r="G2739" s="15"/>
      <c r="H2739" s="15"/>
      <c r="I2739" s="16"/>
    </row>
    <row r="2740" spans="6:9" x14ac:dyDescent="0.3">
      <c r="F2740" s="14"/>
      <c r="G2740" s="15"/>
      <c r="H2740" s="15"/>
      <c r="I2740" s="16"/>
    </row>
    <row r="2741" spans="6:9" x14ac:dyDescent="0.3">
      <c r="F2741" s="14"/>
      <c r="G2741" s="15"/>
      <c r="H2741" s="15"/>
      <c r="I2741" s="16"/>
    </row>
    <row r="2742" spans="6:9" x14ac:dyDescent="0.3">
      <c r="F2742" s="14"/>
      <c r="G2742" s="15"/>
      <c r="H2742" s="15"/>
      <c r="I2742" s="16"/>
    </row>
    <row r="2743" spans="6:9" x14ac:dyDescent="0.3">
      <c r="F2743" s="14"/>
      <c r="G2743" s="15"/>
      <c r="H2743" s="15"/>
      <c r="I2743" s="16"/>
    </row>
    <row r="2744" spans="6:9" x14ac:dyDescent="0.3">
      <c r="F2744" s="14"/>
      <c r="G2744" s="15"/>
      <c r="H2744" s="15"/>
      <c r="I2744" s="16"/>
    </row>
    <row r="2745" spans="6:9" x14ac:dyDescent="0.3">
      <c r="F2745" s="14"/>
      <c r="G2745" s="15"/>
      <c r="H2745" s="15"/>
      <c r="I2745" s="16"/>
    </row>
    <row r="2746" spans="6:9" x14ac:dyDescent="0.3">
      <c r="F2746" s="14"/>
      <c r="G2746" s="15"/>
      <c r="H2746" s="15"/>
      <c r="I2746" s="16"/>
    </row>
    <row r="2747" spans="6:9" x14ac:dyDescent="0.3">
      <c r="F2747" s="14"/>
      <c r="G2747" s="15"/>
      <c r="H2747" s="15"/>
      <c r="I2747" s="16"/>
    </row>
    <row r="2748" spans="6:9" x14ac:dyDescent="0.3">
      <c r="F2748" s="14"/>
      <c r="G2748" s="15"/>
      <c r="H2748" s="15"/>
      <c r="I2748" s="16"/>
    </row>
    <row r="2749" spans="6:9" x14ac:dyDescent="0.3">
      <c r="F2749" s="14"/>
      <c r="G2749" s="15"/>
      <c r="H2749" s="15"/>
      <c r="I2749" s="16"/>
    </row>
    <row r="2750" spans="6:9" x14ac:dyDescent="0.3">
      <c r="F2750" s="14"/>
      <c r="G2750" s="15"/>
      <c r="H2750" s="15"/>
      <c r="I2750" s="16"/>
    </row>
    <row r="2751" spans="6:9" x14ac:dyDescent="0.3">
      <c r="F2751" s="14"/>
      <c r="G2751" s="15"/>
      <c r="H2751" s="15"/>
      <c r="I2751" s="16"/>
    </row>
    <row r="2752" spans="6:9" x14ac:dyDescent="0.3">
      <c r="F2752" s="14"/>
      <c r="G2752" s="15"/>
      <c r="H2752" s="15"/>
      <c r="I2752" s="16"/>
    </row>
    <row r="2753" spans="6:9" x14ac:dyDescent="0.3">
      <c r="F2753" s="14"/>
      <c r="G2753" s="15"/>
      <c r="H2753" s="15"/>
      <c r="I2753" s="16"/>
    </row>
    <row r="2754" spans="6:9" x14ac:dyDescent="0.3">
      <c r="F2754" s="14"/>
      <c r="G2754" s="15"/>
      <c r="H2754" s="15"/>
      <c r="I2754" s="16"/>
    </row>
    <row r="2755" spans="6:9" x14ac:dyDescent="0.3">
      <c r="F2755" s="14"/>
      <c r="G2755" s="15"/>
      <c r="H2755" s="15"/>
      <c r="I2755" s="16"/>
    </row>
    <row r="2756" spans="6:9" x14ac:dyDescent="0.3">
      <c r="F2756" s="14"/>
      <c r="G2756" s="15"/>
      <c r="H2756" s="15"/>
      <c r="I2756" s="16"/>
    </row>
    <row r="2757" spans="6:9" x14ac:dyDescent="0.3">
      <c r="F2757" s="14"/>
      <c r="G2757" s="15"/>
      <c r="H2757" s="15"/>
      <c r="I2757" s="16"/>
    </row>
    <row r="2758" spans="6:9" x14ac:dyDescent="0.3">
      <c r="F2758" s="14"/>
      <c r="G2758" s="15"/>
      <c r="H2758" s="15"/>
      <c r="I2758" s="16"/>
    </row>
    <row r="2759" spans="6:9" x14ac:dyDescent="0.3">
      <c r="F2759" s="14"/>
      <c r="G2759" s="15"/>
      <c r="H2759" s="15"/>
      <c r="I2759" s="16"/>
    </row>
    <row r="2760" spans="6:9" x14ac:dyDescent="0.3">
      <c r="F2760" s="14"/>
      <c r="G2760" s="15"/>
      <c r="H2760" s="15"/>
      <c r="I2760" s="16"/>
    </row>
    <row r="2761" spans="6:9" x14ac:dyDescent="0.3">
      <c r="F2761" s="14"/>
      <c r="G2761" s="15"/>
      <c r="H2761" s="15"/>
      <c r="I2761" s="16"/>
    </row>
    <row r="2762" spans="6:9" x14ac:dyDescent="0.3">
      <c r="F2762" s="14"/>
      <c r="G2762" s="15"/>
      <c r="H2762" s="15"/>
      <c r="I2762" s="16"/>
    </row>
    <row r="2763" spans="6:9" x14ac:dyDescent="0.3">
      <c r="F2763" s="14"/>
      <c r="G2763" s="15"/>
      <c r="H2763" s="15"/>
      <c r="I2763" s="16"/>
    </row>
    <row r="2764" spans="6:9" x14ac:dyDescent="0.3">
      <c r="F2764" s="14"/>
      <c r="G2764" s="15"/>
      <c r="H2764" s="15"/>
      <c r="I2764" s="16"/>
    </row>
    <row r="2765" spans="6:9" x14ac:dyDescent="0.3">
      <c r="F2765" s="14"/>
      <c r="G2765" s="15"/>
      <c r="H2765" s="15"/>
      <c r="I2765" s="16"/>
    </row>
    <row r="2766" spans="6:9" x14ac:dyDescent="0.3">
      <c r="F2766" s="14"/>
      <c r="G2766" s="15"/>
      <c r="H2766" s="15"/>
      <c r="I2766" s="16"/>
    </row>
    <row r="2767" spans="6:9" x14ac:dyDescent="0.3">
      <c r="F2767" s="14"/>
      <c r="G2767" s="15"/>
      <c r="H2767" s="15"/>
      <c r="I2767" s="16"/>
    </row>
    <row r="2768" spans="6:9" x14ac:dyDescent="0.3">
      <c r="F2768" s="14"/>
      <c r="G2768" s="15"/>
      <c r="H2768" s="15"/>
      <c r="I2768" s="16"/>
    </row>
    <row r="2769" spans="6:9" x14ac:dyDescent="0.3">
      <c r="F2769" s="14"/>
      <c r="G2769" s="15"/>
      <c r="H2769" s="15"/>
      <c r="I2769" s="16"/>
    </row>
    <row r="2770" spans="6:9" x14ac:dyDescent="0.3">
      <c r="F2770" s="14"/>
      <c r="G2770" s="15"/>
      <c r="H2770" s="15"/>
      <c r="I2770" s="16"/>
    </row>
    <row r="2771" spans="6:9" x14ac:dyDescent="0.3">
      <c r="F2771" s="14"/>
      <c r="G2771" s="15"/>
      <c r="H2771" s="15"/>
      <c r="I2771" s="16"/>
    </row>
    <row r="2772" spans="6:9" x14ac:dyDescent="0.3">
      <c r="F2772" s="14"/>
      <c r="G2772" s="15"/>
      <c r="H2772" s="15"/>
      <c r="I2772" s="16"/>
    </row>
    <row r="2773" spans="6:9" x14ac:dyDescent="0.3">
      <c r="F2773" s="14"/>
      <c r="G2773" s="15"/>
      <c r="H2773" s="15"/>
      <c r="I2773" s="16"/>
    </row>
    <row r="2774" spans="6:9" x14ac:dyDescent="0.3">
      <c r="F2774" s="14"/>
      <c r="G2774" s="15"/>
      <c r="H2774" s="15"/>
      <c r="I2774" s="16"/>
    </row>
    <row r="2775" spans="6:9" x14ac:dyDescent="0.3">
      <c r="F2775" s="14"/>
      <c r="G2775" s="15"/>
      <c r="H2775" s="15"/>
      <c r="I2775" s="16"/>
    </row>
    <row r="2776" spans="6:9" x14ac:dyDescent="0.3">
      <c r="F2776" s="14"/>
      <c r="G2776" s="15"/>
      <c r="H2776" s="15"/>
      <c r="I2776" s="16"/>
    </row>
    <row r="2777" spans="6:9" x14ac:dyDescent="0.3">
      <c r="F2777" s="14"/>
      <c r="G2777" s="15"/>
      <c r="H2777" s="15"/>
      <c r="I2777" s="16"/>
    </row>
    <row r="2778" spans="6:9" x14ac:dyDescent="0.3">
      <c r="F2778" s="14"/>
      <c r="G2778" s="15"/>
      <c r="H2778" s="15"/>
      <c r="I2778" s="16"/>
    </row>
    <row r="2779" spans="6:9" x14ac:dyDescent="0.3">
      <c r="F2779" s="14"/>
      <c r="G2779" s="15"/>
      <c r="H2779" s="15"/>
      <c r="I2779" s="16"/>
    </row>
    <row r="2780" spans="6:9" x14ac:dyDescent="0.3">
      <c r="F2780" s="14"/>
      <c r="G2780" s="15"/>
      <c r="H2780" s="15"/>
      <c r="I2780" s="16"/>
    </row>
    <row r="2781" spans="6:9" x14ac:dyDescent="0.3">
      <c r="F2781" s="14"/>
      <c r="G2781" s="15"/>
      <c r="H2781" s="15"/>
      <c r="I2781" s="16"/>
    </row>
    <row r="2782" spans="6:9" x14ac:dyDescent="0.3">
      <c r="F2782" s="14"/>
      <c r="G2782" s="15"/>
      <c r="H2782" s="15"/>
      <c r="I2782" s="16"/>
    </row>
    <row r="2783" spans="6:9" x14ac:dyDescent="0.3">
      <c r="F2783" s="14"/>
      <c r="G2783" s="15"/>
      <c r="H2783" s="15"/>
      <c r="I2783" s="16"/>
    </row>
    <row r="2784" spans="6:9" x14ac:dyDescent="0.3">
      <c r="F2784" s="14"/>
      <c r="G2784" s="15"/>
      <c r="H2784" s="15"/>
      <c r="I2784" s="16"/>
    </row>
    <row r="2785" spans="6:9" x14ac:dyDescent="0.3">
      <c r="F2785" s="14"/>
      <c r="G2785" s="15"/>
      <c r="H2785" s="15"/>
      <c r="I2785" s="16"/>
    </row>
    <row r="2786" spans="6:9" x14ac:dyDescent="0.3">
      <c r="F2786" s="14"/>
      <c r="G2786" s="15"/>
      <c r="H2786" s="15"/>
      <c r="I2786" s="16"/>
    </row>
    <row r="2787" spans="6:9" x14ac:dyDescent="0.3">
      <c r="F2787" s="14"/>
      <c r="G2787" s="15"/>
      <c r="H2787" s="15"/>
      <c r="I2787" s="16"/>
    </row>
    <row r="2788" spans="6:9" x14ac:dyDescent="0.3">
      <c r="F2788" s="14"/>
      <c r="G2788" s="15"/>
      <c r="H2788" s="15"/>
      <c r="I2788" s="16"/>
    </row>
    <row r="2789" spans="6:9" x14ac:dyDescent="0.3">
      <c r="F2789" s="14"/>
      <c r="G2789" s="15"/>
      <c r="H2789" s="15"/>
      <c r="I2789" s="16"/>
    </row>
    <row r="2790" spans="6:9" x14ac:dyDescent="0.3">
      <c r="F2790" s="14"/>
      <c r="G2790" s="15"/>
      <c r="H2790" s="15"/>
      <c r="I2790" s="16"/>
    </row>
    <row r="2791" spans="6:9" x14ac:dyDescent="0.3">
      <c r="F2791" s="14"/>
      <c r="G2791" s="15"/>
      <c r="H2791" s="15"/>
      <c r="I2791" s="16"/>
    </row>
    <row r="2792" spans="6:9" x14ac:dyDescent="0.3">
      <c r="F2792" s="14"/>
      <c r="G2792" s="15"/>
      <c r="H2792" s="15"/>
      <c r="I2792" s="16"/>
    </row>
    <row r="2793" spans="6:9" x14ac:dyDescent="0.3">
      <c r="F2793" s="14"/>
      <c r="G2793" s="15"/>
      <c r="H2793" s="15"/>
      <c r="I2793" s="16"/>
    </row>
    <row r="2794" spans="6:9" x14ac:dyDescent="0.3">
      <c r="F2794" s="14"/>
      <c r="G2794" s="15"/>
      <c r="H2794" s="15"/>
      <c r="I2794" s="16"/>
    </row>
    <row r="2795" spans="6:9" x14ac:dyDescent="0.3">
      <c r="F2795" s="14"/>
      <c r="G2795" s="15"/>
      <c r="H2795" s="15"/>
      <c r="I2795" s="16"/>
    </row>
    <row r="2796" spans="6:9" x14ac:dyDescent="0.3">
      <c r="F2796" s="14"/>
      <c r="G2796" s="15"/>
      <c r="H2796" s="15"/>
      <c r="I2796" s="16"/>
    </row>
    <row r="2797" spans="6:9" x14ac:dyDescent="0.3">
      <c r="F2797" s="14"/>
      <c r="G2797" s="15"/>
      <c r="H2797" s="15"/>
      <c r="I2797" s="16"/>
    </row>
    <row r="2798" spans="6:9" x14ac:dyDescent="0.3">
      <c r="F2798" s="14"/>
      <c r="G2798" s="15"/>
      <c r="H2798" s="15"/>
      <c r="I2798" s="16"/>
    </row>
    <row r="2799" spans="6:9" x14ac:dyDescent="0.3">
      <c r="F2799" s="14"/>
      <c r="G2799" s="15"/>
      <c r="H2799" s="15"/>
      <c r="I2799" s="16"/>
    </row>
    <row r="2800" spans="6:9" x14ac:dyDescent="0.3">
      <c r="F2800" s="14"/>
      <c r="G2800" s="15"/>
      <c r="H2800" s="15"/>
      <c r="I2800" s="16"/>
    </row>
    <row r="2801" spans="6:9" x14ac:dyDescent="0.3">
      <c r="F2801" s="14"/>
      <c r="G2801" s="15"/>
      <c r="H2801" s="15"/>
      <c r="I2801" s="16"/>
    </row>
    <row r="2802" spans="6:9" x14ac:dyDescent="0.3">
      <c r="F2802" s="14"/>
      <c r="G2802" s="15"/>
      <c r="H2802" s="15"/>
      <c r="I2802" s="16"/>
    </row>
    <row r="2803" spans="6:9" x14ac:dyDescent="0.3">
      <c r="F2803" s="14"/>
      <c r="G2803" s="15"/>
      <c r="H2803" s="15"/>
      <c r="I2803" s="16"/>
    </row>
    <row r="2804" spans="6:9" x14ac:dyDescent="0.3">
      <c r="F2804" s="14"/>
      <c r="G2804" s="15"/>
      <c r="H2804" s="15"/>
      <c r="I2804" s="16"/>
    </row>
    <row r="2805" spans="6:9" x14ac:dyDescent="0.3">
      <c r="F2805" s="14"/>
      <c r="G2805" s="15"/>
      <c r="H2805" s="15"/>
      <c r="I2805" s="16"/>
    </row>
    <row r="2806" spans="6:9" x14ac:dyDescent="0.3">
      <c r="F2806" s="14"/>
      <c r="G2806" s="15"/>
      <c r="H2806" s="15"/>
      <c r="I2806" s="16"/>
    </row>
    <row r="2807" spans="6:9" x14ac:dyDescent="0.3">
      <c r="F2807" s="14"/>
      <c r="G2807" s="15"/>
      <c r="H2807" s="15"/>
      <c r="I2807" s="16"/>
    </row>
    <row r="2808" spans="6:9" x14ac:dyDescent="0.3">
      <c r="F2808" s="14"/>
      <c r="G2808" s="15"/>
      <c r="H2808" s="15"/>
      <c r="I2808" s="16"/>
    </row>
    <row r="2809" spans="6:9" x14ac:dyDescent="0.3">
      <c r="F2809" s="14"/>
      <c r="G2809" s="15"/>
      <c r="H2809" s="15"/>
      <c r="I2809" s="16"/>
    </row>
    <row r="2810" spans="6:9" x14ac:dyDescent="0.3">
      <c r="F2810" s="14"/>
      <c r="G2810" s="15"/>
      <c r="H2810" s="15"/>
      <c r="I2810" s="16"/>
    </row>
    <row r="2811" spans="6:9" x14ac:dyDescent="0.3">
      <c r="F2811" s="14"/>
      <c r="G2811" s="15"/>
      <c r="H2811" s="15"/>
      <c r="I2811" s="16"/>
    </row>
    <row r="2812" spans="6:9" x14ac:dyDescent="0.3">
      <c r="F2812" s="14"/>
      <c r="G2812" s="15"/>
      <c r="H2812" s="15"/>
      <c r="I2812" s="16"/>
    </row>
    <row r="2813" spans="6:9" x14ac:dyDescent="0.3">
      <c r="F2813" s="14"/>
      <c r="G2813" s="15"/>
      <c r="H2813" s="15"/>
      <c r="I2813" s="16"/>
    </row>
    <row r="2814" spans="6:9" x14ac:dyDescent="0.3">
      <c r="F2814" s="14"/>
      <c r="G2814" s="15"/>
      <c r="H2814" s="15"/>
      <c r="I2814" s="16"/>
    </row>
    <row r="2815" spans="6:9" x14ac:dyDescent="0.3">
      <c r="F2815" s="14"/>
      <c r="G2815" s="15"/>
      <c r="H2815" s="15"/>
      <c r="I2815" s="16"/>
    </row>
    <row r="2816" spans="6:9" x14ac:dyDescent="0.3">
      <c r="F2816" s="14"/>
      <c r="G2816" s="15"/>
      <c r="H2816" s="15"/>
      <c r="I2816" s="16"/>
    </row>
    <row r="2817" spans="6:9" x14ac:dyDescent="0.3">
      <c r="F2817" s="14"/>
      <c r="G2817" s="15"/>
      <c r="H2817" s="15"/>
      <c r="I2817" s="16"/>
    </row>
    <row r="2818" spans="6:9" x14ac:dyDescent="0.3">
      <c r="F2818" s="14"/>
      <c r="G2818" s="15"/>
      <c r="H2818" s="15"/>
      <c r="I2818" s="16"/>
    </row>
    <row r="2819" spans="6:9" x14ac:dyDescent="0.3">
      <c r="F2819" s="14"/>
      <c r="G2819" s="15"/>
      <c r="H2819" s="15"/>
      <c r="I2819" s="16"/>
    </row>
    <row r="2820" spans="6:9" x14ac:dyDescent="0.3">
      <c r="F2820" s="14"/>
      <c r="G2820" s="15"/>
      <c r="H2820" s="15"/>
      <c r="I2820" s="16"/>
    </row>
    <row r="2821" spans="6:9" x14ac:dyDescent="0.3">
      <c r="F2821" s="14"/>
      <c r="G2821" s="15"/>
      <c r="H2821" s="15"/>
      <c r="I2821" s="16"/>
    </row>
    <row r="2822" spans="6:9" x14ac:dyDescent="0.3">
      <c r="F2822" s="14"/>
      <c r="G2822" s="15"/>
      <c r="H2822" s="15"/>
      <c r="I2822" s="16"/>
    </row>
    <row r="2823" spans="6:9" x14ac:dyDescent="0.3">
      <c r="F2823" s="14"/>
      <c r="G2823" s="15"/>
      <c r="H2823" s="15"/>
      <c r="I2823" s="16"/>
    </row>
    <row r="2824" spans="6:9" x14ac:dyDescent="0.3">
      <c r="F2824" s="14"/>
      <c r="G2824" s="15"/>
      <c r="H2824" s="15"/>
      <c r="I2824" s="16"/>
    </row>
    <row r="2825" spans="6:9" x14ac:dyDescent="0.3">
      <c r="F2825" s="14"/>
      <c r="G2825" s="15"/>
      <c r="H2825" s="15"/>
      <c r="I2825" s="16"/>
    </row>
    <row r="2826" spans="6:9" x14ac:dyDescent="0.3">
      <c r="F2826" s="14"/>
      <c r="G2826" s="15"/>
      <c r="H2826" s="15"/>
      <c r="I2826" s="16"/>
    </row>
    <row r="2827" spans="6:9" x14ac:dyDescent="0.3">
      <c r="F2827" s="14"/>
      <c r="G2827" s="15"/>
      <c r="H2827" s="15"/>
      <c r="I2827" s="16"/>
    </row>
    <row r="2828" spans="6:9" x14ac:dyDescent="0.3">
      <c r="F2828" s="14"/>
      <c r="G2828" s="15"/>
      <c r="H2828" s="15"/>
      <c r="I2828" s="16"/>
    </row>
    <row r="2829" spans="6:9" x14ac:dyDescent="0.3">
      <c r="F2829" s="14"/>
      <c r="G2829" s="15"/>
      <c r="H2829" s="15"/>
      <c r="I2829" s="16"/>
    </row>
    <row r="2830" spans="6:9" x14ac:dyDescent="0.3">
      <c r="F2830" s="14"/>
      <c r="G2830" s="15"/>
      <c r="H2830" s="15"/>
      <c r="I2830" s="16"/>
    </row>
    <row r="2831" spans="6:9" x14ac:dyDescent="0.3">
      <c r="F2831" s="14"/>
      <c r="G2831" s="15"/>
      <c r="H2831" s="15"/>
      <c r="I2831" s="16"/>
    </row>
    <row r="2832" spans="6:9" x14ac:dyDescent="0.3">
      <c r="F2832" s="14"/>
      <c r="G2832" s="15"/>
      <c r="H2832" s="15"/>
      <c r="I2832" s="16"/>
    </row>
    <row r="2833" spans="6:9" x14ac:dyDescent="0.3">
      <c r="F2833" s="14"/>
      <c r="G2833" s="15"/>
      <c r="H2833" s="15"/>
      <c r="I2833" s="16"/>
    </row>
    <row r="2834" spans="6:9" x14ac:dyDescent="0.3">
      <c r="F2834" s="14"/>
      <c r="G2834" s="15"/>
      <c r="H2834" s="15"/>
      <c r="I2834" s="16"/>
    </row>
    <row r="2835" spans="6:9" x14ac:dyDescent="0.3">
      <c r="F2835" s="14"/>
      <c r="G2835" s="15"/>
      <c r="H2835" s="15"/>
      <c r="I2835" s="16"/>
    </row>
    <row r="2836" spans="6:9" x14ac:dyDescent="0.3">
      <c r="F2836" s="14"/>
      <c r="G2836" s="15"/>
      <c r="H2836" s="15"/>
      <c r="I2836" s="16"/>
    </row>
    <row r="2837" spans="6:9" x14ac:dyDescent="0.3">
      <c r="F2837" s="14"/>
      <c r="G2837" s="15"/>
      <c r="H2837" s="15"/>
      <c r="I2837" s="16"/>
    </row>
    <row r="2838" spans="6:9" x14ac:dyDescent="0.3">
      <c r="F2838" s="14"/>
      <c r="G2838" s="15"/>
      <c r="H2838" s="15"/>
      <c r="I2838" s="16"/>
    </row>
    <row r="2839" spans="6:9" x14ac:dyDescent="0.3">
      <c r="F2839" s="14"/>
      <c r="G2839" s="15"/>
      <c r="H2839" s="15"/>
      <c r="I2839" s="16"/>
    </row>
    <row r="2840" spans="6:9" x14ac:dyDescent="0.3">
      <c r="F2840" s="14"/>
      <c r="G2840" s="15"/>
      <c r="H2840" s="15"/>
      <c r="I2840" s="16"/>
    </row>
    <row r="2841" spans="6:9" x14ac:dyDescent="0.3">
      <c r="F2841" s="14"/>
      <c r="G2841" s="15"/>
      <c r="H2841" s="15"/>
      <c r="I2841" s="16"/>
    </row>
    <row r="2842" spans="6:9" x14ac:dyDescent="0.3">
      <c r="F2842" s="14"/>
      <c r="G2842" s="15"/>
      <c r="H2842" s="15"/>
      <c r="I2842" s="16"/>
    </row>
    <row r="2843" spans="6:9" x14ac:dyDescent="0.3">
      <c r="F2843" s="14"/>
      <c r="G2843" s="15"/>
      <c r="H2843" s="15"/>
      <c r="I2843" s="16"/>
    </row>
    <row r="2844" spans="6:9" x14ac:dyDescent="0.3">
      <c r="F2844" s="14"/>
      <c r="G2844" s="15"/>
      <c r="H2844" s="15"/>
      <c r="I2844" s="16"/>
    </row>
    <row r="2845" spans="6:9" x14ac:dyDescent="0.3">
      <c r="F2845" s="14"/>
      <c r="G2845" s="15"/>
      <c r="H2845" s="15"/>
      <c r="I2845" s="16"/>
    </row>
    <row r="2846" spans="6:9" x14ac:dyDescent="0.3">
      <c r="F2846" s="14"/>
      <c r="G2846" s="15"/>
      <c r="H2846" s="15"/>
      <c r="I2846" s="16"/>
    </row>
    <row r="2847" spans="6:9" x14ac:dyDescent="0.3">
      <c r="F2847" s="14"/>
      <c r="G2847" s="15"/>
      <c r="H2847" s="15"/>
      <c r="I2847" s="16"/>
    </row>
    <row r="2848" spans="6:9" x14ac:dyDescent="0.3">
      <c r="F2848" s="14"/>
      <c r="G2848" s="15"/>
      <c r="H2848" s="15"/>
      <c r="I2848" s="16"/>
    </row>
    <row r="2849" spans="6:9" x14ac:dyDescent="0.3">
      <c r="F2849" s="14"/>
      <c r="G2849" s="15"/>
      <c r="H2849" s="15"/>
      <c r="I2849" s="16"/>
    </row>
    <row r="2850" spans="6:9" x14ac:dyDescent="0.3">
      <c r="F2850" s="14"/>
      <c r="G2850" s="15"/>
      <c r="H2850" s="15"/>
      <c r="I2850" s="16"/>
    </row>
    <row r="2851" spans="6:9" x14ac:dyDescent="0.3">
      <c r="F2851" s="14"/>
      <c r="G2851" s="15"/>
      <c r="H2851" s="15"/>
      <c r="I2851" s="16"/>
    </row>
    <row r="2852" spans="6:9" x14ac:dyDescent="0.3">
      <c r="F2852" s="14"/>
      <c r="G2852" s="15"/>
      <c r="H2852" s="15"/>
      <c r="I2852" s="16"/>
    </row>
    <row r="2853" spans="6:9" x14ac:dyDescent="0.3">
      <c r="F2853" s="14"/>
      <c r="G2853" s="15"/>
      <c r="H2853" s="15"/>
      <c r="I2853" s="16"/>
    </row>
    <row r="2854" spans="6:9" x14ac:dyDescent="0.3">
      <c r="F2854" s="14"/>
      <c r="G2854" s="15"/>
      <c r="H2854" s="15"/>
      <c r="I2854" s="16"/>
    </row>
    <row r="2855" spans="6:9" x14ac:dyDescent="0.3">
      <c r="F2855" s="14"/>
      <c r="G2855" s="15"/>
      <c r="H2855" s="15"/>
      <c r="I2855" s="16"/>
    </row>
    <row r="2856" spans="6:9" x14ac:dyDescent="0.3">
      <c r="F2856" s="14"/>
      <c r="G2856" s="15"/>
      <c r="H2856" s="15"/>
      <c r="I2856" s="16"/>
    </row>
    <row r="2857" spans="6:9" x14ac:dyDescent="0.3">
      <c r="F2857" s="14"/>
      <c r="G2857" s="15"/>
      <c r="H2857" s="15"/>
      <c r="I2857" s="16"/>
    </row>
    <row r="2858" spans="6:9" x14ac:dyDescent="0.3">
      <c r="F2858" s="14"/>
      <c r="G2858" s="15"/>
      <c r="H2858" s="15"/>
      <c r="I2858" s="16"/>
    </row>
    <row r="2859" spans="6:9" x14ac:dyDescent="0.3">
      <c r="F2859" s="14"/>
      <c r="G2859" s="15"/>
      <c r="H2859" s="15"/>
      <c r="I2859" s="16"/>
    </row>
    <row r="2860" spans="6:9" x14ac:dyDescent="0.3">
      <c r="F2860" s="14"/>
      <c r="G2860" s="15"/>
      <c r="H2860" s="15"/>
      <c r="I2860" s="16"/>
    </row>
    <row r="2861" spans="6:9" x14ac:dyDescent="0.3">
      <c r="F2861" s="14"/>
      <c r="G2861" s="15"/>
      <c r="H2861" s="15"/>
      <c r="I2861" s="16"/>
    </row>
    <row r="2862" spans="6:9" x14ac:dyDescent="0.3">
      <c r="F2862" s="14"/>
      <c r="G2862" s="15"/>
      <c r="H2862" s="15"/>
      <c r="I2862" s="16"/>
    </row>
    <row r="2863" spans="6:9" x14ac:dyDescent="0.3">
      <c r="F2863" s="14"/>
      <c r="G2863" s="15"/>
      <c r="H2863" s="15"/>
      <c r="I2863" s="16"/>
    </row>
    <row r="2864" spans="6:9" x14ac:dyDescent="0.3">
      <c r="F2864" s="14"/>
      <c r="G2864" s="15"/>
      <c r="H2864" s="15"/>
      <c r="I2864" s="16"/>
    </row>
    <row r="2865" spans="6:9" x14ac:dyDescent="0.3">
      <c r="F2865" s="14"/>
      <c r="G2865" s="15"/>
      <c r="H2865" s="15"/>
      <c r="I2865" s="16"/>
    </row>
    <row r="2866" spans="6:9" x14ac:dyDescent="0.3">
      <c r="F2866" s="14"/>
      <c r="G2866" s="15"/>
      <c r="H2866" s="15"/>
      <c r="I2866" s="16"/>
    </row>
    <row r="2867" spans="6:9" x14ac:dyDescent="0.3">
      <c r="F2867" s="14"/>
      <c r="G2867" s="15"/>
      <c r="H2867" s="15"/>
      <c r="I2867" s="16"/>
    </row>
    <row r="2868" spans="6:9" x14ac:dyDescent="0.3">
      <c r="F2868" s="14"/>
      <c r="G2868" s="15"/>
      <c r="H2868" s="15"/>
      <c r="I2868" s="16"/>
    </row>
    <row r="2869" spans="6:9" x14ac:dyDescent="0.3">
      <c r="F2869" s="14"/>
      <c r="G2869" s="15"/>
      <c r="H2869" s="15"/>
      <c r="I2869" s="16"/>
    </row>
    <row r="2870" spans="6:9" x14ac:dyDescent="0.3">
      <c r="F2870" s="14"/>
      <c r="G2870" s="15"/>
      <c r="H2870" s="15"/>
      <c r="I2870" s="16"/>
    </row>
    <row r="2871" spans="6:9" x14ac:dyDescent="0.3">
      <c r="F2871" s="14"/>
      <c r="G2871" s="15"/>
      <c r="H2871" s="15"/>
      <c r="I2871" s="16"/>
    </row>
    <row r="2872" spans="6:9" x14ac:dyDescent="0.3">
      <c r="F2872" s="14"/>
      <c r="G2872" s="15"/>
      <c r="H2872" s="15"/>
      <c r="I2872" s="16"/>
    </row>
    <row r="2873" spans="6:9" x14ac:dyDescent="0.3">
      <c r="F2873" s="14"/>
      <c r="G2873" s="15"/>
      <c r="H2873" s="15"/>
      <c r="I2873" s="16"/>
    </row>
    <row r="2874" spans="6:9" x14ac:dyDescent="0.3">
      <c r="F2874" s="14"/>
      <c r="G2874" s="15"/>
      <c r="H2874" s="15"/>
      <c r="I2874" s="16"/>
    </row>
    <row r="2875" spans="6:9" x14ac:dyDescent="0.3">
      <c r="F2875" s="14"/>
      <c r="G2875" s="15"/>
      <c r="H2875" s="15"/>
      <c r="I2875" s="16"/>
    </row>
    <row r="2876" spans="6:9" x14ac:dyDescent="0.3">
      <c r="F2876" s="14"/>
      <c r="G2876" s="15"/>
      <c r="H2876" s="15"/>
      <c r="I2876" s="16"/>
    </row>
    <row r="2877" spans="6:9" x14ac:dyDescent="0.3">
      <c r="F2877" s="14"/>
      <c r="G2877" s="15"/>
      <c r="H2877" s="15"/>
      <c r="I2877" s="16"/>
    </row>
    <row r="2878" spans="6:9" x14ac:dyDescent="0.3">
      <c r="F2878" s="14"/>
      <c r="G2878" s="15"/>
      <c r="H2878" s="15"/>
      <c r="I2878" s="16"/>
    </row>
    <row r="2879" spans="6:9" x14ac:dyDescent="0.3">
      <c r="F2879" s="14"/>
      <c r="G2879" s="15"/>
      <c r="H2879" s="15"/>
      <c r="I2879" s="16"/>
    </row>
    <row r="2880" spans="6:9" x14ac:dyDescent="0.3">
      <c r="F2880" s="14"/>
      <c r="G2880" s="15"/>
      <c r="H2880" s="15"/>
      <c r="I2880" s="16"/>
    </row>
    <row r="2881" spans="6:9" x14ac:dyDescent="0.3">
      <c r="F2881" s="14"/>
      <c r="G2881" s="15"/>
      <c r="H2881" s="15"/>
      <c r="I2881" s="16"/>
    </row>
    <row r="2882" spans="6:9" x14ac:dyDescent="0.3">
      <c r="F2882" s="14"/>
      <c r="G2882" s="15"/>
      <c r="H2882" s="15"/>
      <c r="I2882" s="16"/>
    </row>
    <row r="2883" spans="6:9" x14ac:dyDescent="0.3">
      <c r="F2883" s="14"/>
      <c r="G2883" s="15"/>
      <c r="H2883" s="15"/>
      <c r="I2883" s="16"/>
    </row>
    <row r="2884" spans="6:9" x14ac:dyDescent="0.3">
      <c r="F2884" s="14"/>
      <c r="G2884" s="15"/>
      <c r="H2884" s="15"/>
      <c r="I2884" s="16"/>
    </row>
    <row r="2885" spans="6:9" x14ac:dyDescent="0.3">
      <c r="F2885" s="14"/>
      <c r="G2885" s="15"/>
      <c r="H2885" s="15"/>
      <c r="I2885" s="16"/>
    </row>
    <row r="2886" spans="6:9" x14ac:dyDescent="0.3">
      <c r="F2886" s="14"/>
      <c r="G2886" s="15"/>
      <c r="H2886" s="15"/>
      <c r="I2886" s="16"/>
    </row>
    <row r="2887" spans="6:9" x14ac:dyDescent="0.3">
      <c r="F2887" s="14"/>
      <c r="G2887" s="15"/>
      <c r="H2887" s="15"/>
      <c r="I2887" s="16"/>
    </row>
    <row r="2888" spans="6:9" x14ac:dyDescent="0.3">
      <c r="F2888" s="14"/>
      <c r="G2888" s="15"/>
      <c r="H2888" s="15"/>
      <c r="I2888" s="16"/>
    </row>
    <row r="2889" spans="6:9" x14ac:dyDescent="0.3">
      <c r="F2889" s="14"/>
      <c r="G2889" s="15"/>
      <c r="H2889" s="15"/>
      <c r="I2889" s="16"/>
    </row>
    <row r="2890" spans="6:9" x14ac:dyDescent="0.3">
      <c r="F2890" s="14"/>
      <c r="G2890" s="15"/>
      <c r="H2890" s="15"/>
      <c r="I2890" s="16"/>
    </row>
    <row r="2891" spans="6:9" x14ac:dyDescent="0.3">
      <c r="F2891" s="14"/>
      <c r="G2891" s="15"/>
      <c r="H2891" s="15"/>
      <c r="I2891" s="16"/>
    </row>
    <row r="2892" spans="6:9" x14ac:dyDescent="0.3">
      <c r="F2892" s="14"/>
      <c r="G2892" s="15"/>
      <c r="H2892" s="15"/>
      <c r="I2892" s="16"/>
    </row>
    <row r="2893" spans="6:9" x14ac:dyDescent="0.3">
      <c r="F2893" s="14"/>
      <c r="G2893" s="15"/>
      <c r="H2893" s="15"/>
      <c r="I2893" s="16"/>
    </row>
    <row r="2894" spans="6:9" x14ac:dyDescent="0.3">
      <c r="F2894" s="14"/>
      <c r="G2894" s="15"/>
      <c r="H2894" s="15"/>
      <c r="I2894" s="16"/>
    </row>
    <row r="2895" spans="6:9" x14ac:dyDescent="0.3">
      <c r="F2895" s="14"/>
      <c r="G2895" s="15"/>
      <c r="H2895" s="15"/>
      <c r="I2895" s="16"/>
    </row>
    <row r="2896" spans="6:9" x14ac:dyDescent="0.3">
      <c r="F2896" s="14"/>
      <c r="G2896" s="15"/>
      <c r="H2896" s="15"/>
      <c r="I2896" s="16"/>
    </row>
    <row r="2897" spans="6:9" x14ac:dyDescent="0.3">
      <c r="F2897" s="14"/>
      <c r="G2897" s="15"/>
      <c r="H2897" s="15"/>
      <c r="I2897" s="16"/>
    </row>
    <row r="2898" spans="6:9" x14ac:dyDescent="0.3">
      <c r="F2898" s="14"/>
      <c r="G2898" s="15"/>
      <c r="H2898" s="15"/>
      <c r="I2898" s="16"/>
    </row>
    <row r="2899" spans="6:9" x14ac:dyDescent="0.3">
      <c r="F2899" s="14"/>
      <c r="G2899" s="15"/>
      <c r="H2899" s="15"/>
      <c r="I2899" s="16"/>
    </row>
    <row r="2900" spans="6:9" x14ac:dyDescent="0.3">
      <c r="F2900" s="14"/>
      <c r="G2900" s="15"/>
      <c r="H2900" s="15"/>
      <c r="I2900" s="16"/>
    </row>
    <row r="2901" spans="6:9" x14ac:dyDescent="0.3">
      <c r="F2901" s="14"/>
      <c r="G2901" s="15"/>
      <c r="H2901" s="15"/>
      <c r="I2901" s="16"/>
    </row>
    <row r="2902" spans="6:9" x14ac:dyDescent="0.3">
      <c r="F2902" s="14"/>
      <c r="G2902" s="15"/>
      <c r="H2902" s="15"/>
      <c r="I2902" s="16"/>
    </row>
    <row r="2903" spans="6:9" x14ac:dyDescent="0.3">
      <c r="F2903" s="14"/>
      <c r="G2903" s="15"/>
      <c r="H2903" s="15"/>
      <c r="I2903" s="16"/>
    </row>
    <row r="2904" spans="6:9" x14ac:dyDescent="0.3">
      <c r="F2904" s="14"/>
      <c r="G2904" s="15"/>
      <c r="H2904" s="15"/>
      <c r="I2904" s="16"/>
    </row>
    <row r="2905" spans="6:9" x14ac:dyDescent="0.3">
      <c r="F2905" s="14"/>
      <c r="G2905" s="15"/>
      <c r="H2905" s="15"/>
      <c r="I2905" s="16"/>
    </row>
    <row r="2906" spans="6:9" x14ac:dyDescent="0.3">
      <c r="F2906" s="14"/>
      <c r="G2906" s="15"/>
      <c r="H2906" s="15"/>
      <c r="I2906" s="16"/>
    </row>
    <row r="2907" spans="6:9" x14ac:dyDescent="0.3">
      <c r="F2907" s="14"/>
      <c r="G2907" s="15"/>
      <c r="H2907" s="15"/>
      <c r="I2907" s="16"/>
    </row>
    <row r="2908" spans="6:9" x14ac:dyDescent="0.3">
      <c r="F2908" s="14"/>
      <c r="G2908" s="15"/>
      <c r="H2908" s="15"/>
      <c r="I2908" s="16"/>
    </row>
    <row r="2909" spans="6:9" x14ac:dyDescent="0.3">
      <c r="F2909" s="14"/>
      <c r="G2909" s="15"/>
      <c r="H2909" s="15"/>
      <c r="I2909" s="16"/>
    </row>
    <row r="2910" spans="6:9" x14ac:dyDescent="0.3">
      <c r="F2910" s="14"/>
      <c r="G2910" s="15"/>
      <c r="H2910" s="15"/>
      <c r="I2910" s="16"/>
    </row>
    <row r="2911" spans="6:9" x14ac:dyDescent="0.3">
      <c r="F2911" s="14"/>
      <c r="G2911" s="15"/>
      <c r="H2911" s="15"/>
      <c r="I2911" s="16"/>
    </row>
    <row r="2912" spans="6:9" x14ac:dyDescent="0.3">
      <c r="F2912" s="14"/>
      <c r="G2912" s="15"/>
      <c r="H2912" s="15"/>
      <c r="I2912" s="16"/>
    </row>
    <row r="2913" spans="6:9" x14ac:dyDescent="0.3">
      <c r="F2913" s="14"/>
      <c r="G2913" s="15"/>
      <c r="H2913" s="15"/>
      <c r="I2913" s="16"/>
    </row>
    <row r="2914" spans="6:9" x14ac:dyDescent="0.3">
      <c r="F2914" s="14"/>
      <c r="G2914" s="15"/>
      <c r="H2914" s="15"/>
      <c r="I2914" s="16"/>
    </row>
    <row r="2915" spans="6:9" x14ac:dyDescent="0.3">
      <c r="F2915" s="14"/>
      <c r="G2915" s="15"/>
      <c r="H2915" s="15"/>
      <c r="I2915" s="16"/>
    </row>
    <row r="2916" spans="6:9" x14ac:dyDescent="0.3">
      <c r="F2916" s="14"/>
      <c r="G2916" s="15"/>
      <c r="H2916" s="15"/>
      <c r="I2916" s="16"/>
    </row>
    <row r="2917" spans="6:9" x14ac:dyDescent="0.3">
      <c r="F2917" s="14"/>
      <c r="G2917" s="15"/>
      <c r="H2917" s="15"/>
      <c r="I2917" s="16"/>
    </row>
    <row r="2918" spans="6:9" x14ac:dyDescent="0.3">
      <c r="F2918" s="14"/>
      <c r="G2918" s="15"/>
      <c r="H2918" s="15"/>
      <c r="I2918" s="16"/>
    </row>
    <row r="2919" spans="6:9" x14ac:dyDescent="0.3">
      <c r="F2919" s="14"/>
      <c r="G2919" s="15"/>
      <c r="H2919" s="15"/>
      <c r="I2919" s="16"/>
    </row>
    <row r="2920" spans="6:9" x14ac:dyDescent="0.3">
      <c r="F2920" s="14"/>
      <c r="G2920" s="15"/>
      <c r="H2920" s="15"/>
      <c r="I2920" s="16"/>
    </row>
    <row r="2921" spans="6:9" x14ac:dyDescent="0.3">
      <c r="F2921" s="14"/>
      <c r="G2921" s="15"/>
      <c r="H2921" s="15"/>
      <c r="I2921" s="16"/>
    </row>
    <row r="2922" spans="6:9" x14ac:dyDescent="0.3">
      <c r="F2922" s="14"/>
      <c r="G2922" s="15"/>
      <c r="H2922" s="15"/>
      <c r="I2922" s="16"/>
    </row>
    <row r="2923" spans="6:9" x14ac:dyDescent="0.3">
      <c r="F2923" s="14"/>
      <c r="G2923" s="15"/>
      <c r="H2923" s="15"/>
      <c r="I2923" s="16"/>
    </row>
    <row r="2924" spans="6:9" x14ac:dyDescent="0.3">
      <c r="F2924" s="14"/>
      <c r="G2924" s="15"/>
      <c r="H2924" s="15"/>
      <c r="I2924" s="16"/>
    </row>
    <row r="2925" spans="6:9" x14ac:dyDescent="0.3">
      <c r="F2925" s="14"/>
      <c r="G2925" s="15"/>
      <c r="H2925" s="15"/>
      <c r="I2925" s="16"/>
    </row>
    <row r="2926" spans="6:9" x14ac:dyDescent="0.3">
      <c r="F2926" s="14"/>
      <c r="G2926" s="15"/>
      <c r="H2926" s="15"/>
      <c r="I2926" s="16"/>
    </row>
    <row r="2927" spans="6:9" x14ac:dyDescent="0.3">
      <c r="F2927" s="14"/>
      <c r="G2927" s="15"/>
      <c r="H2927" s="15"/>
      <c r="I2927" s="16"/>
    </row>
    <row r="2928" spans="6:9" x14ac:dyDescent="0.3">
      <c r="F2928" s="14"/>
      <c r="G2928" s="15"/>
      <c r="H2928" s="15"/>
      <c r="I2928" s="16"/>
    </row>
    <row r="2929" spans="6:9" x14ac:dyDescent="0.3">
      <c r="F2929" s="14"/>
      <c r="G2929" s="15"/>
      <c r="H2929" s="15"/>
      <c r="I2929" s="16"/>
    </row>
    <row r="2930" spans="6:9" x14ac:dyDescent="0.3">
      <c r="F2930" s="14"/>
      <c r="G2930" s="15"/>
      <c r="H2930" s="15"/>
      <c r="I2930" s="16"/>
    </row>
    <row r="2931" spans="6:9" x14ac:dyDescent="0.3">
      <c r="F2931" s="14"/>
      <c r="G2931" s="15"/>
      <c r="H2931" s="15"/>
      <c r="I2931" s="16"/>
    </row>
    <row r="2932" spans="6:9" x14ac:dyDescent="0.3">
      <c r="F2932" s="14"/>
      <c r="G2932" s="15"/>
      <c r="H2932" s="15"/>
      <c r="I2932" s="16"/>
    </row>
    <row r="2933" spans="6:9" x14ac:dyDescent="0.3">
      <c r="F2933" s="14"/>
      <c r="G2933" s="15"/>
      <c r="H2933" s="15"/>
      <c r="I2933" s="16"/>
    </row>
    <row r="2934" spans="6:9" x14ac:dyDescent="0.3">
      <c r="F2934" s="14"/>
      <c r="G2934" s="15"/>
      <c r="H2934" s="15"/>
      <c r="I2934" s="16"/>
    </row>
    <row r="2935" spans="6:9" x14ac:dyDescent="0.3">
      <c r="F2935" s="14"/>
      <c r="G2935" s="15"/>
      <c r="H2935" s="15"/>
      <c r="I2935" s="16"/>
    </row>
    <row r="2936" spans="6:9" x14ac:dyDescent="0.3">
      <c r="F2936" s="14"/>
      <c r="G2936" s="15"/>
      <c r="H2936" s="15"/>
      <c r="I2936" s="16"/>
    </row>
    <row r="2937" spans="6:9" x14ac:dyDescent="0.3">
      <c r="F2937" s="14"/>
      <c r="G2937" s="15"/>
      <c r="H2937" s="15"/>
      <c r="I2937" s="16"/>
    </row>
    <row r="2938" spans="6:9" x14ac:dyDescent="0.3">
      <c r="F2938" s="14"/>
      <c r="G2938" s="15"/>
      <c r="H2938" s="15"/>
      <c r="I2938" s="16"/>
    </row>
    <row r="2939" spans="6:9" x14ac:dyDescent="0.3">
      <c r="F2939" s="14"/>
      <c r="G2939" s="15"/>
      <c r="H2939" s="15"/>
      <c r="I2939" s="16"/>
    </row>
    <row r="2940" spans="6:9" x14ac:dyDescent="0.3">
      <c r="F2940" s="14"/>
      <c r="G2940" s="15"/>
      <c r="H2940" s="15"/>
      <c r="I2940" s="16"/>
    </row>
    <row r="2941" spans="6:9" x14ac:dyDescent="0.3">
      <c r="F2941" s="14"/>
      <c r="G2941" s="15"/>
      <c r="H2941" s="15"/>
      <c r="I2941" s="16"/>
    </row>
    <row r="2942" spans="6:9" x14ac:dyDescent="0.3">
      <c r="F2942" s="14"/>
      <c r="G2942" s="15"/>
      <c r="H2942" s="15"/>
      <c r="I2942" s="16"/>
    </row>
    <row r="2943" spans="6:9" x14ac:dyDescent="0.3">
      <c r="F2943" s="14"/>
      <c r="G2943" s="15"/>
      <c r="H2943" s="15"/>
      <c r="I2943" s="16"/>
    </row>
    <row r="2944" spans="6:9" x14ac:dyDescent="0.3">
      <c r="F2944" s="14"/>
      <c r="G2944" s="15"/>
      <c r="H2944" s="15"/>
      <c r="I2944" s="16"/>
    </row>
    <row r="2945" spans="6:9" x14ac:dyDescent="0.3">
      <c r="F2945" s="14"/>
      <c r="G2945" s="15"/>
      <c r="H2945" s="15"/>
      <c r="I2945" s="16"/>
    </row>
    <row r="2946" spans="6:9" x14ac:dyDescent="0.3">
      <c r="F2946" s="14"/>
      <c r="G2946" s="15"/>
      <c r="H2946" s="15"/>
      <c r="I2946" s="16"/>
    </row>
    <row r="2947" spans="6:9" x14ac:dyDescent="0.3">
      <c r="F2947" s="14"/>
      <c r="G2947" s="15"/>
      <c r="H2947" s="15"/>
      <c r="I2947" s="16"/>
    </row>
    <row r="2948" spans="6:9" x14ac:dyDescent="0.3">
      <c r="F2948" s="14"/>
      <c r="G2948" s="15"/>
      <c r="H2948" s="15"/>
      <c r="I2948" s="16"/>
    </row>
    <row r="2949" spans="6:9" x14ac:dyDescent="0.3">
      <c r="F2949" s="14"/>
      <c r="G2949" s="15"/>
      <c r="H2949" s="15"/>
      <c r="I2949" s="16"/>
    </row>
    <row r="2950" spans="6:9" x14ac:dyDescent="0.3">
      <c r="F2950" s="14"/>
      <c r="G2950" s="15"/>
      <c r="H2950" s="15"/>
      <c r="I2950" s="16"/>
    </row>
    <row r="2951" spans="6:9" x14ac:dyDescent="0.3">
      <c r="F2951" s="14"/>
      <c r="G2951" s="15"/>
      <c r="H2951" s="15"/>
      <c r="I2951" s="16"/>
    </row>
    <row r="2952" spans="6:9" x14ac:dyDescent="0.3">
      <c r="F2952" s="14"/>
      <c r="G2952" s="15"/>
      <c r="H2952" s="15"/>
      <c r="I2952" s="16"/>
    </row>
    <row r="2953" spans="6:9" x14ac:dyDescent="0.3">
      <c r="F2953" s="14"/>
      <c r="G2953" s="15"/>
      <c r="H2953" s="15"/>
      <c r="I2953" s="16"/>
    </row>
    <row r="2954" spans="6:9" x14ac:dyDescent="0.3">
      <c r="F2954" s="14"/>
      <c r="G2954" s="15"/>
      <c r="H2954" s="15"/>
      <c r="I2954" s="16"/>
    </row>
    <row r="2955" spans="6:9" x14ac:dyDescent="0.3">
      <c r="F2955" s="14"/>
      <c r="G2955" s="15"/>
      <c r="H2955" s="15"/>
      <c r="I2955" s="16"/>
    </row>
    <row r="2956" spans="6:9" x14ac:dyDescent="0.3">
      <c r="F2956" s="14"/>
      <c r="G2956" s="15"/>
      <c r="H2956" s="15"/>
      <c r="I2956" s="16"/>
    </row>
    <row r="2957" spans="6:9" x14ac:dyDescent="0.3">
      <c r="F2957" s="14"/>
      <c r="G2957" s="15"/>
      <c r="H2957" s="15"/>
      <c r="I2957" s="16"/>
    </row>
    <row r="2958" spans="6:9" x14ac:dyDescent="0.3">
      <c r="F2958" s="14"/>
      <c r="G2958" s="15"/>
      <c r="H2958" s="15"/>
      <c r="I2958" s="16"/>
    </row>
    <row r="2959" spans="6:9" x14ac:dyDescent="0.3">
      <c r="F2959" s="14"/>
      <c r="G2959" s="15"/>
      <c r="H2959" s="15"/>
      <c r="I2959" s="16"/>
    </row>
    <row r="2960" spans="6:9" x14ac:dyDescent="0.3">
      <c r="F2960" s="14"/>
      <c r="G2960" s="15"/>
      <c r="H2960" s="15"/>
      <c r="I2960" s="16"/>
    </row>
    <row r="2961" spans="6:9" x14ac:dyDescent="0.3">
      <c r="F2961" s="14"/>
      <c r="G2961" s="15"/>
      <c r="H2961" s="15"/>
      <c r="I2961" s="16"/>
    </row>
    <row r="2962" spans="6:9" x14ac:dyDescent="0.3">
      <c r="F2962" s="14"/>
      <c r="G2962" s="15"/>
      <c r="H2962" s="15"/>
      <c r="I2962" s="16"/>
    </row>
    <row r="2963" spans="6:9" x14ac:dyDescent="0.3">
      <c r="F2963" s="14"/>
      <c r="G2963" s="15"/>
      <c r="H2963" s="15"/>
      <c r="I2963" s="16"/>
    </row>
    <row r="2964" spans="6:9" x14ac:dyDescent="0.3">
      <c r="F2964" s="14"/>
      <c r="G2964" s="15"/>
      <c r="H2964" s="15"/>
      <c r="I2964" s="16"/>
    </row>
    <row r="2965" spans="6:9" x14ac:dyDescent="0.3">
      <c r="F2965" s="14"/>
      <c r="G2965" s="15"/>
      <c r="H2965" s="15"/>
      <c r="I2965" s="16"/>
    </row>
    <row r="2966" spans="6:9" x14ac:dyDescent="0.3">
      <c r="F2966" s="14"/>
      <c r="G2966" s="15"/>
      <c r="H2966" s="15"/>
      <c r="I2966" s="16"/>
    </row>
    <row r="2967" spans="6:9" x14ac:dyDescent="0.3">
      <c r="F2967" s="14"/>
      <c r="G2967" s="15"/>
      <c r="H2967" s="15"/>
      <c r="I2967" s="16"/>
    </row>
    <row r="2968" spans="6:9" x14ac:dyDescent="0.3">
      <c r="F2968" s="14"/>
      <c r="G2968" s="15"/>
      <c r="H2968" s="15"/>
      <c r="I2968" s="16"/>
    </row>
    <row r="2969" spans="6:9" x14ac:dyDescent="0.3">
      <c r="F2969" s="14"/>
      <c r="G2969" s="15"/>
      <c r="H2969" s="15"/>
      <c r="I2969" s="16"/>
    </row>
    <row r="2970" spans="6:9" x14ac:dyDescent="0.3">
      <c r="F2970" s="14"/>
      <c r="G2970" s="15"/>
      <c r="H2970" s="15"/>
      <c r="I2970" s="16"/>
    </row>
    <row r="2971" spans="6:9" x14ac:dyDescent="0.3">
      <c r="F2971" s="14"/>
      <c r="G2971" s="15"/>
      <c r="H2971" s="15"/>
      <c r="I2971" s="16"/>
    </row>
    <row r="2972" spans="6:9" x14ac:dyDescent="0.3">
      <c r="F2972" s="14"/>
      <c r="G2972" s="15"/>
      <c r="H2972" s="15"/>
      <c r="I2972" s="16"/>
    </row>
    <row r="2973" spans="6:9" x14ac:dyDescent="0.3">
      <c r="F2973" s="14"/>
      <c r="G2973" s="15"/>
      <c r="H2973" s="15"/>
      <c r="I2973" s="16"/>
    </row>
    <row r="2974" spans="6:9" x14ac:dyDescent="0.3">
      <c r="F2974" s="14"/>
      <c r="G2974" s="15"/>
      <c r="H2974" s="15"/>
      <c r="I2974" s="16"/>
    </row>
    <row r="2975" spans="6:9" x14ac:dyDescent="0.3">
      <c r="F2975" s="14"/>
      <c r="G2975" s="15"/>
      <c r="H2975" s="15"/>
      <c r="I2975" s="16"/>
    </row>
    <row r="2976" spans="6:9" x14ac:dyDescent="0.3">
      <c r="F2976" s="14"/>
      <c r="G2976" s="15"/>
      <c r="H2976" s="15"/>
      <c r="I2976" s="16"/>
    </row>
    <row r="2977" spans="6:9" x14ac:dyDescent="0.3">
      <c r="F2977" s="14"/>
      <c r="G2977" s="15"/>
      <c r="H2977" s="15"/>
      <c r="I2977" s="16"/>
    </row>
    <row r="2978" spans="6:9" x14ac:dyDescent="0.3">
      <c r="F2978" s="14"/>
      <c r="G2978" s="15"/>
      <c r="H2978" s="15"/>
      <c r="I2978" s="16"/>
    </row>
    <row r="2979" spans="6:9" x14ac:dyDescent="0.3">
      <c r="F2979" s="14"/>
      <c r="G2979" s="15"/>
      <c r="H2979" s="15"/>
      <c r="I2979" s="16"/>
    </row>
    <row r="2980" spans="6:9" x14ac:dyDescent="0.3">
      <c r="F2980" s="14"/>
      <c r="G2980" s="15"/>
      <c r="H2980" s="15"/>
      <c r="I2980" s="16"/>
    </row>
    <row r="2981" spans="6:9" x14ac:dyDescent="0.3">
      <c r="F2981" s="14"/>
      <c r="G2981" s="15"/>
      <c r="H2981" s="15"/>
      <c r="I2981" s="16"/>
    </row>
    <row r="2982" spans="6:9" x14ac:dyDescent="0.3">
      <c r="F2982" s="14"/>
      <c r="G2982" s="15"/>
      <c r="H2982" s="15"/>
      <c r="I2982" s="16"/>
    </row>
    <row r="2983" spans="6:9" x14ac:dyDescent="0.3">
      <c r="F2983" s="14"/>
      <c r="G2983" s="15"/>
      <c r="H2983" s="15"/>
      <c r="I2983" s="16"/>
    </row>
    <row r="2984" spans="6:9" x14ac:dyDescent="0.3">
      <c r="F2984" s="14"/>
      <c r="G2984" s="15"/>
      <c r="H2984" s="15"/>
      <c r="I2984" s="16"/>
    </row>
    <row r="2985" spans="6:9" x14ac:dyDescent="0.3">
      <c r="F2985" s="14"/>
      <c r="G2985" s="15"/>
      <c r="H2985" s="15"/>
      <c r="I2985" s="16"/>
    </row>
    <row r="2986" spans="6:9" x14ac:dyDescent="0.3">
      <c r="F2986" s="14"/>
      <c r="G2986" s="15"/>
      <c r="H2986" s="15"/>
      <c r="I2986" s="16"/>
    </row>
    <row r="2987" spans="6:9" x14ac:dyDescent="0.3">
      <c r="F2987" s="14"/>
      <c r="G2987" s="15"/>
      <c r="H2987" s="15"/>
      <c r="I2987" s="16"/>
    </row>
    <row r="2988" spans="6:9" x14ac:dyDescent="0.3">
      <c r="F2988" s="14"/>
      <c r="G2988" s="15"/>
      <c r="H2988" s="15"/>
      <c r="I2988" s="16"/>
    </row>
    <row r="2989" spans="6:9" x14ac:dyDescent="0.3">
      <c r="F2989" s="14"/>
      <c r="G2989" s="15"/>
      <c r="H2989" s="15"/>
      <c r="I2989" s="16"/>
    </row>
    <row r="2990" spans="6:9" x14ac:dyDescent="0.3">
      <c r="F2990" s="14"/>
      <c r="G2990" s="15"/>
      <c r="H2990" s="15"/>
      <c r="I2990" s="16"/>
    </row>
    <row r="2991" spans="6:9" x14ac:dyDescent="0.3">
      <c r="F2991" s="14"/>
      <c r="G2991" s="15"/>
      <c r="H2991" s="15"/>
      <c r="I2991" s="16"/>
    </row>
    <row r="2992" spans="6:9" x14ac:dyDescent="0.3">
      <c r="F2992" s="14"/>
      <c r="G2992" s="15"/>
      <c r="H2992" s="15"/>
      <c r="I2992" s="16"/>
    </row>
    <row r="2993" spans="6:9" x14ac:dyDescent="0.3">
      <c r="F2993" s="14"/>
      <c r="G2993" s="15"/>
      <c r="H2993" s="15"/>
      <c r="I2993" s="16"/>
    </row>
    <row r="2994" spans="6:9" x14ac:dyDescent="0.3">
      <c r="F2994" s="14"/>
      <c r="G2994" s="15"/>
      <c r="H2994" s="15"/>
      <c r="I2994" s="16"/>
    </row>
    <row r="2995" spans="6:9" x14ac:dyDescent="0.3">
      <c r="F2995" s="14"/>
      <c r="G2995" s="15"/>
      <c r="H2995" s="15"/>
      <c r="I2995" s="16"/>
    </row>
    <row r="2996" spans="6:9" x14ac:dyDescent="0.3">
      <c r="F2996" s="14"/>
      <c r="G2996" s="15"/>
      <c r="H2996" s="15"/>
      <c r="I2996" s="16"/>
    </row>
    <row r="2997" spans="6:9" x14ac:dyDescent="0.3">
      <c r="F2997" s="14"/>
      <c r="G2997" s="15"/>
      <c r="H2997" s="15"/>
      <c r="I2997" s="16"/>
    </row>
    <row r="2998" spans="6:9" x14ac:dyDescent="0.3">
      <c r="F2998" s="14"/>
      <c r="G2998" s="15"/>
      <c r="H2998" s="15"/>
      <c r="I2998" s="16"/>
    </row>
    <row r="2999" spans="6:9" x14ac:dyDescent="0.3">
      <c r="F2999" s="14"/>
      <c r="G2999" s="15"/>
      <c r="H2999" s="15"/>
      <c r="I2999" s="16"/>
    </row>
    <row r="3000" spans="6:9" x14ac:dyDescent="0.3">
      <c r="F3000" s="14"/>
      <c r="G3000" s="15"/>
      <c r="H3000" s="15"/>
      <c r="I3000" s="16"/>
    </row>
    <row r="3001" spans="6:9" x14ac:dyDescent="0.3">
      <c r="F3001" s="14"/>
      <c r="G3001" s="15"/>
      <c r="H3001" s="15"/>
      <c r="I3001" s="16"/>
    </row>
    <row r="3002" spans="6:9" x14ac:dyDescent="0.3">
      <c r="F3002" s="14"/>
      <c r="G3002" s="15"/>
      <c r="H3002" s="15"/>
      <c r="I3002" s="16"/>
    </row>
    <row r="3003" spans="6:9" x14ac:dyDescent="0.3">
      <c r="F3003" s="14"/>
      <c r="G3003" s="15"/>
      <c r="H3003" s="15"/>
      <c r="I3003" s="16"/>
    </row>
    <row r="3004" spans="6:9" x14ac:dyDescent="0.3">
      <c r="F3004" s="14"/>
      <c r="G3004" s="15"/>
      <c r="H3004" s="15"/>
      <c r="I3004" s="16"/>
    </row>
    <row r="3005" spans="6:9" x14ac:dyDescent="0.3">
      <c r="F3005" s="14"/>
      <c r="G3005" s="15"/>
      <c r="H3005" s="15"/>
      <c r="I3005" s="16"/>
    </row>
    <row r="3006" spans="6:9" x14ac:dyDescent="0.3">
      <c r="F3006" s="14"/>
      <c r="G3006" s="15"/>
      <c r="H3006" s="15"/>
      <c r="I3006" s="16"/>
    </row>
    <row r="3007" spans="6:9" x14ac:dyDescent="0.3">
      <c r="F3007" s="14"/>
      <c r="G3007" s="15"/>
      <c r="H3007" s="15"/>
      <c r="I3007" s="16"/>
    </row>
    <row r="3008" spans="6:9" x14ac:dyDescent="0.3">
      <c r="F3008" s="14"/>
      <c r="G3008" s="15"/>
      <c r="H3008" s="15"/>
      <c r="I3008" s="16"/>
    </row>
    <row r="3009" spans="6:9" x14ac:dyDescent="0.3">
      <c r="F3009" s="14"/>
      <c r="G3009" s="15"/>
      <c r="H3009" s="15"/>
      <c r="I3009" s="16"/>
    </row>
    <row r="3010" spans="6:9" x14ac:dyDescent="0.3">
      <c r="F3010" s="14"/>
      <c r="G3010" s="15"/>
      <c r="H3010" s="15"/>
      <c r="I3010" s="16"/>
    </row>
    <row r="3011" spans="6:9" x14ac:dyDescent="0.3">
      <c r="F3011" s="14"/>
      <c r="G3011" s="15"/>
      <c r="H3011" s="15"/>
      <c r="I3011" s="16"/>
    </row>
    <row r="3012" spans="6:9" x14ac:dyDescent="0.3">
      <c r="F3012" s="14"/>
      <c r="G3012" s="15"/>
      <c r="H3012" s="15"/>
      <c r="I3012" s="16"/>
    </row>
    <row r="3013" spans="6:9" x14ac:dyDescent="0.3">
      <c r="F3013" s="14"/>
      <c r="G3013" s="15"/>
      <c r="H3013" s="15"/>
      <c r="I3013" s="16"/>
    </row>
    <row r="3014" spans="6:9" x14ac:dyDescent="0.3">
      <c r="F3014" s="14"/>
      <c r="G3014" s="15"/>
      <c r="H3014" s="15"/>
      <c r="I3014" s="16"/>
    </row>
    <row r="3015" spans="6:9" x14ac:dyDescent="0.3">
      <c r="F3015" s="14"/>
      <c r="G3015" s="15"/>
      <c r="H3015" s="15"/>
      <c r="I3015" s="16"/>
    </row>
    <row r="3016" spans="6:9" x14ac:dyDescent="0.3">
      <c r="F3016" s="14"/>
      <c r="G3016" s="15"/>
      <c r="H3016" s="15"/>
      <c r="I3016" s="16"/>
    </row>
    <row r="3017" spans="6:9" x14ac:dyDescent="0.3">
      <c r="F3017" s="14"/>
      <c r="G3017" s="15"/>
      <c r="H3017" s="15"/>
      <c r="I3017" s="16"/>
    </row>
    <row r="3018" spans="6:9" x14ac:dyDescent="0.3">
      <c r="F3018" s="14"/>
      <c r="G3018" s="15"/>
      <c r="H3018" s="15"/>
      <c r="I3018" s="16"/>
    </row>
    <row r="3019" spans="6:9" x14ac:dyDescent="0.3">
      <c r="F3019" s="14"/>
      <c r="G3019" s="15"/>
      <c r="H3019" s="15"/>
      <c r="I3019" s="16"/>
    </row>
    <row r="3020" spans="6:9" x14ac:dyDescent="0.3">
      <c r="F3020" s="14"/>
      <c r="G3020" s="15"/>
      <c r="H3020" s="15"/>
      <c r="I3020" s="16"/>
    </row>
    <row r="3021" spans="6:9" x14ac:dyDescent="0.3">
      <c r="F3021" s="14"/>
      <c r="G3021" s="15"/>
      <c r="H3021" s="15"/>
      <c r="I3021" s="16"/>
    </row>
    <row r="3022" spans="6:9" x14ac:dyDescent="0.3">
      <c r="F3022" s="14"/>
      <c r="G3022" s="15"/>
      <c r="H3022" s="15"/>
      <c r="I3022" s="16"/>
    </row>
    <row r="3023" spans="6:9" x14ac:dyDescent="0.3">
      <c r="F3023" s="14"/>
      <c r="G3023" s="15"/>
      <c r="H3023" s="15"/>
      <c r="I3023" s="16"/>
    </row>
    <row r="3024" spans="6:9" x14ac:dyDescent="0.3">
      <c r="F3024" s="14"/>
      <c r="G3024" s="15"/>
      <c r="H3024" s="15"/>
      <c r="I3024" s="16"/>
    </row>
    <row r="3025" spans="6:9" x14ac:dyDescent="0.3">
      <c r="F3025" s="14"/>
      <c r="G3025" s="15"/>
      <c r="H3025" s="15"/>
      <c r="I3025" s="16"/>
    </row>
    <row r="3026" spans="6:9" x14ac:dyDescent="0.3">
      <c r="F3026" s="14"/>
      <c r="G3026" s="15"/>
      <c r="H3026" s="15"/>
      <c r="I3026" s="16"/>
    </row>
    <row r="3027" spans="6:9" x14ac:dyDescent="0.3">
      <c r="F3027" s="14"/>
      <c r="G3027" s="15"/>
      <c r="H3027" s="15"/>
      <c r="I3027" s="16"/>
    </row>
    <row r="3028" spans="6:9" x14ac:dyDescent="0.3">
      <c r="F3028" s="14"/>
      <c r="G3028" s="15"/>
      <c r="H3028" s="15"/>
      <c r="I3028" s="16"/>
    </row>
    <row r="3029" spans="6:9" x14ac:dyDescent="0.3">
      <c r="F3029" s="14"/>
      <c r="G3029" s="15"/>
      <c r="H3029" s="15"/>
      <c r="I3029" s="16"/>
    </row>
    <row r="3030" spans="6:9" x14ac:dyDescent="0.3">
      <c r="F3030" s="14"/>
      <c r="G3030" s="15"/>
      <c r="H3030" s="15"/>
      <c r="I3030" s="16"/>
    </row>
    <row r="3031" spans="6:9" x14ac:dyDescent="0.3">
      <c r="F3031" s="14"/>
      <c r="G3031" s="15"/>
      <c r="H3031" s="15"/>
      <c r="I3031" s="16"/>
    </row>
    <row r="3032" spans="6:9" x14ac:dyDescent="0.3">
      <c r="F3032" s="14"/>
      <c r="G3032" s="15"/>
      <c r="H3032" s="15"/>
      <c r="I3032" s="16"/>
    </row>
    <row r="3033" spans="6:9" x14ac:dyDescent="0.3">
      <c r="F3033" s="14"/>
      <c r="G3033" s="15"/>
      <c r="H3033" s="15"/>
      <c r="I3033" s="16"/>
    </row>
    <row r="3034" spans="6:9" x14ac:dyDescent="0.3">
      <c r="F3034" s="14"/>
      <c r="G3034" s="15"/>
      <c r="H3034" s="15"/>
      <c r="I3034" s="16"/>
    </row>
    <row r="3035" spans="6:9" x14ac:dyDescent="0.3">
      <c r="F3035" s="14"/>
      <c r="G3035" s="15"/>
      <c r="H3035" s="15"/>
      <c r="I3035" s="16"/>
    </row>
    <row r="3036" spans="6:9" x14ac:dyDescent="0.3">
      <c r="F3036" s="14"/>
      <c r="G3036" s="15"/>
      <c r="H3036" s="15"/>
      <c r="I3036" s="16"/>
    </row>
    <row r="3037" spans="6:9" x14ac:dyDescent="0.3">
      <c r="F3037" s="14"/>
      <c r="G3037" s="15"/>
      <c r="H3037" s="15"/>
      <c r="I3037" s="16"/>
    </row>
    <row r="3038" spans="6:9" x14ac:dyDescent="0.3">
      <c r="F3038" s="14"/>
      <c r="G3038" s="15"/>
      <c r="H3038" s="15"/>
      <c r="I3038" s="16"/>
    </row>
    <row r="3039" spans="6:9" x14ac:dyDescent="0.3">
      <c r="F3039" s="14"/>
      <c r="G3039" s="15"/>
      <c r="H3039" s="15"/>
      <c r="I3039" s="16"/>
    </row>
    <row r="3040" spans="6:9" x14ac:dyDescent="0.3">
      <c r="F3040" s="14"/>
      <c r="G3040" s="15"/>
      <c r="H3040" s="15"/>
      <c r="I3040" s="16"/>
    </row>
    <row r="3041" spans="6:9" x14ac:dyDescent="0.3">
      <c r="F3041" s="14"/>
      <c r="G3041" s="15"/>
      <c r="H3041" s="15"/>
      <c r="I3041" s="16"/>
    </row>
    <row r="3042" spans="6:9" x14ac:dyDescent="0.3">
      <c r="F3042" s="14"/>
      <c r="G3042" s="15"/>
      <c r="H3042" s="15"/>
      <c r="I3042" s="16"/>
    </row>
    <row r="3043" spans="6:9" x14ac:dyDescent="0.3">
      <c r="F3043" s="14"/>
      <c r="G3043" s="15"/>
      <c r="H3043" s="15"/>
      <c r="I3043" s="16"/>
    </row>
    <row r="3044" spans="6:9" x14ac:dyDescent="0.3">
      <c r="F3044" s="14"/>
      <c r="G3044" s="15"/>
      <c r="H3044" s="15"/>
      <c r="I3044" s="16"/>
    </row>
    <row r="3045" spans="6:9" x14ac:dyDescent="0.3">
      <c r="F3045" s="14"/>
      <c r="G3045" s="15"/>
      <c r="H3045" s="15"/>
      <c r="I3045" s="16"/>
    </row>
    <row r="3046" spans="6:9" x14ac:dyDescent="0.3">
      <c r="F3046" s="14"/>
      <c r="G3046" s="15"/>
      <c r="H3046" s="15"/>
      <c r="I3046" s="16"/>
    </row>
    <row r="3047" spans="6:9" x14ac:dyDescent="0.3">
      <c r="F3047" s="14"/>
      <c r="G3047" s="15"/>
      <c r="H3047" s="15"/>
      <c r="I3047" s="16"/>
    </row>
    <row r="3048" spans="6:9" x14ac:dyDescent="0.3">
      <c r="F3048" s="14"/>
      <c r="G3048" s="15"/>
      <c r="H3048" s="15"/>
      <c r="I3048" s="16"/>
    </row>
    <row r="3049" spans="6:9" x14ac:dyDescent="0.3">
      <c r="F3049" s="14"/>
      <c r="G3049" s="15"/>
      <c r="H3049" s="15"/>
      <c r="I3049" s="16"/>
    </row>
    <row r="3050" spans="6:9" x14ac:dyDescent="0.3">
      <c r="F3050" s="14"/>
      <c r="G3050" s="15"/>
      <c r="H3050" s="15"/>
      <c r="I3050" s="16"/>
    </row>
    <row r="3051" spans="6:9" x14ac:dyDescent="0.3">
      <c r="F3051" s="14"/>
      <c r="G3051" s="15"/>
      <c r="H3051" s="15"/>
      <c r="I3051" s="16"/>
    </row>
    <row r="3052" spans="6:9" x14ac:dyDescent="0.3">
      <c r="F3052" s="14"/>
      <c r="G3052" s="15"/>
      <c r="H3052" s="15"/>
      <c r="I3052" s="16"/>
    </row>
    <row r="3053" spans="6:9" x14ac:dyDescent="0.3">
      <c r="F3053" s="14"/>
      <c r="G3053" s="15"/>
      <c r="H3053" s="15"/>
      <c r="I3053" s="16"/>
    </row>
    <row r="3054" spans="6:9" x14ac:dyDescent="0.3">
      <c r="F3054" s="14"/>
      <c r="G3054" s="15"/>
      <c r="H3054" s="15"/>
      <c r="I3054" s="16"/>
    </row>
    <row r="3055" spans="6:9" x14ac:dyDescent="0.3">
      <c r="F3055" s="14"/>
      <c r="G3055" s="15"/>
      <c r="H3055" s="15"/>
      <c r="I3055" s="16"/>
    </row>
    <row r="3056" spans="6:9" x14ac:dyDescent="0.3">
      <c r="F3056" s="14"/>
      <c r="G3056" s="15"/>
      <c r="H3056" s="15"/>
      <c r="I3056" s="16"/>
    </row>
    <row r="3057" spans="6:9" x14ac:dyDescent="0.3">
      <c r="F3057" s="14"/>
      <c r="G3057" s="15"/>
      <c r="H3057" s="15"/>
      <c r="I3057" s="16"/>
    </row>
    <row r="3058" spans="6:9" x14ac:dyDescent="0.3">
      <c r="F3058" s="14"/>
      <c r="G3058" s="15"/>
      <c r="H3058" s="15"/>
      <c r="I3058" s="16"/>
    </row>
    <row r="3059" spans="6:9" x14ac:dyDescent="0.3">
      <c r="F3059" s="14"/>
      <c r="G3059" s="15"/>
      <c r="H3059" s="15"/>
      <c r="I3059" s="16"/>
    </row>
    <row r="3060" spans="6:9" x14ac:dyDescent="0.3">
      <c r="F3060" s="14"/>
      <c r="G3060" s="15"/>
      <c r="H3060" s="15"/>
      <c r="I3060" s="16"/>
    </row>
    <row r="3061" spans="6:9" x14ac:dyDescent="0.3">
      <c r="F3061" s="14"/>
      <c r="G3061" s="15"/>
      <c r="H3061" s="15"/>
      <c r="I3061" s="16"/>
    </row>
    <row r="3062" spans="6:9" x14ac:dyDescent="0.3">
      <c r="F3062" s="14"/>
      <c r="G3062" s="15"/>
      <c r="H3062" s="15"/>
      <c r="I3062" s="16"/>
    </row>
    <row r="3063" spans="6:9" x14ac:dyDescent="0.3">
      <c r="F3063" s="14"/>
      <c r="G3063" s="15"/>
      <c r="H3063" s="15"/>
      <c r="I3063" s="16"/>
    </row>
    <row r="3064" spans="6:9" x14ac:dyDescent="0.3">
      <c r="F3064" s="14"/>
      <c r="G3064" s="15"/>
      <c r="H3064" s="15"/>
      <c r="I3064" s="16"/>
    </row>
    <row r="3065" spans="6:9" x14ac:dyDescent="0.3">
      <c r="F3065" s="14"/>
      <c r="G3065" s="15"/>
      <c r="H3065" s="15"/>
      <c r="I3065" s="16"/>
    </row>
    <row r="3066" spans="6:9" x14ac:dyDescent="0.3">
      <c r="F3066" s="14"/>
      <c r="G3066" s="15"/>
      <c r="H3066" s="15"/>
      <c r="I3066" s="16"/>
    </row>
    <row r="3067" spans="6:9" x14ac:dyDescent="0.3">
      <c r="F3067" s="14"/>
      <c r="G3067" s="15"/>
      <c r="H3067" s="15"/>
      <c r="I3067" s="16"/>
    </row>
    <row r="3068" spans="6:9" x14ac:dyDescent="0.3">
      <c r="F3068" s="14"/>
      <c r="G3068" s="15"/>
      <c r="H3068" s="15"/>
      <c r="I3068" s="16"/>
    </row>
    <row r="3069" spans="6:9" x14ac:dyDescent="0.3">
      <c r="F3069" s="14"/>
      <c r="G3069" s="15"/>
      <c r="H3069" s="15"/>
      <c r="I3069" s="16"/>
    </row>
    <row r="3070" spans="6:9" x14ac:dyDescent="0.3">
      <c r="F3070" s="14"/>
      <c r="G3070" s="15"/>
      <c r="H3070" s="15"/>
      <c r="I3070" s="16"/>
    </row>
    <row r="3071" spans="6:9" x14ac:dyDescent="0.3">
      <c r="F3071" s="14"/>
      <c r="G3071" s="15"/>
      <c r="H3071" s="15"/>
      <c r="I3071" s="16"/>
    </row>
    <row r="3072" spans="6:9" x14ac:dyDescent="0.3">
      <c r="F3072" s="14"/>
      <c r="G3072" s="15"/>
      <c r="H3072" s="15"/>
      <c r="I3072" s="16"/>
    </row>
    <row r="3073" spans="6:9" x14ac:dyDescent="0.3">
      <c r="F3073" s="14"/>
      <c r="G3073" s="15"/>
      <c r="H3073" s="15"/>
      <c r="I3073" s="16"/>
    </row>
    <row r="3074" spans="6:9" x14ac:dyDescent="0.3">
      <c r="F3074" s="14"/>
      <c r="G3074" s="15"/>
      <c r="H3074" s="15"/>
      <c r="I3074" s="16"/>
    </row>
    <row r="3075" spans="6:9" x14ac:dyDescent="0.3">
      <c r="F3075" s="14"/>
      <c r="G3075" s="15"/>
      <c r="H3075" s="15"/>
      <c r="I3075" s="16"/>
    </row>
    <row r="3076" spans="6:9" x14ac:dyDescent="0.3">
      <c r="F3076" s="14"/>
      <c r="G3076" s="15"/>
      <c r="H3076" s="15"/>
      <c r="I3076" s="16"/>
    </row>
    <row r="3077" spans="6:9" x14ac:dyDescent="0.3">
      <c r="F3077" s="14"/>
      <c r="G3077" s="15"/>
      <c r="H3077" s="15"/>
      <c r="I3077" s="16"/>
    </row>
    <row r="3078" spans="6:9" x14ac:dyDescent="0.3">
      <c r="F3078" s="14"/>
      <c r="G3078" s="15"/>
      <c r="H3078" s="15"/>
      <c r="I3078" s="16"/>
    </row>
    <row r="3079" spans="6:9" x14ac:dyDescent="0.3">
      <c r="F3079" s="14"/>
      <c r="G3079" s="15"/>
      <c r="H3079" s="15"/>
      <c r="I3079" s="16"/>
    </row>
    <row r="3080" spans="6:9" x14ac:dyDescent="0.3">
      <c r="F3080" s="14"/>
      <c r="G3080" s="15"/>
      <c r="H3080" s="15"/>
      <c r="I3080" s="16"/>
    </row>
    <row r="3081" spans="6:9" x14ac:dyDescent="0.3">
      <c r="F3081" s="14"/>
      <c r="G3081" s="15"/>
      <c r="H3081" s="15"/>
      <c r="I3081" s="16"/>
    </row>
    <row r="3082" spans="6:9" x14ac:dyDescent="0.3">
      <c r="F3082" s="14"/>
      <c r="G3082" s="15"/>
      <c r="H3082" s="15"/>
      <c r="I3082" s="16"/>
    </row>
    <row r="3083" spans="6:9" x14ac:dyDescent="0.3">
      <c r="F3083" s="14"/>
      <c r="G3083" s="15"/>
      <c r="H3083" s="15"/>
      <c r="I3083" s="16"/>
    </row>
    <row r="3084" spans="6:9" x14ac:dyDescent="0.3">
      <c r="F3084" s="14"/>
      <c r="G3084" s="15"/>
      <c r="H3084" s="15"/>
      <c r="I3084" s="16"/>
    </row>
    <row r="3085" spans="6:9" x14ac:dyDescent="0.3">
      <c r="F3085" s="14"/>
      <c r="G3085" s="15"/>
      <c r="H3085" s="15"/>
      <c r="I3085" s="16"/>
    </row>
    <row r="3086" spans="6:9" x14ac:dyDescent="0.3">
      <c r="F3086" s="14"/>
      <c r="G3086" s="15"/>
      <c r="H3086" s="15"/>
      <c r="I3086" s="16"/>
    </row>
    <row r="3087" spans="6:9" x14ac:dyDescent="0.3">
      <c r="F3087" s="14"/>
      <c r="G3087" s="15"/>
      <c r="H3087" s="15"/>
      <c r="I3087" s="16"/>
    </row>
    <row r="3088" spans="6:9" x14ac:dyDescent="0.3">
      <c r="F3088" s="14"/>
      <c r="G3088" s="15"/>
      <c r="H3088" s="15"/>
      <c r="I3088" s="16"/>
    </row>
    <row r="3089" spans="6:9" x14ac:dyDescent="0.3">
      <c r="F3089" s="14"/>
      <c r="G3089" s="15"/>
      <c r="H3089" s="15"/>
      <c r="I3089" s="16"/>
    </row>
    <row r="3090" spans="6:9" x14ac:dyDescent="0.3">
      <c r="F3090" s="14"/>
      <c r="G3090" s="15"/>
      <c r="H3090" s="15"/>
      <c r="I3090" s="16"/>
    </row>
    <row r="3091" spans="6:9" x14ac:dyDescent="0.3">
      <c r="F3091" s="14"/>
      <c r="G3091" s="15"/>
      <c r="H3091" s="15"/>
      <c r="I3091" s="16"/>
    </row>
    <row r="3092" spans="6:9" x14ac:dyDescent="0.3">
      <c r="F3092" s="14"/>
      <c r="G3092" s="15"/>
      <c r="H3092" s="15"/>
      <c r="I3092" s="16"/>
    </row>
    <row r="3093" spans="6:9" x14ac:dyDescent="0.3">
      <c r="F3093" s="14"/>
      <c r="G3093" s="15"/>
      <c r="H3093" s="15"/>
      <c r="I3093" s="16"/>
    </row>
    <row r="3094" spans="6:9" x14ac:dyDescent="0.3">
      <c r="F3094" s="14"/>
      <c r="G3094" s="15"/>
      <c r="H3094" s="15"/>
      <c r="I3094" s="16"/>
    </row>
    <row r="3095" spans="6:9" x14ac:dyDescent="0.3">
      <c r="F3095" s="14"/>
      <c r="G3095" s="15"/>
      <c r="H3095" s="15"/>
      <c r="I3095" s="16"/>
    </row>
    <row r="3096" spans="6:9" x14ac:dyDescent="0.3">
      <c r="F3096" s="14"/>
      <c r="G3096" s="15"/>
      <c r="H3096" s="15"/>
      <c r="I3096" s="16"/>
    </row>
    <row r="3097" spans="6:9" x14ac:dyDescent="0.3">
      <c r="F3097" s="14"/>
      <c r="G3097" s="15"/>
      <c r="H3097" s="15"/>
      <c r="I3097" s="16"/>
    </row>
    <row r="3098" spans="6:9" x14ac:dyDescent="0.3">
      <c r="F3098" s="14"/>
      <c r="G3098" s="15"/>
      <c r="H3098" s="15"/>
      <c r="I3098" s="16"/>
    </row>
    <row r="3099" spans="6:9" x14ac:dyDescent="0.3">
      <c r="F3099" s="14"/>
      <c r="G3099" s="15"/>
      <c r="H3099" s="15"/>
      <c r="I3099" s="16"/>
    </row>
    <row r="3100" spans="6:9" x14ac:dyDescent="0.3">
      <c r="F3100" s="14"/>
      <c r="G3100" s="15"/>
      <c r="H3100" s="15"/>
      <c r="I3100" s="16"/>
    </row>
    <row r="3101" spans="6:9" x14ac:dyDescent="0.3">
      <c r="F3101" s="14"/>
      <c r="G3101" s="15"/>
      <c r="H3101" s="15"/>
      <c r="I3101" s="16"/>
    </row>
    <row r="3102" spans="6:9" x14ac:dyDescent="0.3">
      <c r="F3102" s="14"/>
      <c r="G3102" s="15"/>
      <c r="H3102" s="15"/>
      <c r="I3102" s="16"/>
    </row>
    <row r="3103" spans="6:9" x14ac:dyDescent="0.3">
      <c r="F3103" s="14"/>
      <c r="G3103" s="15"/>
      <c r="H3103" s="15"/>
      <c r="I3103" s="16"/>
    </row>
    <row r="3104" spans="6:9" x14ac:dyDescent="0.3">
      <c r="F3104" s="14"/>
      <c r="G3104" s="15"/>
      <c r="H3104" s="15"/>
      <c r="I3104" s="16"/>
    </row>
    <row r="3105" spans="6:9" x14ac:dyDescent="0.3">
      <c r="F3105" s="14"/>
      <c r="G3105" s="15"/>
      <c r="H3105" s="15"/>
      <c r="I3105" s="16"/>
    </row>
    <row r="3106" spans="6:9" x14ac:dyDescent="0.3">
      <c r="F3106" s="14"/>
      <c r="G3106" s="15"/>
      <c r="H3106" s="15"/>
      <c r="I3106" s="16"/>
    </row>
    <row r="3107" spans="6:9" x14ac:dyDescent="0.3">
      <c r="F3107" s="14"/>
      <c r="G3107" s="15"/>
      <c r="H3107" s="15"/>
      <c r="I3107" s="16"/>
    </row>
    <row r="3108" spans="6:9" x14ac:dyDescent="0.3">
      <c r="F3108" s="14"/>
      <c r="G3108" s="15"/>
      <c r="H3108" s="15"/>
      <c r="I3108" s="16"/>
    </row>
    <row r="3109" spans="6:9" x14ac:dyDescent="0.3">
      <c r="F3109" s="14"/>
      <c r="G3109" s="15"/>
      <c r="H3109" s="15"/>
      <c r="I3109" s="16"/>
    </row>
    <row r="3110" spans="6:9" x14ac:dyDescent="0.3">
      <c r="F3110" s="14"/>
      <c r="G3110" s="15"/>
      <c r="H3110" s="15"/>
      <c r="I3110" s="16"/>
    </row>
    <row r="3111" spans="6:9" x14ac:dyDescent="0.3">
      <c r="F3111" s="14"/>
      <c r="G3111" s="15"/>
      <c r="H3111" s="15"/>
      <c r="I3111" s="16"/>
    </row>
    <row r="3112" spans="6:9" x14ac:dyDescent="0.3">
      <c r="F3112" s="14"/>
      <c r="G3112" s="15"/>
      <c r="H3112" s="15"/>
      <c r="I3112" s="16"/>
    </row>
    <row r="3113" spans="6:9" x14ac:dyDescent="0.3">
      <c r="F3113" s="14"/>
      <c r="G3113" s="15"/>
      <c r="H3113" s="15"/>
      <c r="I3113" s="16"/>
    </row>
    <row r="3114" spans="6:9" x14ac:dyDescent="0.3">
      <c r="F3114" s="14"/>
      <c r="G3114" s="15"/>
      <c r="H3114" s="15"/>
      <c r="I3114" s="16"/>
    </row>
    <row r="3115" spans="6:9" x14ac:dyDescent="0.3">
      <c r="F3115" s="14"/>
      <c r="G3115" s="15"/>
      <c r="H3115" s="15"/>
      <c r="I3115" s="16"/>
    </row>
    <row r="3116" spans="6:9" x14ac:dyDescent="0.3">
      <c r="F3116" s="14"/>
      <c r="G3116" s="15"/>
      <c r="H3116" s="15"/>
      <c r="I3116" s="16"/>
    </row>
    <row r="3117" spans="6:9" x14ac:dyDescent="0.3">
      <c r="F3117" s="14"/>
      <c r="G3117" s="15"/>
      <c r="H3117" s="15"/>
      <c r="I3117" s="16"/>
    </row>
    <row r="3118" spans="6:9" x14ac:dyDescent="0.3">
      <c r="F3118" s="14"/>
      <c r="G3118" s="15"/>
      <c r="H3118" s="15"/>
      <c r="I3118" s="16"/>
    </row>
    <row r="3119" spans="6:9" x14ac:dyDescent="0.3">
      <c r="F3119" s="14"/>
      <c r="G3119" s="15"/>
      <c r="H3119" s="15"/>
      <c r="I3119" s="16"/>
    </row>
    <row r="3120" spans="6:9" x14ac:dyDescent="0.3">
      <c r="F3120" s="14"/>
      <c r="G3120" s="15"/>
      <c r="H3120" s="15"/>
      <c r="I3120" s="16"/>
    </row>
    <row r="3121" spans="6:9" x14ac:dyDescent="0.3">
      <c r="F3121" s="14"/>
      <c r="G3121" s="15"/>
      <c r="H3121" s="15"/>
      <c r="I3121" s="16"/>
    </row>
    <row r="3122" spans="6:9" x14ac:dyDescent="0.3">
      <c r="F3122" s="14"/>
      <c r="G3122" s="15"/>
      <c r="H3122" s="15"/>
      <c r="I3122" s="16"/>
    </row>
    <row r="3123" spans="6:9" x14ac:dyDescent="0.3">
      <c r="F3123" s="14"/>
      <c r="G3123" s="15"/>
      <c r="H3123" s="15"/>
      <c r="I3123" s="16"/>
    </row>
    <row r="3124" spans="6:9" x14ac:dyDescent="0.3">
      <c r="F3124" s="14"/>
      <c r="G3124" s="15"/>
      <c r="H3124" s="15"/>
      <c r="I3124" s="16"/>
    </row>
    <row r="3125" spans="6:9" x14ac:dyDescent="0.3">
      <c r="F3125" s="14"/>
      <c r="G3125" s="15"/>
      <c r="H3125" s="15"/>
      <c r="I3125" s="16"/>
    </row>
    <row r="3126" spans="6:9" x14ac:dyDescent="0.3">
      <c r="F3126" s="14"/>
      <c r="G3126" s="15"/>
      <c r="H3126" s="15"/>
      <c r="I3126" s="16"/>
    </row>
    <row r="3127" spans="6:9" x14ac:dyDescent="0.3">
      <c r="F3127" s="14"/>
      <c r="G3127" s="15"/>
      <c r="H3127" s="15"/>
      <c r="I3127" s="16"/>
    </row>
    <row r="3128" spans="6:9" x14ac:dyDescent="0.3">
      <c r="F3128" s="14"/>
      <c r="G3128" s="15"/>
      <c r="H3128" s="15"/>
      <c r="I3128" s="16"/>
    </row>
    <row r="3129" spans="6:9" x14ac:dyDescent="0.3">
      <c r="F3129" s="14"/>
      <c r="G3129" s="15"/>
      <c r="H3129" s="15"/>
      <c r="I3129" s="16"/>
    </row>
    <row r="3130" spans="6:9" x14ac:dyDescent="0.3">
      <c r="F3130" s="14"/>
      <c r="G3130" s="15"/>
      <c r="H3130" s="15"/>
      <c r="I3130" s="16"/>
    </row>
    <row r="3131" spans="6:9" x14ac:dyDescent="0.3">
      <c r="F3131" s="14"/>
      <c r="G3131" s="15"/>
      <c r="H3131" s="15"/>
      <c r="I3131" s="16"/>
    </row>
    <row r="3132" spans="6:9" x14ac:dyDescent="0.3">
      <c r="F3132" s="14"/>
      <c r="G3132" s="15"/>
      <c r="H3132" s="15"/>
      <c r="I3132" s="16"/>
    </row>
    <row r="3133" spans="6:9" x14ac:dyDescent="0.3">
      <c r="F3133" s="14"/>
      <c r="G3133" s="15"/>
      <c r="H3133" s="15"/>
      <c r="I3133" s="16"/>
    </row>
    <row r="3134" spans="6:9" x14ac:dyDescent="0.3">
      <c r="F3134" s="14"/>
      <c r="G3134" s="15"/>
      <c r="H3134" s="15"/>
      <c r="I3134" s="16"/>
    </row>
    <row r="3135" spans="6:9" x14ac:dyDescent="0.3">
      <c r="F3135" s="14"/>
      <c r="G3135" s="15"/>
      <c r="H3135" s="15"/>
      <c r="I3135" s="16"/>
    </row>
    <row r="3136" spans="6:9" x14ac:dyDescent="0.3">
      <c r="F3136" s="14"/>
      <c r="G3136" s="15"/>
      <c r="H3136" s="15"/>
      <c r="I3136" s="16"/>
    </row>
    <row r="3137" spans="6:9" x14ac:dyDescent="0.3">
      <c r="F3137" s="14"/>
      <c r="G3137" s="15"/>
      <c r="H3137" s="15"/>
      <c r="I3137" s="16"/>
    </row>
    <row r="3138" spans="6:9" x14ac:dyDescent="0.3">
      <c r="F3138" s="14"/>
      <c r="G3138" s="15"/>
      <c r="H3138" s="15"/>
      <c r="I3138" s="16"/>
    </row>
    <row r="3139" spans="6:9" x14ac:dyDescent="0.3">
      <c r="F3139" s="14"/>
      <c r="G3139" s="15"/>
      <c r="H3139" s="15"/>
      <c r="I3139" s="16"/>
    </row>
    <row r="3140" spans="6:9" x14ac:dyDescent="0.3">
      <c r="F3140" s="14"/>
      <c r="G3140" s="15"/>
      <c r="H3140" s="15"/>
      <c r="I3140" s="16"/>
    </row>
    <row r="3141" spans="6:9" x14ac:dyDescent="0.3">
      <c r="F3141" s="14"/>
      <c r="G3141" s="15"/>
      <c r="H3141" s="15"/>
      <c r="I3141" s="16"/>
    </row>
    <row r="3142" spans="6:9" x14ac:dyDescent="0.3">
      <c r="F3142" s="14"/>
      <c r="G3142" s="15"/>
      <c r="H3142" s="15"/>
      <c r="I3142" s="16"/>
    </row>
    <row r="3143" spans="6:9" x14ac:dyDescent="0.3">
      <c r="F3143" s="14"/>
      <c r="G3143" s="15"/>
      <c r="H3143" s="15"/>
      <c r="I3143" s="16"/>
    </row>
    <row r="3144" spans="6:9" x14ac:dyDescent="0.3">
      <c r="F3144" s="14"/>
      <c r="G3144" s="15"/>
      <c r="H3144" s="15"/>
      <c r="I3144" s="16"/>
    </row>
    <row r="3145" spans="6:9" x14ac:dyDescent="0.3">
      <c r="F3145" s="14"/>
      <c r="G3145" s="15"/>
      <c r="H3145" s="15"/>
      <c r="I3145" s="16"/>
    </row>
    <row r="3146" spans="6:9" x14ac:dyDescent="0.3">
      <c r="F3146" s="14"/>
      <c r="G3146" s="15"/>
      <c r="H3146" s="15"/>
      <c r="I3146" s="16"/>
    </row>
    <row r="3147" spans="6:9" x14ac:dyDescent="0.3">
      <c r="F3147" s="14"/>
      <c r="G3147" s="15"/>
      <c r="H3147" s="15"/>
      <c r="I3147" s="16"/>
    </row>
    <row r="3148" spans="6:9" x14ac:dyDescent="0.3">
      <c r="F3148" s="14"/>
      <c r="G3148" s="15"/>
      <c r="H3148" s="15"/>
      <c r="I3148" s="16"/>
    </row>
    <row r="3149" spans="6:9" x14ac:dyDescent="0.3">
      <c r="F3149" s="14"/>
      <c r="G3149" s="15"/>
      <c r="H3149" s="15"/>
      <c r="I3149" s="16"/>
    </row>
    <row r="3150" spans="6:9" x14ac:dyDescent="0.3">
      <c r="F3150" s="14"/>
      <c r="G3150" s="15"/>
      <c r="H3150" s="15"/>
      <c r="I3150" s="16"/>
    </row>
    <row r="3151" spans="6:9" x14ac:dyDescent="0.3">
      <c r="F3151" s="14"/>
      <c r="G3151" s="15"/>
      <c r="H3151" s="15"/>
      <c r="I3151" s="16"/>
    </row>
    <row r="3152" spans="6:9" x14ac:dyDescent="0.3">
      <c r="F3152" s="14"/>
      <c r="G3152" s="15"/>
      <c r="H3152" s="15"/>
      <c r="I3152" s="16"/>
    </row>
    <row r="3153" spans="6:9" x14ac:dyDescent="0.3">
      <c r="F3153" s="14"/>
      <c r="G3153" s="15"/>
      <c r="H3153" s="15"/>
      <c r="I3153" s="16"/>
    </row>
    <row r="3154" spans="6:9" x14ac:dyDescent="0.3">
      <c r="F3154" s="14"/>
      <c r="G3154" s="15"/>
      <c r="H3154" s="15"/>
      <c r="I3154" s="16"/>
    </row>
    <row r="3155" spans="6:9" x14ac:dyDescent="0.3">
      <c r="F3155" s="14"/>
      <c r="G3155" s="15"/>
      <c r="H3155" s="15"/>
      <c r="I3155" s="16"/>
    </row>
    <row r="3156" spans="6:9" x14ac:dyDescent="0.3">
      <c r="F3156" s="14"/>
      <c r="G3156" s="15"/>
      <c r="H3156" s="15"/>
      <c r="I3156" s="16"/>
    </row>
    <row r="3157" spans="6:9" x14ac:dyDescent="0.3">
      <c r="F3157" s="14"/>
      <c r="G3157" s="15"/>
      <c r="H3157" s="15"/>
      <c r="I3157" s="16"/>
    </row>
    <row r="3158" spans="6:9" x14ac:dyDescent="0.3">
      <c r="F3158" s="14"/>
      <c r="G3158" s="15"/>
      <c r="H3158" s="15"/>
      <c r="I3158" s="16"/>
    </row>
    <row r="3159" spans="6:9" x14ac:dyDescent="0.3">
      <c r="F3159" s="14"/>
      <c r="G3159" s="15"/>
      <c r="H3159" s="15"/>
      <c r="I3159" s="16"/>
    </row>
    <row r="3160" spans="6:9" x14ac:dyDescent="0.3">
      <c r="F3160" s="14"/>
      <c r="G3160" s="15"/>
      <c r="H3160" s="15"/>
      <c r="I3160" s="16"/>
    </row>
    <row r="3161" spans="6:9" x14ac:dyDescent="0.3">
      <c r="F3161" s="14"/>
      <c r="G3161" s="15"/>
      <c r="H3161" s="15"/>
      <c r="I3161" s="16"/>
    </row>
    <row r="3162" spans="6:9" x14ac:dyDescent="0.3">
      <c r="F3162" s="14"/>
      <c r="G3162" s="15"/>
      <c r="H3162" s="15"/>
      <c r="I3162" s="16"/>
    </row>
    <row r="3163" spans="6:9" x14ac:dyDescent="0.3">
      <c r="F3163" s="14"/>
      <c r="G3163" s="15"/>
      <c r="H3163" s="15"/>
      <c r="I3163" s="16"/>
    </row>
    <row r="3164" spans="6:9" x14ac:dyDescent="0.3">
      <c r="F3164" s="14"/>
      <c r="G3164" s="15"/>
      <c r="H3164" s="15"/>
      <c r="I3164" s="16"/>
    </row>
    <row r="3165" spans="6:9" x14ac:dyDescent="0.3">
      <c r="F3165" s="14"/>
      <c r="G3165" s="15"/>
      <c r="H3165" s="15"/>
      <c r="I3165" s="16"/>
    </row>
    <row r="3166" spans="6:9" x14ac:dyDescent="0.3">
      <c r="F3166" s="14"/>
      <c r="G3166" s="15"/>
      <c r="H3166" s="15"/>
      <c r="I3166" s="16"/>
    </row>
    <row r="3167" spans="6:9" x14ac:dyDescent="0.3">
      <c r="F3167" s="14"/>
      <c r="G3167" s="15"/>
      <c r="H3167" s="15"/>
      <c r="I3167" s="16"/>
    </row>
    <row r="3168" spans="6:9" x14ac:dyDescent="0.3">
      <c r="F3168" s="14"/>
      <c r="G3168" s="15"/>
      <c r="H3168" s="15"/>
      <c r="I3168" s="16"/>
    </row>
    <row r="3169" spans="6:9" x14ac:dyDescent="0.3">
      <c r="F3169" s="14"/>
      <c r="G3169" s="15"/>
      <c r="H3169" s="15"/>
      <c r="I3169" s="16"/>
    </row>
    <row r="3170" spans="6:9" x14ac:dyDescent="0.3">
      <c r="F3170" s="14"/>
      <c r="G3170" s="15"/>
      <c r="H3170" s="15"/>
      <c r="I3170" s="16"/>
    </row>
    <row r="3171" spans="6:9" x14ac:dyDescent="0.3">
      <c r="F3171" s="14"/>
      <c r="G3171" s="15"/>
      <c r="H3171" s="15"/>
      <c r="I3171" s="16"/>
    </row>
    <row r="3172" spans="6:9" x14ac:dyDescent="0.3">
      <c r="F3172" s="14"/>
      <c r="G3172" s="15"/>
      <c r="H3172" s="15"/>
      <c r="I3172" s="16"/>
    </row>
    <row r="3173" spans="6:9" x14ac:dyDescent="0.3">
      <c r="F3173" s="14"/>
      <c r="G3173" s="15"/>
      <c r="H3173" s="15"/>
      <c r="I3173" s="16"/>
    </row>
    <row r="3174" spans="6:9" x14ac:dyDescent="0.3">
      <c r="F3174" s="14"/>
      <c r="G3174" s="15"/>
      <c r="H3174" s="15"/>
      <c r="I3174" s="16"/>
    </row>
    <row r="3175" spans="6:9" x14ac:dyDescent="0.3">
      <c r="F3175" s="14"/>
      <c r="G3175" s="15"/>
      <c r="H3175" s="15"/>
      <c r="I3175" s="16"/>
    </row>
    <row r="3176" spans="6:9" x14ac:dyDescent="0.3">
      <c r="F3176" s="14"/>
      <c r="G3176" s="15"/>
      <c r="H3176" s="15"/>
      <c r="I3176" s="16"/>
    </row>
    <row r="3177" spans="6:9" x14ac:dyDescent="0.3">
      <c r="F3177" s="14"/>
      <c r="G3177" s="15"/>
      <c r="H3177" s="15"/>
      <c r="I3177" s="16"/>
    </row>
    <row r="3178" spans="6:9" x14ac:dyDescent="0.3">
      <c r="F3178" s="14"/>
      <c r="G3178" s="15"/>
      <c r="H3178" s="15"/>
      <c r="I3178" s="16"/>
    </row>
    <row r="3179" spans="6:9" x14ac:dyDescent="0.3">
      <c r="F3179" s="14"/>
      <c r="G3179" s="15"/>
      <c r="H3179" s="15"/>
      <c r="I3179" s="16"/>
    </row>
    <row r="3180" spans="6:9" x14ac:dyDescent="0.3">
      <c r="F3180" s="14"/>
      <c r="G3180" s="15"/>
      <c r="H3180" s="15"/>
      <c r="I3180" s="16"/>
    </row>
    <row r="3181" spans="6:9" x14ac:dyDescent="0.3">
      <c r="F3181" s="14"/>
      <c r="G3181" s="15"/>
      <c r="H3181" s="15"/>
      <c r="I3181" s="16"/>
    </row>
    <row r="3182" spans="6:9" x14ac:dyDescent="0.3">
      <c r="F3182" s="14"/>
      <c r="G3182" s="15"/>
      <c r="H3182" s="15"/>
      <c r="I3182" s="16"/>
    </row>
    <row r="3183" spans="6:9" x14ac:dyDescent="0.3">
      <c r="F3183" s="14"/>
      <c r="G3183" s="15"/>
      <c r="H3183" s="15"/>
      <c r="I3183" s="16"/>
    </row>
    <row r="3184" spans="6:9" x14ac:dyDescent="0.3">
      <c r="F3184" s="14"/>
      <c r="G3184" s="15"/>
      <c r="H3184" s="15"/>
      <c r="I3184" s="16"/>
    </row>
    <row r="3185" spans="6:9" x14ac:dyDescent="0.3">
      <c r="F3185" s="14"/>
      <c r="G3185" s="15"/>
      <c r="H3185" s="15"/>
      <c r="I3185" s="16"/>
    </row>
    <row r="3186" spans="6:9" x14ac:dyDescent="0.3">
      <c r="F3186" s="14"/>
      <c r="G3186" s="15"/>
      <c r="H3186" s="15"/>
      <c r="I3186" s="16"/>
    </row>
    <row r="3187" spans="6:9" x14ac:dyDescent="0.3">
      <c r="F3187" s="14"/>
      <c r="G3187" s="15"/>
      <c r="H3187" s="15"/>
      <c r="I3187" s="16"/>
    </row>
    <row r="3188" spans="6:9" x14ac:dyDescent="0.3">
      <c r="F3188" s="14"/>
      <c r="G3188" s="15"/>
      <c r="H3188" s="15"/>
      <c r="I3188" s="16"/>
    </row>
    <row r="3189" spans="6:9" x14ac:dyDescent="0.3">
      <c r="F3189" s="14"/>
      <c r="G3189" s="15"/>
      <c r="H3189" s="15"/>
      <c r="I3189" s="16"/>
    </row>
    <row r="3190" spans="6:9" x14ac:dyDescent="0.3">
      <c r="F3190" s="14"/>
      <c r="G3190" s="15"/>
      <c r="H3190" s="15"/>
      <c r="I3190" s="16"/>
    </row>
    <row r="3191" spans="6:9" x14ac:dyDescent="0.3">
      <c r="F3191" s="14"/>
      <c r="G3191" s="15"/>
      <c r="H3191" s="15"/>
      <c r="I3191" s="16"/>
    </row>
    <row r="3192" spans="6:9" x14ac:dyDescent="0.3">
      <c r="F3192" s="14"/>
      <c r="G3192" s="15"/>
      <c r="H3192" s="15"/>
      <c r="I3192" s="16"/>
    </row>
    <row r="3193" spans="6:9" x14ac:dyDescent="0.3">
      <c r="F3193" s="14"/>
      <c r="G3193" s="15"/>
      <c r="H3193" s="15"/>
      <c r="I3193" s="16"/>
    </row>
    <row r="3194" spans="6:9" x14ac:dyDescent="0.3">
      <c r="F3194" s="14"/>
      <c r="G3194" s="15"/>
      <c r="H3194" s="15"/>
      <c r="I3194" s="16"/>
    </row>
    <row r="3195" spans="6:9" x14ac:dyDescent="0.3">
      <c r="F3195" s="14"/>
      <c r="G3195" s="15"/>
      <c r="H3195" s="15"/>
      <c r="I3195" s="16"/>
    </row>
    <row r="3196" spans="6:9" x14ac:dyDescent="0.3">
      <c r="F3196" s="14"/>
      <c r="G3196" s="15"/>
      <c r="H3196" s="15"/>
      <c r="I3196" s="16"/>
    </row>
    <row r="3197" spans="6:9" x14ac:dyDescent="0.3">
      <c r="F3197" s="14"/>
      <c r="G3197" s="15"/>
      <c r="H3197" s="15"/>
      <c r="I3197" s="16"/>
    </row>
    <row r="3198" spans="6:9" x14ac:dyDescent="0.3">
      <c r="F3198" s="14"/>
      <c r="G3198" s="15"/>
      <c r="H3198" s="15"/>
      <c r="I3198" s="16"/>
    </row>
    <row r="3199" spans="6:9" x14ac:dyDescent="0.3">
      <c r="F3199" s="14"/>
      <c r="G3199" s="15"/>
      <c r="H3199" s="15"/>
      <c r="I3199" s="16"/>
    </row>
    <row r="3200" spans="6:9" x14ac:dyDescent="0.3">
      <c r="F3200" s="14"/>
      <c r="G3200" s="15"/>
      <c r="H3200" s="15"/>
      <c r="I3200" s="16"/>
    </row>
    <row r="3201" spans="6:9" x14ac:dyDescent="0.3">
      <c r="F3201" s="14"/>
      <c r="G3201" s="15"/>
      <c r="H3201" s="15"/>
      <c r="I3201" s="16"/>
    </row>
    <row r="3202" spans="6:9" x14ac:dyDescent="0.3">
      <c r="F3202" s="14"/>
      <c r="G3202" s="15"/>
      <c r="H3202" s="15"/>
      <c r="I3202" s="16"/>
    </row>
    <row r="3203" spans="6:9" x14ac:dyDescent="0.3">
      <c r="F3203" s="14"/>
      <c r="G3203" s="15"/>
      <c r="H3203" s="15"/>
      <c r="I3203" s="16"/>
    </row>
    <row r="3204" spans="6:9" x14ac:dyDescent="0.3">
      <c r="F3204" s="14"/>
      <c r="G3204" s="15"/>
      <c r="H3204" s="15"/>
      <c r="I3204" s="16"/>
    </row>
    <row r="3205" spans="6:9" x14ac:dyDescent="0.3">
      <c r="F3205" s="14"/>
      <c r="G3205" s="15"/>
      <c r="H3205" s="15"/>
      <c r="I3205" s="16"/>
    </row>
    <row r="3206" spans="6:9" x14ac:dyDescent="0.3">
      <c r="F3206" s="14"/>
      <c r="G3206" s="15"/>
      <c r="H3206" s="15"/>
      <c r="I3206" s="16"/>
    </row>
    <row r="3207" spans="6:9" x14ac:dyDescent="0.3">
      <c r="F3207" s="14"/>
      <c r="G3207" s="15"/>
      <c r="H3207" s="15"/>
      <c r="I3207" s="16"/>
    </row>
    <row r="3208" spans="6:9" x14ac:dyDescent="0.3">
      <c r="F3208" s="14"/>
      <c r="G3208" s="15"/>
      <c r="H3208" s="15"/>
      <c r="I3208" s="16"/>
    </row>
    <row r="3209" spans="6:9" x14ac:dyDescent="0.3">
      <c r="F3209" s="14"/>
      <c r="G3209" s="15"/>
      <c r="H3209" s="15"/>
      <c r="I3209" s="16"/>
    </row>
    <row r="3210" spans="6:9" x14ac:dyDescent="0.3">
      <c r="F3210" s="14"/>
      <c r="G3210" s="15"/>
      <c r="H3210" s="15"/>
      <c r="I3210" s="16"/>
    </row>
    <row r="3211" spans="6:9" x14ac:dyDescent="0.3">
      <c r="F3211" s="14"/>
      <c r="G3211" s="15"/>
      <c r="H3211" s="15"/>
      <c r="I3211" s="16"/>
    </row>
    <row r="3212" spans="6:9" x14ac:dyDescent="0.3">
      <c r="F3212" s="14"/>
      <c r="G3212" s="15"/>
      <c r="H3212" s="15"/>
      <c r="I3212" s="16"/>
    </row>
    <row r="3213" spans="6:9" x14ac:dyDescent="0.3">
      <c r="F3213" s="14"/>
      <c r="G3213" s="15"/>
      <c r="H3213" s="15"/>
      <c r="I3213" s="16"/>
    </row>
    <row r="3214" spans="6:9" x14ac:dyDescent="0.3">
      <c r="F3214" s="14"/>
      <c r="G3214" s="15"/>
      <c r="H3214" s="15"/>
      <c r="I3214" s="16"/>
    </row>
    <row r="3215" spans="6:9" x14ac:dyDescent="0.3">
      <c r="F3215" s="14"/>
      <c r="G3215" s="15"/>
      <c r="H3215" s="15"/>
      <c r="I3215" s="16"/>
    </row>
    <row r="3216" spans="6:9" x14ac:dyDescent="0.3">
      <c r="F3216" s="14"/>
      <c r="G3216" s="15"/>
      <c r="H3216" s="15"/>
      <c r="I3216" s="16"/>
    </row>
    <row r="3217" spans="6:9" x14ac:dyDescent="0.3">
      <c r="F3217" s="14"/>
      <c r="G3217" s="15"/>
      <c r="H3217" s="15"/>
      <c r="I3217" s="16"/>
    </row>
    <row r="3218" spans="6:9" x14ac:dyDescent="0.3">
      <c r="F3218" s="14"/>
      <c r="G3218" s="15"/>
      <c r="H3218" s="15"/>
      <c r="I3218" s="16"/>
    </row>
    <row r="3219" spans="6:9" x14ac:dyDescent="0.3">
      <c r="F3219" s="14"/>
      <c r="G3219" s="15"/>
      <c r="H3219" s="15"/>
      <c r="I3219" s="16"/>
    </row>
    <row r="3220" spans="6:9" x14ac:dyDescent="0.3">
      <c r="F3220" s="14"/>
      <c r="G3220" s="15"/>
      <c r="H3220" s="15"/>
      <c r="I3220" s="16"/>
    </row>
    <row r="3221" spans="6:9" x14ac:dyDescent="0.3">
      <c r="F3221" s="14"/>
      <c r="G3221" s="15"/>
      <c r="H3221" s="15"/>
      <c r="I3221" s="16"/>
    </row>
    <row r="3222" spans="6:9" x14ac:dyDescent="0.3">
      <c r="F3222" s="14"/>
      <c r="G3222" s="15"/>
      <c r="H3222" s="15"/>
      <c r="I3222" s="16"/>
    </row>
    <row r="3223" spans="6:9" x14ac:dyDescent="0.3">
      <c r="F3223" s="14"/>
      <c r="G3223" s="15"/>
      <c r="H3223" s="15"/>
      <c r="I3223" s="16"/>
    </row>
    <row r="3224" spans="6:9" x14ac:dyDescent="0.3">
      <c r="F3224" s="14"/>
      <c r="G3224" s="15"/>
      <c r="H3224" s="15"/>
      <c r="I3224" s="16"/>
    </row>
    <row r="3225" spans="6:9" x14ac:dyDescent="0.3">
      <c r="F3225" s="14"/>
      <c r="G3225" s="15"/>
      <c r="H3225" s="15"/>
      <c r="I3225" s="16"/>
    </row>
    <row r="3226" spans="6:9" x14ac:dyDescent="0.3">
      <c r="F3226" s="14"/>
      <c r="G3226" s="15"/>
      <c r="H3226" s="15"/>
      <c r="I3226" s="16"/>
    </row>
    <row r="3227" spans="6:9" x14ac:dyDescent="0.3">
      <c r="F3227" s="14"/>
      <c r="G3227" s="15"/>
      <c r="H3227" s="15"/>
      <c r="I3227" s="16"/>
    </row>
    <row r="3228" spans="6:9" x14ac:dyDescent="0.3">
      <c r="F3228" s="14"/>
      <c r="G3228" s="15"/>
      <c r="H3228" s="15"/>
      <c r="I3228" s="16"/>
    </row>
    <row r="3229" spans="6:9" x14ac:dyDescent="0.3">
      <c r="F3229" s="14"/>
      <c r="G3229" s="15"/>
      <c r="H3229" s="15"/>
      <c r="I3229" s="16"/>
    </row>
    <row r="3230" spans="6:9" x14ac:dyDescent="0.3">
      <c r="F3230" s="14"/>
      <c r="G3230" s="15"/>
      <c r="H3230" s="15"/>
      <c r="I3230" s="16"/>
    </row>
    <row r="3231" spans="6:9" x14ac:dyDescent="0.3">
      <c r="F3231" s="14"/>
      <c r="G3231" s="15"/>
      <c r="H3231" s="15"/>
      <c r="I3231" s="16"/>
    </row>
    <row r="3232" spans="6:9" x14ac:dyDescent="0.3">
      <c r="F3232" s="14"/>
      <c r="G3232" s="15"/>
      <c r="H3232" s="15"/>
      <c r="I3232" s="16"/>
    </row>
    <row r="3233" spans="6:9" x14ac:dyDescent="0.3">
      <c r="F3233" s="14"/>
      <c r="G3233" s="15"/>
      <c r="H3233" s="15"/>
      <c r="I3233" s="16"/>
    </row>
    <row r="3234" spans="6:9" x14ac:dyDescent="0.3">
      <c r="F3234" s="14"/>
      <c r="G3234" s="15"/>
      <c r="H3234" s="15"/>
      <c r="I3234" s="16"/>
    </row>
    <row r="3235" spans="6:9" x14ac:dyDescent="0.3">
      <c r="F3235" s="14"/>
      <c r="G3235" s="15"/>
      <c r="H3235" s="15"/>
      <c r="I3235" s="16"/>
    </row>
    <row r="3236" spans="6:9" x14ac:dyDescent="0.3">
      <c r="F3236" s="14"/>
      <c r="G3236" s="15"/>
      <c r="H3236" s="15"/>
      <c r="I3236" s="16"/>
    </row>
    <row r="3237" spans="6:9" x14ac:dyDescent="0.3">
      <c r="F3237" s="14"/>
      <c r="G3237" s="15"/>
      <c r="H3237" s="15"/>
      <c r="I3237" s="16"/>
    </row>
    <row r="3238" spans="6:9" x14ac:dyDescent="0.3">
      <c r="F3238" s="14"/>
      <c r="G3238" s="15"/>
      <c r="H3238" s="15"/>
      <c r="I3238" s="16"/>
    </row>
    <row r="3239" spans="6:9" x14ac:dyDescent="0.3">
      <c r="F3239" s="14"/>
      <c r="G3239" s="15"/>
      <c r="H3239" s="15"/>
      <c r="I3239" s="16"/>
    </row>
    <row r="3240" spans="6:9" x14ac:dyDescent="0.3">
      <c r="F3240" s="14"/>
      <c r="G3240" s="15"/>
      <c r="H3240" s="15"/>
      <c r="I3240" s="16"/>
    </row>
    <row r="3241" spans="6:9" x14ac:dyDescent="0.3">
      <c r="F3241" s="14"/>
      <c r="G3241" s="15"/>
      <c r="H3241" s="15"/>
      <c r="I3241" s="16"/>
    </row>
    <row r="3242" spans="6:9" x14ac:dyDescent="0.3">
      <c r="F3242" s="14"/>
      <c r="G3242" s="15"/>
      <c r="H3242" s="15"/>
      <c r="I3242" s="16"/>
    </row>
    <row r="3243" spans="6:9" x14ac:dyDescent="0.3">
      <c r="F3243" s="14"/>
      <c r="G3243" s="15"/>
      <c r="H3243" s="15"/>
      <c r="I3243" s="16"/>
    </row>
    <row r="3244" spans="6:9" x14ac:dyDescent="0.3">
      <c r="F3244" s="14"/>
      <c r="G3244" s="15"/>
      <c r="H3244" s="15"/>
      <c r="I3244" s="16"/>
    </row>
    <row r="3245" spans="6:9" x14ac:dyDescent="0.3">
      <c r="F3245" s="14"/>
      <c r="G3245" s="15"/>
      <c r="H3245" s="15"/>
      <c r="I3245" s="16"/>
    </row>
    <row r="3246" spans="6:9" x14ac:dyDescent="0.3">
      <c r="F3246" s="14"/>
      <c r="G3246" s="15"/>
      <c r="H3246" s="15"/>
      <c r="I3246" s="16"/>
    </row>
    <row r="3247" spans="6:9" x14ac:dyDescent="0.3">
      <c r="F3247" s="14"/>
      <c r="G3247" s="15"/>
      <c r="H3247" s="15"/>
      <c r="I3247" s="16"/>
    </row>
    <row r="3248" spans="6:9" x14ac:dyDescent="0.3">
      <c r="F3248" s="14"/>
      <c r="G3248" s="15"/>
      <c r="H3248" s="15"/>
      <c r="I3248" s="16"/>
    </row>
    <row r="3249" spans="6:9" x14ac:dyDescent="0.3">
      <c r="F3249" s="14"/>
      <c r="G3249" s="15"/>
      <c r="H3249" s="15"/>
      <c r="I3249" s="16"/>
    </row>
    <row r="3250" spans="6:9" x14ac:dyDescent="0.3">
      <c r="F3250" s="14"/>
      <c r="G3250" s="15"/>
      <c r="H3250" s="15"/>
      <c r="I3250" s="16"/>
    </row>
    <row r="3251" spans="6:9" x14ac:dyDescent="0.3">
      <c r="F3251" s="14"/>
      <c r="G3251" s="15"/>
      <c r="H3251" s="15"/>
      <c r="I3251" s="16"/>
    </row>
    <row r="3252" spans="6:9" x14ac:dyDescent="0.3">
      <c r="F3252" s="14"/>
      <c r="G3252" s="15"/>
      <c r="H3252" s="15"/>
      <c r="I3252" s="16"/>
    </row>
    <row r="3253" spans="6:9" x14ac:dyDescent="0.3">
      <c r="F3253" s="14"/>
      <c r="G3253" s="15"/>
      <c r="H3253" s="15"/>
      <c r="I3253" s="16"/>
    </row>
    <row r="3254" spans="6:9" x14ac:dyDescent="0.3">
      <c r="F3254" s="14"/>
      <c r="G3254" s="15"/>
      <c r="H3254" s="15"/>
      <c r="I3254" s="16"/>
    </row>
    <row r="3255" spans="6:9" x14ac:dyDescent="0.3">
      <c r="F3255" s="14"/>
      <c r="G3255" s="15"/>
      <c r="H3255" s="15"/>
      <c r="I3255" s="16"/>
    </row>
    <row r="3256" spans="6:9" x14ac:dyDescent="0.3">
      <c r="F3256" s="14"/>
      <c r="G3256" s="15"/>
      <c r="H3256" s="15"/>
      <c r="I3256" s="16"/>
    </row>
    <row r="3257" spans="6:9" x14ac:dyDescent="0.3">
      <c r="F3257" s="14"/>
      <c r="G3257" s="15"/>
      <c r="H3257" s="15"/>
      <c r="I3257" s="16"/>
    </row>
    <row r="3258" spans="6:9" x14ac:dyDescent="0.3">
      <c r="F3258" s="14"/>
      <c r="G3258" s="15"/>
      <c r="H3258" s="15"/>
      <c r="I3258" s="16"/>
    </row>
    <row r="3259" spans="6:9" x14ac:dyDescent="0.3">
      <c r="F3259" s="14"/>
      <c r="G3259" s="15"/>
      <c r="H3259" s="15"/>
      <c r="I3259" s="16"/>
    </row>
    <row r="3260" spans="6:9" x14ac:dyDescent="0.3">
      <c r="F3260" s="14"/>
      <c r="G3260" s="15"/>
      <c r="H3260" s="15"/>
      <c r="I3260" s="16"/>
    </row>
    <row r="3261" spans="6:9" x14ac:dyDescent="0.3">
      <c r="F3261" s="14"/>
      <c r="G3261" s="15"/>
      <c r="H3261" s="15"/>
      <c r="I3261" s="16"/>
    </row>
    <row r="3262" spans="6:9" x14ac:dyDescent="0.3">
      <c r="F3262" s="14"/>
      <c r="G3262" s="15"/>
      <c r="H3262" s="15"/>
      <c r="I3262" s="16"/>
    </row>
    <row r="3263" spans="6:9" x14ac:dyDescent="0.3">
      <c r="F3263" s="14"/>
      <c r="G3263" s="15"/>
      <c r="H3263" s="15"/>
      <c r="I3263" s="16"/>
    </row>
    <row r="3264" spans="6:9" x14ac:dyDescent="0.3">
      <c r="F3264" s="14"/>
      <c r="G3264" s="15"/>
      <c r="H3264" s="15"/>
      <c r="I3264" s="16"/>
    </row>
    <row r="3265" spans="6:9" x14ac:dyDescent="0.3">
      <c r="F3265" s="14"/>
      <c r="G3265" s="15"/>
      <c r="H3265" s="15"/>
      <c r="I3265" s="16"/>
    </row>
    <row r="3266" spans="6:9" x14ac:dyDescent="0.3">
      <c r="F3266" s="14"/>
      <c r="G3266" s="15"/>
      <c r="H3266" s="15"/>
      <c r="I3266" s="16"/>
    </row>
    <row r="3267" spans="6:9" x14ac:dyDescent="0.3">
      <c r="F3267" s="14"/>
      <c r="G3267" s="15"/>
      <c r="H3267" s="15"/>
      <c r="I3267" s="16"/>
    </row>
    <row r="3268" spans="6:9" x14ac:dyDescent="0.3">
      <c r="F3268" s="14"/>
      <c r="G3268" s="15"/>
      <c r="H3268" s="15"/>
      <c r="I3268" s="16"/>
    </row>
    <row r="3269" spans="6:9" x14ac:dyDescent="0.3">
      <c r="F3269" s="14"/>
      <c r="G3269" s="15"/>
      <c r="H3269" s="15"/>
      <c r="I3269" s="16"/>
    </row>
    <row r="3270" spans="6:9" x14ac:dyDescent="0.3">
      <c r="F3270" s="14"/>
      <c r="G3270" s="15"/>
      <c r="H3270" s="15"/>
      <c r="I3270" s="16"/>
    </row>
    <row r="3271" spans="6:9" x14ac:dyDescent="0.3">
      <c r="F3271" s="14"/>
      <c r="G3271" s="15"/>
      <c r="H3271" s="15"/>
      <c r="I3271" s="16"/>
    </row>
    <row r="3272" spans="6:9" x14ac:dyDescent="0.3">
      <c r="F3272" s="14"/>
      <c r="G3272" s="15"/>
      <c r="H3272" s="15"/>
      <c r="I3272" s="16"/>
    </row>
    <row r="3273" spans="6:9" x14ac:dyDescent="0.3">
      <c r="F3273" s="14"/>
      <c r="G3273" s="15"/>
      <c r="H3273" s="15"/>
      <c r="I3273" s="16"/>
    </row>
    <row r="3274" spans="6:9" x14ac:dyDescent="0.3">
      <c r="F3274" s="14"/>
      <c r="G3274" s="15"/>
      <c r="H3274" s="15"/>
      <c r="I3274" s="16"/>
    </row>
    <row r="3275" spans="6:9" x14ac:dyDescent="0.3">
      <c r="F3275" s="14"/>
      <c r="G3275" s="15"/>
      <c r="H3275" s="15"/>
      <c r="I3275" s="16"/>
    </row>
    <row r="3276" spans="6:9" x14ac:dyDescent="0.3">
      <c r="F3276" s="14"/>
      <c r="G3276" s="15"/>
      <c r="H3276" s="15"/>
      <c r="I3276" s="16"/>
    </row>
    <row r="3277" spans="6:9" x14ac:dyDescent="0.3">
      <c r="F3277" s="14"/>
      <c r="G3277" s="15"/>
      <c r="H3277" s="15"/>
      <c r="I3277" s="16"/>
    </row>
    <row r="3278" spans="6:9" x14ac:dyDescent="0.3">
      <c r="F3278" s="14"/>
      <c r="G3278" s="15"/>
      <c r="H3278" s="15"/>
      <c r="I3278" s="16"/>
    </row>
    <row r="3279" spans="6:9" x14ac:dyDescent="0.3">
      <c r="F3279" s="14"/>
      <c r="G3279" s="15"/>
      <c r="H3279" s="15"/>
      <c r="I3279" s="16"/>
    </row>
    <row r="3280" spans="6:9" x14ac:dyDescent="0.3">
      <c r="F3280" s="14"/>
      <c r="G3280" s="15"/>
      <c r="H3280" s="15"/>
      <c r="I3280" s="16"/>
    </row>
    <row r="3281" spans="6:9" x14ac:dyDescent="0.3">
      <c r="F3281" s="14"/>
      <c r="G3281" s="15"/>
      <c r="H3281" s="15"/>
      <c r="I3281" s="16"/>
    </row>
    <row r="3282" spans="6:9" x14ac:dyDescent="0.3">
      <c r="F3282" s="14"/>
      <c r="G3282" s="15"/>
      <c r="H3282" s="15"/>
      <c r="I3282" s="16"/>
    </row>
    <row r="3283" spans="6:9" x14ac:dyDescent="0.3">
      <c r="F3283" s="14"/>
      <c r="G3283" s="15"/>
      <c r="H3283" s="15"/>
      <c r="I3283" s="16"/>
    </row>
    <row r="3284" spans="6:9" x14ac:dyDescent="0.3">
      <c r="F3284" s="14"/>
      <c r="G3284" s="15"/>
      <c r="H3284" s="15"/>
      <c r="I3284" s="16"/>
    </row>
    <row r="3285" spans="6:9" x14ac:dyDescent="0.3">
      <c r="F3285" s="14"/>
      <c r="G3285" s="15"/>
      <c r="H3285" s="15"/>
      <c r="I3285" s="16"/>
    </row>
    <row r="3286" spans="6:9" x14ac:dyDescent="0.3">
      <c r="F3286" s="14"/>
      <c r="G3286" s="15"/>
      <c r="H3286" s="15"/>
      <c r="I3286" s="16"/>
    </row>
    <row r="3287" spans="6:9" x14ac:dyDescent="0.3">
      <c r="F3287" s="14"/>
      <c r="G3287" s="15"/>
      <c r="H3287" s="15"/>
      <c r="I3287" s="16"/>
    </row>
    <row r="3288" spans="6:9" x14ac:dyDescent="0.3">
      <c r="F3288" s="14"/>
      <c r="G3288" s="15"/>
      <c r="H3288" s="15"/>
      <c r="I3288" s="16"/>
    </row>
    <row r="3289" spans="6:9" x14ac:dyDescent="0.3">
      <c r="F3289" s="14"/>
      <c r="G3289" s="15"/>
      <c r="H3289" s="15"/>
      <c r="I3289" s="16"/>
    </row>
    <row r="3290" spans="6:9" x14ac:dyDescent="0.3">
      <c r="F3290" s="14"/>
      <c r="G3290" s="15"/>
      <c r="H3290" s="15"/>
      <c r="I3290" s="16"/>
    </row>
    <row r="3291" spans="6:9" x14ac:dyDescent="0.3">
      <c r="F3291" s="14"/>
      <c r="G3291" s="15"/>
      <c r="H3291" s="15"/>
      <c r="I3291" s="16"/>
    </row>
    <row r="3292" spans="6:9" x14ac:dyDescent="0.3">
      <c r="F3292" s="14"/>
      <c r="G3292" s="15"/>
      <c r="H3292" s="15"/>
      <c r="I3292" s="16"/>
    </row>
    <row r="3293" spans="6:9" x14ac:dyDescent="0.3">
      <c r="F3293" s="14"/>
      <c r="G3293" s="15"/>
      <c r="H3293" s="15"/>
      <c r="I3293" s="16"/>
    </row>
    <row r="3294" spans="6:9" x14ac:dyDescent="0.3">
      <c r="F3294" s="14"/>
      <c r="G3294" s="15"/>
      <c r="H3294" s="15"/>
      <c r="I3294" s="16"/>
    </row>
    <row r="3295" spans="6:9" x14ac:dyDescent="0.3">
      <c r="F3295" s="14"/>
      <c r="G3295" s="15"/>
      <c r="H3295" s="15"/>
      <c r="I3295" s="16"/>
    </row>
    <row r="3296" spans="6:9" x14ac:dyDescent="0.3">
      <c r="F3296" s="14"/>
      <c r="G3296" s="15"/>
      <c r="H3296" s="15"/>
      <c r="I3296" s="16"/>
    </row>
    <row r="3297" spans="6:9" x14ac:dyDescent="0.3">
      <c r="F3297" s="14"/>
      <c r="G3297" s="15"/>
      <c r="H3297" s="15"/>
      <c r="I3297" s="16"/>
    </row>
    <row r="3298" spans="6:9" x14ac:dyDescent="0.3">
      <c r="F3298" s="14"/>
      <c r="G3298" s="15"/>
      <c r="H3298" s="15"/>
      <c r="I3298" s="16"/>
    </row>
    <row r="3299" spans="6:9" x14ac:dyDescent="0.3">
      <c r="F3299" s="14"/>
      <c r="G3299" s="15"/>
      <c r="H3299" s="15"/>
      <c r="I3299" s="16"/>
    </row>
    <row r="3300" spans="6:9" x14ac:dyDescent="0.3">
      <c r="F3300" s="14"/>
      <c r="G3300" s="15"/>
      <c r="H3300" s="15"/>
      <c r="I3300" s="16"/>
    </row>
    <row r="3301" spans="6:9" x14ac:dyDescent="0.3">
      <c r="F3301" s="14"/>
      <c r="G3301" s="15"/>
      <c r="H3301" s="15"/>
      <c r="I3301" s="16"/>
    </row>
    <row r="3302" spans="6:9" x14ac:dyDescent="0.3">
      <c r="F3302" s="14"/>
      <c r="G3302" s="15"/>
      <c r="H3302" s="15"/>
      <c r="I3302" s="16"/>
    </row>
    <row r="3303" spans="6:9" x14ac:dyDescent="0.3">
      <c r="F3303" s="14"/>
      <c r="G3303" s="15"/>
      <c r="H3303" s="15"/>
      <c r="I3303" s="16"/>
    </row>
    <row r="3304" spans="6:9" x14ac:dyDescent="0.3">
      <c r="F3304" s="14"/>
      <c r="G3304" s="15"/>
      <c r="H3304" s="15"/>
      <c r="I3304" s="16"/>
    </row>
    <row r="3305" spans="6:9" x14ac:dyDescent="0.3">
      <c r="F3305" s="14"/>
      <c r="G3305" s="15"/>
      <c r="H3305" s="15"/>
      <c r="I3305" s="16"/>
    </row>
    <row r="3306" spans="6:9" x14ac:dyDescent="0.3">
      <c r="F3306" s="14"/>
      <c r="G3306" s="15"/>
      <c r="H3306" s="15"/>
      <c r="I3306" s="16"/>
    </row>
    <row r="3307" spans="6:9" x14ac:dyDescent="0.3">
      <c r="F3307" s="14"/>
      <c r="G3307" s="15"/>
      <c r="H3307" s="15"/>
      <c r="I3307" s="16"/>
    </row>
    <row r="3308" spans="6:9" x14ac:dyDescent="0.3">
      <c r="F3308" s="14"/>
      <c r="G3308" s="15"/>
      <c r="H3308" s="15"/>
      <c r="I3308" s="16"/>
    </row>
    <row r="3309" spans="6:9" x14ac:dyDescent="0.3">
      <c r="F3309" s="14"/>
      <c r="G3309" s="15"/>
      <c r="H3309" s="15"/>
      <c r="I3309" s="16"/>
    </row>
    <row r="3310" spans="6:9" x14ac:dyDescent="0.3">
      <c r="F3310" s="14"/>
      <c r="G3310" s="15"/>
      <c r="H3310" s="15"/>
      <c r="I3310" s="16"/>
    </row>
    <row r="3311" spans="6:9" x14ac:dyDescent="0.3">
      <c r="F3311" s="14"/>
      <c r="G3311" s="15"/>
      <c r="H3311" s="15"/>
      <c r="I3311" s="16"/>
    </row>
    <row r="3312" spans="6:9" x14ac:dyDescent="0.3">
      <c r="F3312" s="14"/>
      <c r="G3312" s="15"/>
      <c r="H3312" s="15"/>
      <c r="I3312" s="16"/>
    </row>
    <row r="3313" spans="6:9" x14ac:dyDescent="0.3">
      <c r="F3313" s="14"/>
      <c r="G3313" s="15"/>
      <c r="H3313" s="15"/>
      <c r="I3313" s="16"/>
    </row>
    <row r="3314" spans="6:9" x14ac:dyDescent="0.3">
      <c r="F3314" s="14"/>
      <c r="G3314" s="15"/>
      <c r="H3314" s="15"/>
      <c r="I3314" s="16"/>
    </row>
    <row r="3315" spans="6:9" x14ac:dyDescent="0.3">
      <c r="F3315" s="14"/>
      <c r="G3315" s="15"/>
      <c r="H3315" s="15"/>
      <c r="I3315" s="16"/>
    </row>
    <row r="3316" spans="6:9" x14ac:dyDescent="0.3">
      <c r="F3316" s="14"/>
      <c r="G3316" s="15"/>
      <c r="H3316" s="15"/>
      <c r="I3316" s="16"/>
    </row>
    <row r="3317" spans="6:9" x14ac:dyDescent="0.3">
      <c r="F3317" s="14"/>
      <c r="G3317" s="15"/>
      <c r="H3317" s="15"/>
      <c r="I3317" s="16"/>
    </row>
    <row r="3318" spans="6:9" x14ac:dyDescent="0.3">
      <c r="F3318" s="14"/>
      <c r="G3318" s="15"/>
      <c r="H3318" s="15"/>
      <c r="I3318" s="16"/>
    </row>
    <row r="3319" spans="6:9" x14ac:dyDescent="0.3">
      <c r="F3319" s="14"/>
      <c r="G3319" s="15"/>
      <c r="H3319" s="15"/>
      <c r="I3319" s="16"/>
    </row>
    <row r="3320" spans="6:9" x14ac:dyDescent="0.3">
      <c r="F3320" s="14"/>
      <c r="G3320" s="15"/>
      <c r="H3320" s="15"/>
      <c r="I3320" s="16"/>
    </row>
    <row r="3321" spans="6:9" x14ac:dyDescent="0.3">
      <c r="F3321" s="14"/>
      <c r="G3321" s="15"/>
      <c r="H3321" s="15"/>
      <c r="I3321" s="16"/>
    </row>
    <row r="3322" spans="6:9" x14ac:dyDescent="0.3">
      <c r="F3322" s="14"/>
      <c r="G3322" s="15"/>
      <c r="H3322" s="15"/>
      <c r="I3322" s="16"/>
    </row>
    <row r="3323" spans="6:9" x14ac:dyDescent="0.3">
      <c r="F3323" s="14"/>
      <c r="G3323" s="15"/>
      <c r="H3323" s="15"/>
      <c r="I3323" s="16"/>
    </row>
    <row r="3324" spans="6:9" x14ac:dyDescent="0.3">
      <c r="F3324" s="14"/>
      <c r="G3324" s="15"/>
      <c r="H3324" s="15"/>
      <c r="I3324" s="16"/>
    </row>
    <row r="3325" spans="6:9" x14ac:dyDescent="0.3">
      <c r="F3325" s="14"/>
      <c r="G3325" s="15"/>
      <c r="H3325" s="15"/>
      <c r="I3325" s="16"/>
    </row>
    <row r="3326" spans="6:9" x14ac:dyDescent="0.3">
      <c r="F3326" s="14"/>
      <c r="G3326" s="15"/>
      <c r="H3326" s="15"/>
      <c r="I3326" s="16"/>
    </row>
    <row r="3327" spans="6:9" x14ac:dyDescent="0.3">
      <c r="F3327" s="14"/>
      <c r="G3327" s="15"/>
      <c r="H3327" s="15"/>
      <c r="I3327" s="16"/>
    </row>
    <row r="3328" spans="6:9" x14ac:dyDescent="0.3">
      <c r="F3328" s="14"/>
      <c r="G3328" s="15"/>
      <c r="H3328" s="15"/>
      <c r="I3328" s="16"/>
    </row>
    <row r="3329" spans="6:9" x14ac:dyDescent="0.3">
      <c r="F3329" s="14"/>
      <c r="G3329" s="15"/>
      <c r="H3329" s="15"/>
      <c r="I3329" s="16"/>
    </row>
    <row r="3330" spans="6:9" x14ac:dyDescent="0.3">
      <c r="F3330" s="14"/>
      <c r="G3330" s="15"/>
      <c r="H3330" s="15"/>
      <c r="I3330" s="16"/>
    </row>
    <row r="3331" spans="6:9" x14ac:dyDescent="0.3">
      <c r="F3331" s="14"/>
      <c r="G3331" s="15"/>
      <c r="H3331" s="15"/>
      <c r="I3331" s="16"/>
    </row>
    <row r="3332" spans="6:9" x14ac:dyDescent="0.3">
      <c r="F3332" s="14"/>
      <c r="G3332" s="15"/>
      <c r="H3332" s="15"/>
      <c r="I3332" s="16"/>
    </row>
    <row r="3333" spans="6:9" x14ac:dyDescent="0.3">
      <c r="F3333" s="14"/>
      <c r="G3333" s="15"/>
      <c r="H3333" s="15"/>
      <c r="I3333" s="16"/>
    </row>
    <row r="3334" spans="6:9" x14ac:dyDescent="0.3">
      <c r="F3334" s="14"/>
      <c r="G3334" s="15"/>
      <c r="H3334" s="15"/>
      <c r="I3334" s="16"/>
    </row>
    <row r="3335" spans="6:9" x14ac:dyDescent="0.3">
      <c r="F3335" s="14"/>
      <c r="G3335" s="15"/>
      <c r="H3335" s="15"/>
      <c r="I3335" s="16"/>
    </row>
    <row r="3336" spans="6:9" x14ac:dyDescent="0.3">
      <c r="F3336" s="14"/>
      <c r="G3336" s="15"/>
      <c r="H3336" s="15"/>
      <c r="I3336" s="16"/>
    </row>
    <row r="3337" spans="6:9" x14ac:dyDescent="0.3">
      <c r="F3337" s="14"/>
      <c r="G3337" s="15"/>
      <c r="H3337" s="15"/>
      <c r="I3337" s="16"/>
    </row>
    <row r="3338" spans="6:9" x14ac:dyDescent="0.3">
      <c r="F3338" s="14"/>
      <c r="G3338" s="15"/>
      <c r="H3338" s="15"/>
      <c r="I3338" s="16"/>
    </row>
    <row r="3339" spans="6:9" x14ac:dyDescent="0.3">
      <c r="F3339" s="14"/>
      <c r="G3339" s="15"/>
      <c r="H3339" s="15"/>
      <c r="I3339" s="16"/>
    </row>
    <row r="3340" spans="6:9" x14ac:dyDescent="0.3">
      <c r="F3340" s="14"/>
      <c r="G3340" s="15"/>
      <c r="H3340" s="15"/>
      <c r="I3340" s="16"/>
    </row>
    <row r="3341" spans="6:9" x14ac:dyDescent="0.3">
      <c r="F3341" s="14"/>
      <c r="G3341" s="15"/>
      <c r="H3341" s="15"/>
      <c r="I3341" s="16"/>
    </row>
    <row r="3342" spans="6:9" x14ac:dyDescent="0.3">
      <c r="F3342" s="14"/>
      <c r="G3342" s="15"/>
      <c r="H3342" s="15"/>
      <c r="I3342" s="16"/>
    </row>
    <row r="3343" spans="6:9" x14ac:dyDescent="0.3">
      <c r="F3343" s="14"/>
      <c r="G3343" s="15"/>
      <c r="H3343" s="15"/>
      <c r="I3343" s="16"/>
    </row>
    <row r="3344" spans="6:9" x14ac:dyDescent="0.3">
      <c r="F3344" s="14"/>
      <c r="G3344" s="15"/>
      <c r="H3344" s="15"/>
      <c r="I3344" s="16"/>
    </row>
    <row r="3345" spans="6:9" x14ac:dyDescent="0.3">
      <c r="F3345" s="14"/>
      <c r="G3345" s="15"/>
      <c r="H3345" s="15"/>
      <c r="I3345" s="16"/>
    </row>
    <row r="3346" spans="6:9" x14ac:dyDescent="0.3">
      <c r="F3346" s="14"/>
      <c r="G3346" s="15"/>
      <c r="H3346" s="15"/>
      <c r="I3346" s="16"/>
    </row>
    <row r="3347" spans="6:9" x14ac:dyDescent="0.3">
      <c r="F3347" s="14"/>
      <c r="G3347" s="15"/>
      <c r="H3347" s="15"/>
      <c r="I3347" s="16"/>
    </row>
    <row r="3348" spans="6:9" x14ac:dyDescent="0.3">
      <c r="F3348" s="14"/>
      <c r="G3348" s="15"/>
      <c r="H3348" s="15"/>
      <c r="I3348" s="16"/>
    </row>
    <row r="3349" spans="6:9" x14ac:dyDescent="0.3">
      <c r="F3349" s="14"/>
      <c r="G3349" s="15"/>
      <c r="H3349" s="15"/>
      <c r="I3349" s="16"/>
    </row>
    <row r="3350" spans="6:9" x14ac:dyDescent="0.3">
      <c r="F3350" s="14"/>
      <c r="G3350" s="15"/>
      <c r="H3350" s="15"/>
      <c r="I3350" s="16"/>
    </row>
    <row r="3351" spans="6:9" x14ac:dyDescent="0.3">
      <c r="F3351" s="14"/>
      <c r="G3351" s="15"/>
      <c r="H3351" s="15"/>
      <c r="I3351" s="16"/>
    </row>
    <row r="3352" spans="6:9" x14ac:dyDescent="0.3">
      <c r="F3352" s="14"/>
      <c r="G3352" s="15"/>
      <c r="H3352" s="15"/>
      <c r="I3352" s="16"/>
    </row>
    <row r="3353" spans="6:9" x14ac:dyDescent="0.3">
      <c r="F3353" s="14"/>
      <c r="G3353" s="15"/>
      <c r="H3353" s="15"/>
      <c r="I3353" s="16"/>
    </row>
    <row r="3354" spans="6:9" x14ac:dyDescent="0.3">
      <c r="F3354" s="14"/>
      <c r="G3354" s="15"/>
      <c r="H3354" s="15"/>
      <c r="I3354" s="16"/>
    </row>
    <row r="3355" spans="6:9" x14ac:dyDescent="0.3">
      <c r="F3355" s="14"/>
      <c r="G3355" s="15"/>
      <c r="H3355" s="15"/>
      <c r="I3355" s="16"/>
    </row>
    <row r="3356" spans="6:9" x14ac:dyDescent="0.3">
      <c r="F3356" s="14"/>
      <c r="G3356" s="15"/>
      <c r="H3356" s="15"/>
      <c r="I3356" s="16"/>
    </row>
    <row r="3357" spans="6:9" x14ac:dyDescent="0.3">
      <c r="F3357" s="14"/>
      <c r="G3357" s="15"/>
      <c r="H3357" s="15"/>
      <c r="I3357" s="16"/>
    </row>
    <row r="3358" spans="6:9" x14ac:dyDescent="0.3">
      <c r="F3358" s="14"/>
      <c r="G3358" s="15"/>
      <c r="H3358" s="15"/>
      <c r="I3358" s="16"/>
    </row>
    <row r="3359" spans="6:9" x14ac:dyDescent="0.3">
      <c r="F3359" s="14"/>
      <c r="G3359" s="15"/>
      <c r="H3359" s="15"/>
      <c r="I3359" s="16"/>
    </row>
    <row r="3360" spans="6:9" x14ac:dyDescent="0.3">
      <c r="F3360" s="14"/>
      <c r="G3360" s="15"/>
      <c r="H3360" s="15"/>
      <c r="I3360" s="16"/>
    </row>
    <row r="3361" spans="6:9" x14ac:dyDescent="0.3">
      <c r="F3361" s="14"/>
      <c r="G3361" s="15"/>
      <c r="H3361" s="15"/>
      <c r="I3361" s="16"/>
    </row>
    <row r="3362" spans="6:9" x14ac:dyDescent="0.3">
      <c r="F3362" s="14"/>
      <c r="G3362" s="15"/>
      <c r="H3362" s="15"/>
      <c r="I3362" s="16"/>
    </row>
    <row r="3363" spans="6:9" x14ac:dyDescent="0.3">
      <c r="F3363" s="14"/>
      <c r="G3363" s="15"/>
      <c r="H3363" s="15"/>
      <c r="I3363" s="16"/>
    </row>
    <row r="3364" spans="6:9" x14ac:dyDescent="0.3">
      <c r="F3364" s="14"/>
      <c r="G3364" s="15"/>
      <c r="H3364" s="15"/>
      <c r="I3364" s="16"/>
    </row>
    <row r="3365" spans="6:9" x14ac:dyDescent="0.3">
      <c r="F3365" s="14"/>
      <c r="G3365" s="15"/>
      <c r="H3365" s="15"/>
      <c r="I3365" s="16"/>
    </row>
    <row r="3366" spans="6:9" x14ac:dyDescent="0.3">
      <c r="F3366" s="14"/>
      <c r="G3366" s="15"/>
      <c r="H3366" s="15"/>
      <c r="I3366" s="16"/>
    </row>
    <row r="3367" spans="6:9" x14ac:dyDescent="0.3">
      <c r="F3367" s="14"/>
      <c r="G3367" s="15"/>
      <c r="H3367" s="15"/>
      <c r="I3367" s="16"/>
    </row>
    <row r="3368" spans="6:9" x14ac:dyDescent="0.3">
      <c r="F3368" s="14"/>
      <c r="G3368" s="15"/>
      <c r="H3368" s="15"/>
      <c r="I3368" s="16"/>
    </row>
    <row r="3369" spans="6:9" x14ac:dyDescent="0.3">
      <c r="F3369" s="14"/>
      <c r="G3369" s="15"/>
      <c r="H3369" s="15"/>
      <c r="I3369" s="16"/>
    </row>
    <row r="3370" spans="6:9" x14ac:dyDescent="0.3">
      <c r="F3370" s="14"/>
      <c r="G3370" s="15"/>
      <c r="H3370" s="15"/>
      <c r="I3370" s="16"/>
    </row>
    <row r="3371" spans="6:9" x14ac:dyDescent="0.3">
      <c r="F3371" s="14"/>
      <c r="G3371" s="15"/>
      <c r="H3371" s="15"/>
      <c r="I3371" s="16"/>
    </row>
    <row r="3372" spans="6:9" x14ac:dyDescent="0.3">
      <c r="F3372" s="14"/>
      <c r="G3372" s="15"/>
      <c r="H3372" s="15"/>
      <c r="I3372" s="16"/>
    </row>
    <row r="3373" spans="6:9" x14ac:dyDescent="0.3">
      <c r="F3373" s="14"/>
      <c r="G3373" s="15"/>
      <c r="H3373" s="15"/>
      <c r="I3373" s="16"/>
    </row>
    <row r="3374" spans="6:9" x14ac:dyDescent="0.3">
      <c r="F3374" s="14"/>
      <c r="G3374" s="15"/>
      <c r="H3374" s="15"/>
      <c r="I3374" s="16"/>
    </row>
    <row r="3375" spans="6:9" x14ac:dyDescent="0.3">
      <c r="F3375" s="14"/>
      <c r="G3375" s="15"/>
      <c r="H3375" s="15"/>
      <c r="I3375" s="16"/>
    </row>
    <row r="3376" spans="6:9" x14ac:dyDescent="0.3">
      <c r="F3376" s="14"/>
      <c r="G3376" s="15"/>
      <c r="H3376" s="15"/>
      <c r="I3376" s="16"/>
    </row>
    <row r="3377" spans="6:9" x14ac:dyDescent="0.3">
      <c r="F3377" s="14"/>
      <c r="G3377" s="15"/>
      <c r="H3377" s="15"/>
      <c r="I3377" s="16"/>
    </row>
    <row r="3378" spans="6:9" x14ac:dyDescent="0.3">
      <c r="F3378" s="14"/>
      <c r="G3378" s="15"/>
      <c r="H3378" s="15"/>
      <c r="I3378" s="16"/>
    </row>
    <row r="3379" spans="6:9" x14ac:dyDescent="0.3">
      <c r="F3379" s="14"/>
      <c r="G3379" s="15"/>
      <c r="H3379" s="15"/>
      <c r="I3379" s="16"/>
    </row>
    <row r="3380" spans="6:9" x14ac:dyDescent="0.3">
      <c r="F3380" s="14"/>
      <c r="G3380" s="15"/>
      <c r="H3380" s="15"/>
      <c r="I3380" s="16"/>
    </row>
    <row r="3381" spans="6:9" x14ac:dyDescent="0.3">
      <c r="F3381" s="14"/>
      <c r="G3381" s="15"/>
      <c r="H3381" s="15"/>
      <c r="I3381" s="16"/>
    </row>
    <row r="3382" spans="6:9" x14ac:dyDescent="0.3">
      <c r="F3382" s="14"/>
      <c r="G3382" s="15"/>
      <c r="H3382" s="15"/>
      <c r="I3382" s="16"/>
    </row>
    <row r="3383" spans="6:9" x14ac:dyDescent="0.3">
      <c r="F3383" s="14"/>
      <c r="G3383" s="15"/>
      <c r="H3383" s="15"/>
      <c r="I3383" s="16"/>
    </row>
    <row r="3384" spans="6:9" x14ac:dyDescent="0.3">
      <c r="F3384" s="14"/>
      <c r="G3384" s="15"/>
      <c r="H3384" s="15"/>
      <c r="I3384" s="16"/>
    </row>
    <row r="3385" spans="6:9" x14ac:dyDescent="0.3">
      <c r="F3385" s="14"/>
      <c r="G3385" s="15"/>
      <c r="H3385" s="15"/>
      <c r="I3385" s="16"/>
    </row>
    <row r="3386" spans="6:9" x14ac:dyDescent="0.3">
      <c r="F3386" s="14"/>
      <c r="G3386" s="15"/>
      <c r="H3386" s="15"/>
      <c r="I3386" s="16"/>
    </row>
    <row r="3387" spans="6:9" x14ac:dyDescent="0.3">
      <c r="F3387" s="14"/>
      <c r="G3387" s="15"/>
      <c r="H3387" s="15"/>
      <c r="I3387" s="16"/>
    </row>
    <row r="3388" spans="6:9" x14ac:dyDescent="0.3">
      <c r="F3388" s="14"/>
      <c r="G3388" s="15"/>
      <c r="H3388" s="15"/>
      <c r="I3388" s="16"/>
    </row>
    <row r="3389" spans="6:9" x14ac:dyDescent="0.3">
      <c r="F3389" s="14"/>
      <c r="G3389" s="15"/>
      <c r="H3389" s="15"/>
      <c r="I3389" s="16"/>
    </row>
    <row r="3390" spans="6:9" x14ac:dyDescent="0.3">
      <c r="F3390" s="14"/>
      <c r="G3390" s="15"/>
      <c r="H3390" s="15"/>
      <c r="I3390" s="16"/>
    </row>
    <row r="3391" spans="6:9" x14ac:dyDescent="0.3">
      <c r="F3391" s="14"/>
      <c r="G3391" s="15"/>
      <c r="H3391" s="15"/>
      <c r="I3391" s="16"/>
    </row>
    <row r="3392" spans="6:9" x14ac:dyDescent="0.3">
      <c r="F3392" s="14"/>
      <c r="G3392" s="15"/>
      <c r="H3392" s="15"/>
      <c r="I3392" s="16"/>
    </row>
    <row r="3393" spans="6:9" x14ac:dyDescent="0.3">
      <c r="F3393" s="14"/>
      <c r="G3393" s="15"/>
      <c r="H3393" s="15"/>
      <c r="I3393" s="16"/>
    </row>
    <row r="3394" spans="6:9" x14ac:dyDescent="0.3">
      <c r="F3394" s="14"/>
      <c r="G3394" s="15"/>
      <c r="H3394" s="15"/>
      <c r="I3394" s="16"/>
    </row>
    <row r="3395" spans="6:9" x14ac:dyDescent="0.3">
      <c r="F3395" s="14"/>
      <c r="G3395" s="15"/>
      <c r="H3395" s="15"/>
      <c r="I3395" s="16"/>
    </row>
    <row r="3396" spans="6:9" x14ac:dyDescent="0.3">
      <c r="F3396" s="14"/>
      <c r="G3396" s="15"/>
      <c r="H3396" s="15"/>
      <c r="I3396" s="16"/>
    </row>
    <row r="3397" spans="6:9" x14ac:dyDescent="0.3">
      <c r="F3397" s="14"/>
      <c r="G3397" s="15"/>
      <c r="H3397" s="15"/>
      <c r="I3397" s="16"/>
    </row>
    <row r="3398" spans="6:9" x14ac:dyDescent="0.3">
      <c r="F3398" s="14"/>
      <c r="G3398" s="15"/>
      <c r="H3398" s="15"/>
      <c r="I3398" s="16"/>
    </row>
    <row r="3399" spans="6:9" x14ac:dyDescent="0.3">
      <c r="F3399" s="14"/>
      <c r="G3399" s="15"/>
      <c r="H3399" s="15"/>
      <c r="I3399" s="16"/>
    </row>
    <row r="3400" spans="6:9" x14ac:dyDescent="0.3">
      <c r="F3400" s="14"/>
      <c r="G3400" s="15"/>
      <c r="H3400" s="15"/>
      <c r="I3400" s="16"/>
    </row>
    <row r="3401" spans="6:9" x14ac:dyDescent="0.3">
      <c r="F3401" s="14"/>
      <c r="G3401" s="15"/>
      <c r="H3401" s="15"/>
      <c r="I3401" s="16"/>
    </row>
    <row r="3402" spans="6:9" x14ac:dyDescent="0.3">
      <c r="F3402" s="14"/>
      <c r="G3402" s="15"/>
      <c r="H3402" s="15"/>
      <c r="I3402" s="16"/>
    </row>
    <row r="3403" spans="6:9" x14ac:dyDescent="0.3">
      <c r="F3403" s="14"/>
      <c r="G3403" s="15"/>
      <c r="H3403" s="15"/>
      <c r="I3403" s="16"/>
    </row>
    <row r="3404" spans="6:9" x14ac:dyDescent="0.3">
      <c r="F3404" s="14"/>
      <c r="G3404" s="15"/>
      <c r="H3404" s="15"/>
      <c r="I3404" s="16"/>
    </row>
    <row r="3405" spans="6:9" x14ac:dyDescent="0.3">
      <c r="F3405" s="14"/>
      <c r="G3405" s="15"/>
      <c r="H3405" s="15"/>
      <c r="I3405" s="16"/>
    </row>
    <row r="3406" spans="6:9" x14ac:dyDescent="0.3">
      <c r="F3406" s="14"/>
      <c r="G3406" s="15"/>
      <c r="H3406" s="15"/>
      <c r="I3406" s="16"/>
    </row>
    <row r="3407" spans="6:9" x14ac:dyDescent="0.3">
      <c r="F3407" s="14"/>
      <c r="G3407" s="15"/>
      <c r="H3407" s="15"/>
      <c r="I3407" s="16"/>
    </row>
    <row r="3408" spans="6:9" x14ac:dyDescent="0.3">
      <c r="F3408" s="14"/>
      <c r="G3408" s="15"/>
      <c r="H3408" s="15"/>
      <c r="I3408" s="16"/>
    </row>
    <row r="3409" spans="6:9" x14ac:dyDescent="0.3">
      <c r="F3409" s="14"/>
      <c r="G3409" s="15"/>
      <c r="H3409" s="15"/>
      <c r="I3409" s="16"/>
    </row>
    <row r="3410" spans="6:9" x14ac:dyDescent="0.3">
      <c r="F3410" s="14"/>
      <c r="G3410" s="15"/>
      <c r="H3410" s="15"/>
      <c r="I3410" s="16"/>
    </row>
    <row r="3411" spans="6:9" x14ac:dyDescent="0.3">
      <c r="F3411" s="14"/>
      <c r="G3411" s="15"/>
      <c r="H3411" s="15"/>
      <c r="I3411" s="16"/>
    </row>
    <row r="3412" spans="6:9" x14ac:dyDescent="0.3">
      <c r="F3412" s="14"/>
      <c r="G3412" s="15"/>
      <c r="H3412" s="15"/>
      <c r="I3412" s="16"/>
    </row>
    <row r="3413" spans="6:9" x14ac:dyDescent="0.3">
      <c r="F3413" s="14"/>
      <c r="G3413" s="15"/>
      <c r="H3413" s="15"/>
      <c r="I3413" s="16"/>
    </row>
    <row r="3414" spans="6:9" x14ac:dyDescent="0.3">
      <c r="F3414" s="14"/>
      <c r="G3414" s="15"/>
      <c r="H3414" s="15"/>
      <c r="I3414" s="16"/>
    </row>
    <row r="3415" spans="6:9" x14ac:dyDescent="0.3">
      <c r="F3415" s="14"/>
      <c r="G3415" s="15"/>
      <c r="H3415" s="15"/>
      <c r="I3415" s="16"/>
    </row>
    <row r="3416" spans="6:9" x14ac:dyDescent="0.3">
      <c r="F3416" s="14"/>
      <c r="G3416" s="15"/>
      <c r="H3416" s="15"/>
      <c r="I3416" s="16"/>
    </row>
    <row r="3417" spans="6:9" x14ac:dyDescent="0.3">
      <c r="F3417" s="14"/>
      <c r="G3417" s="15"/>
      <c r="H3417" s="15"/>
      <c r="I3417" s="16"/>
    </row>
    <row r="3418" spans="6:9" x14ac:dyDescent="0.3">
      <c r="F3418" s="14"/>
      <c r="G3418" s="15"/>
      <c r="H3418" s="15"/>
      <c r="I3418" s="16"/>
    </row>
    <row r="3419" spans="6:9" x14ac:dyDescent="0.3">
      <c r="F3419" s="14"/>
      <c r="G3419" s="15"/>
      <c r="H3419" s="15"/>
      <c r="I3419" s="16"/>
    </row>
    <row r="3420" spans="6:9" x14ac:dyDescent="0.3">
      <c r="F3420" s="14"/>
      <c r="G3420" s="15"/>
      <c r="H3420" s="15"/>
      <c r="I3420" s="16"/>
    </row>
    <row r="3421" spans="6:9" x14ac:dyDescent="0.3">
      <c r="F3421" s="14"/>
      <c r="G3421" s="15"/>
      <c r="H3421" s="15"/>
      <c r="I3421" s="16"/>
    </row>
    <row r="3422" spans="6:9" x14ac:dyDescent="0.3">
      <c r="F3422" s="14"/>
      <c r="G3422" s="15"/>
      <c r="H3422" s="15"/>
      <c r="I3422" s="16"/>
    </row>
    <row r="3423" spans="6:9" x14ac:dyDescent="0.3">
      <c r="F3423" s="14"/>
      <c r="G3423" s="15"/>
      <c r="H3423" s="15"/>
      <c r="I3423" s="16"/>
    </row>
    <row r="3424" spans="6:9" x14ac:dyDescent="0.3">
      <c r="F3424" s="14"/>
      <c r="G3424" s="15"/>
      <c r="H3424" s="15"/>
      <c r="I3424" s="16"/>
    </row>
    <row r="3425" spans="6:9" x14ac:dyDescent="0.3">
      <c r="F3425" s="14"/>
      <c r="G3425" s="15"/>
      <c r="H3425" s="15"/>
      <c r="I3425" s="16"/>
    </row>
    <row r="3426" spans="6:9" x14ac:dyDescent="0.3">
      <c r="F3426" s="14"/>
      <c r="G3426" s="15"/>
      <c r="H3426" s="15"/>
      <c r="I3426" s="16"/>
    </row>
    <row r="3427" spans="6:9" x14ac:dyDescent="0.3">
      <c r="F3427" s="14"/>
      <c r="G3427" s="15"/>
      <c r="H3427" s="15"/>
      <c r="I3427" s="16"/>
    </row>
    <row r="3428" spans="6:9" x14ac:dyDescent="0.3">
      <c r="F3428" s="14"/>
      <c r="G3428" s="15"/>
      <c r="H3428" s="15"/>
      <c r="I3428" s="16"/>
    </row>
    <row r="3429" spans="6:9" x14ac:dyDescent="0.3">
      <c r="F3429" s="14"/>
      <c r="G3429" s="15"/>
      <c r="H3429" s="15"/>
      <c r="I3429" s="16"/>
    </row>
    <row r="3430" spans="6:9" x14ac:dyDescent="0.3">
      <c r="F3430" s="14"/>
      <c r="G3430" s="15"/>
      <c r="H3430" s="15"/>
      <c r="I3430" s="16"/>
    </row>
    <row r="3431" spans="6:9" x14ac:dyDescent="0.3">
      <c r="F3431" s="14"/>
      <c r="G3431" s="15"/>
      <c r="H3431" s="15"/>
      <c r="I3431" s="16"/>
    </row>
    <row r="3432" spans="6:9" x14ac:dyDescent="0.3">
      <c r="F3432" s="14"/>
      <c r="G3432" s="15"/>
      <c r="H3432" s="15"/>
      <c r="I3432" s="16"/>
    </row>
    <row r="3433" spans="6:9" x14ac:dyDescent="0.3">
      <c r="F3433" s="14"/>
      <c r="G3433" s="15"/>
      <c r="H3433" s="15"/>
      <c r="I3433" s="16"/>
    </row>
    <row r="3434" spans="6:9" x14ac:dyDescent="0.3">
      <c r="F3434" s="14"/>
      <c r="G3434" s="15"/>
      <c r="H3434" s="15"/>
      <c r="I3434" s="16"/>
    </row>
    <row r="3435" spans="6:9" x14ac:dyDescent="0.3">
      <c r="F3435" s="14"/>
      <c r="G3435" s="15"/>
      <c r="H3435" s="15"/>
      <c r="I3435" s="16"/>
    </row>
    <row r="3436" spans="6:9" x14ac:dyDescent="0.3">
      <c r="F3436" s="14"/>
      <c r="G3436" s="15"/>
      <c r="H3436" s="15"/>
      <c r="I3436" s="16"/>
    </row>
    <row r="3437" spans="6:9" x14ac:dyDescent="0.3">
      <c r="F3437" s="14"/>
      <c r="G3437" s="15"/>
      <c r="H3437" s="15"/>
      <c r="I3437" s="16"/>
    </row>
    <row r="3438" spans="6:9" x14ac:dyDescent="0.3">
      <c r="F3438" s="14"/>
      <c r="G3438" s="15"/>
      <c r="H3438" s="15"/>
      <c r="I3438" s="16"/>
    </row>
    <row r="3439" spans="6:9" x14ac:dyDescent="0.3">
      <c r="F3439" s="14"/>
      <c r="G3439" s="15"/>
      <c r="H3439" s="15"/>
      <c r="I3439" s="16"/>
    </row>
    <row r="3440" spans="6:9" x14ac:dyDescent="0.3">
      <c r="F3440" s="14"/>
      <c r="G3440" s="15"/>
      <c r="H3440" s="15"/>
      <c r="I3440" s="16"/>
    </row>
    <row r="3441" spans="6:9" x14ac:dyDescent="0.3">
      <c r="F3441" s="14"/>
      <c r="G3441" s="15"/>
      <c r="H3441" s="15"/>
      <c r="I3441" s="16"/>
    </row>
    <row r="3442" spans="6:9" x14ac:dyDescent="0.3">
      <c r="F3442" s="14"/>
      <c r="G3442" s="15"/>
      <c r="H3442" s="15"/>
      <c r="I3442" s="16"/>
    </row>
    <row r="3443" spans="6:9" x14ac:dyDescent="0.3">
      <c r="F3443" s="14"/>
      <c r="G3443" s="15"/>
      <c r="H3443" s="15"/>
      <c r="I3443" s="16"/>
    </row>
    <row r="3444" spans="6:9" x14ac:dyDescent="0.3">
      <c r="F3444" s="14"/>
      <c r="G3444" s="15"/>
      <c r="H3444" s="15"/>
      <c r="I3444" s="16"/>
    </row>
    <row r="3445" spans="6:9" x14ac:dyDescent="0.3">
      <c r="F3445" s="14"/>
      <c r="G3445" s="15"/>
      <c r="H3445" s="15"/>
      <c r="I3445" s="16"/>
    </row>
    <row r="3446" spans="6:9" x14ac:dyDescent="0.3">
      <c r="F3446" s="14"/>
      <c r="G3446" s="15"/>
      <c r="H3446" s="15"/>
      <c r="I3446" s="16"/>
    </row>
    <row r="3447" spans="6:9" x14ac:dyDescent="0.3">
      <c r="F3447" s="14"/>
      <c r="G3447" s="15"/>
      <c r="H3447" s="15"/>
      <c r="I3447" s="16"/>
    </row>
    <row r="3448" spans="6:9" x14ac:dyDescent="0.3">
      <c r="F3448" s="14"/>
      <c r="G3448" s="15"/>
      <c r="H3448" s="15"/>
      <c r="I3448" s="16"/>
    </row>
    <row r="3449" spans="6:9" x14ac:dyDescent="0.3">
      <c r="F3449" s="14"/>
      <c r="G3449" s="15"/>
      <c r="H3449" s="15"/>
      <c r="I3449" s="16"/>
    </row>
    <row r="3450" spans="6:9" x14ac:dyDescent="0.3">
      <c r="F3450" s="14"/>
      <c r="G3450" s="15"/>
      <c r="H3450" s="15"/>
      <c r="I3450" s="16"/>
    </row>
    <row r="3451" spans="6:9" x14ac:dyDescent="0.3">
      <c r="F3451" s="14"/>
      <c r="G3451" s="15"/>
      <c r="H3451" s="15"/>
      <c r="I3451" s="16"/>
    </row>
    <row r="3452" spans="6:9" x14ac:dyDescent="0.3">
      <c r="F3452" s="14"/>
      <c r="G3452" s="15"/>
      <c r="H3452" s="15"/>
      <c r="I3452" s="16"/>
    </row>
    <row r="3453" spans="6:9" x14ac:dyDescent="0.3">
      <c r="F3453" s="14"/>
      <c r="G3453" s="15"/>
      <c r="H3453" s="15"/>
      <c r="I3453" s="16"/>
    </row>
    <row r="3454" spans="6:9" x14ac:dyDescent="0.3">
      <c r="F3454" s="14"/>
      <c r="G3454" s="15"/>
      <c r="H3454" s="15"/>
      <c r="I3454" s="16"/>
    </row>
    <row r="3455" spans="6:9" x14ac:dyDescent="0.3">
      <c r="F3455" s="14"/>
      <c r="G3455" s="15"/>
      <c r="H3455" s="15"/>
      <c r="I3455" s="16"/>
    </row>
    <row r="3456" spans="6:9" x14ac:dyDescent="0.3">
      <c r="F3456" s="14"/>
      <c r="G3456" s="15"/>
      <c r="H3456" s="15"/>
      <c r="I3456" s="16"/>
    </row>
    <row r="3457" spans="6:9" x14ac:dyDescent="0.3">
      <c r="F3457" s="14"/>
      <c r="G3457" s="15"/>
      <c r="H3457" s="15"/>
      <c r="I3457" s="16"/>
    </row>
    <row r="3458" spans="6:9" x14ac:dyDescent="0.3">
      <c r="F3458" s="14"/>
      <c r="G3458" s="15"/>
      <c r="H3458" s="15"/>
      <c r="I3458" s="16"/>
    </row>
    <row r="3459" spans="6:9" x14ac:dyDescent="0.3">
      <c r="F3459" s="14"/>
      <c r="G3459" s="15"/>
      <c r="H3459" s="15"/>
      <c r="I3459" s="16"/>
    </row>
    <row r="3460" spans="6:9" x14ac:dyDescent="0.3">
      <c r="F3460" s="14"/>
      <c r="G3460" s="15"/>
      <c r="H3460" s="15"/>
      <c r="I3460" s="16"/>
    </row>
    <row r="3461" spans="6:9" x14ac:dyDescent="0.3">
      <c r="F3461" s="14"/>
      <c r="G3461" s="15"/>
      <c r="H3461" s="15"/>
      <c r="I3461" s="16"/>
    </row>
    <row r="3462" spans="6:9" x14ac:dyDescent="0.3">
      <c r="F3462" s="14"/>
      <c r="G3462" s="15"/>
      <c r="H3462" s="15"/>
      <c r="I3462" s="16"/>
    </row>
    <row r="3463" spans="6:9" x14ac:dyDescent="0.3">
      <c r="F3463" s="14"/>
      <c r="G3463" s="15"/>
      <c r="H3463" s="15"/>
      <c r="I3463" s="16"/>
    </row>
    <row r="3464" spans="6:9" x14ac:dyDescent="0.3">
      <c r="F3464" s="14"/>
      <c r="G3464" s="15"/>
      <c r="H3464" s="15"/>
      <c r="I3464" s="16"/>
    </row>
    <row r="3465" spans="6:9" x14ac:dyDescent="0.3">
      <c r="F3465" s="14"/>
      <c r="G3465" s="15"/>
      <c r="H3465" s="15"/>
      <c r="I3465" s="16"/>
    </row>
    <row r="3466" spans="6:9" x14ac:dyDescent="0.3">
      <c r="F3466" s="14"/>
      <c r="G3466" s="15"/>
      <c r="H3466" s="15"/>
      <c r="I3466" s="16"/>
    </row>
    <row r="3467" spans="6:9" x14ac:dyDescent="0.3">
      <c r="F3467" s="14"/>
      <c r="G3467" s="15"/>
      <c r="H3467" s="15"/>
      <c r="I3467" s="16"/>
    </row>
    <row r="3468" spans="6:9" x14ac:dyDescent="0.3">
      <c r="F3468" s="14"/>
      <c r="G3468" s="15"/>
      <c r="H3468" s="15"/>
      <c r="I3468" s="16"/>
    </row>
    <row r="3469" spans="6:9" x14ac:dyDescent="0.3">
      <c r="F3469" s="14"/>
      <c r="G3469" s="15"/>
      <c r="H3469" s="15"/>
      <c r="I3469" s="16"/>
    </row>
    <row r="3470" spans="6:9" x14ac:dyDescent="0.3">
      <c r="F3470" s="14"/>
      <c r="G3470" s="15"/>
      <c r="H3470" s="15"/>
      <c r="I3470" s="16"/>
    </row>
    <row r="3471" spans="6:9" x14ac:dyDescent="0.3">
      <c r="F3471" s="14"/>
      <c r="G3471" s="15"/>
      <c r="H3471" s="15"/>
      <c r="I3471" s="16"/>
    </row>
    <row r="3472" spans="6:9" x14ac:dyDescent="0.3">
      <c r="F3472" s="14"/>
      <c r="G3472" s="15"/>
      <c r="H3472" s="15"/>
      <c r="I3472" s="16"/>
    </row>
    <row r="3473" spans="6:9" x14ac:dyDescent="0.3">
      <c r="F3473" s="14"/>
      <c r="G3473" s="15"/>
      <c r="H3473" s="15"/>
      <c r="I3473" s="16"/>
    </row>
    <row r="3474" spans="6:9" x14ac:dyDescent="0.3">
      <c r="F3474" s="14"/>
      <c r="G3474" s="15"/>
      <c r="H3474" s="15"/>
      <c r="I3474" s="16"/>
    </row>
    <row r="3475" spans="6:9" x14ac:dyDescent="0.3">
      <c r="F3475" s="14"/>
      <c r="G3475" s="15"/>
      <c r="H3475" s="15"/>
      <c r="I3475" s="16"/>
    </row>
    <row r="3476" spans="6:9" x14ac:dyDescent="0.3">
      <c r="F3476" s="14"/>
      <c r="G3476" s="15"/>
      <c r="H3476" s="15"/>
      <c r="I3476" s="16"/>
    </row>
    <row r="3477" spans="6:9" x14ac:dyDescent="0.3">
      <c r="F3477" s="14"/>
      <c r="G3477" s="15"/>
      <c r="H3477" s="15"/>
      <c r="I3477" s="16"/>
    </row>
    <row r="3478" spans="6:9" x14ac:dyDescent="0.3">
      <c r="F3478" s="14"/>
      <c r="G3478" s="15"/>
      <c r="H3478" s="15"/>
      <c r="I3478" s="16"/>
    </row>
    <row r="3479" spans="6:9" x14ac:dyDescent="0.3">
      <c r="F3479" s="14"/>
      <c r="G3479" s="15"/>
      <c r="H3479" s="15"/>
      <c r="I3479" s="16"/>
    </row>
    <row r="3480" spans="6:9" x14ac:dyDescent="0.3">
      <c r="F3480" s="14"/>
      <c r="G3480" s="15"/>
      <c r="H3480" s="15"/>
      <c r="I3480" s="16"/>
    </row>
    <row r="3481" spans="6:9" x14ac:dyDescent="0.3">
      <c r="F3481" s="14"/>
      <c r="G3481" s="15"/>
      <c r="H3481" s="15"/>
      <c r="I3481" s="16"/>
    </row>
    <row r="3482" spans="6:9" x14ac:dyDescent="0.3">
      <c r="F3482" s="14"/>
      <c r="G3482" s="15"/>
      <c r="H3482" s="15"/>
      <c r="I3482" s="16"/>
    </row>
    <row r="3483" spans="6:9" x14ac:dyDescent="0.3">
      <c r="F3483" s="14"/>
      <c r="G3483" s="15"/>
      <c r="H3483" s="15"/>
      <c r="I3483" s="16"/>
    </row>
    <row r="3484" spans="6:9" x14ac:dyDescent="0.3">
      <c r="F3484" s="14"/>
      <c r="G3484" s="15"/>
      <c r="H3484" s="15"/>
      <c r="I3484" s="16"/>
    </row>
    <row r="3485" spans="6:9" x14ac:dyDescent="0.3">
      <c r="F3485" s="14"/>
      <c r="G3485" s="15"/>
      <c r="H3485" s="15"/>
      <c r="I3485" s="16"/>
    </row>
    <row r="3486" spans="6:9" x14ac:dyDescent="0.3">
      <c r="F3486" s="14"/>
      <c r="G3486" s="15"/>
      <c r="H3486" s="15"/>
      <c r="I3486" s="16"/>
    </row>
    <row r="3487" spans="6:9" x14ac:dyDescent="0.3">
      <c r="F3487" s="14"/>
      <c r="G3487" s="15"/>
      <c r="H3487" s="15"/>
      <c r="I3487" s="16"/>
    </row>
    <row r="3488" spans="6:9" x14ac:dyDescent="0.3">
      <c r="F3488" s="14"/>
      <c r="G3488" s="15"/>
      <c r="H3488" s="15"/>
      <c r="I3488" s="16"/>
    </row>
    <row r="3489" spans="6:9" x14ac:dyDescent="0.3">
      <c r="F3489" s="14"/>
      <c r="G3489" s="15"/>
      <c r="H3489" s="15"/>
      <c r="I3489" s="16"/>
    </row>
    <row r="3490" spans="6:9" x14ac:dyDescent="0.3">
      <c r="F3490" s="14"/>
      <c r="G3490" s="15"/>
      <c r="H3490" s="15"/>
      <c r="I3490" s="16"/>
    </row>
    <row r="3491" spans="6:9" x14ac:dyDescent="0.3">
      <c r="F3491" s="14"/>
      <c r="G3491" s="15"/>
      <c r="H3491" s="15"/>
      <c r="I3491" s="16"/>
    </row>
    <row r="3492" spans="6:9" x14ac:dyDescent="0.3">
      <c r="F3492" s="14"/>
      <c r="G3492" s="15"/>
      <c r="H3492" s="15"/>
      <c r="I3492" s="16"/>
    </row>
    <row r="3493" spans="6:9" x14ac:dyDescent="0.3">
      <c r="F3493" s="14"/>
      <c r="G3493" s="15"/>
      <c r="H3493" s="15"/>
      <c r="I3493" s="16"/>
    </row>
    <row r="3494" spans="6:9" x14ac:dyDescent="0.3">
      <c r="F3494" s="14"/>
      <c r="G3494" s="15"/>
      <c r="H3494" s="15"/>
      <c r="I3494" s="16"/>
    </row>
    <row r="3495" spans="6:9" x14ac:dyDescent="0.3">
      <c r="F3495" s="14"/>
      <c r="G3495" s="15"/>
      <c r="H3495" s="15"/>
      <c r="I3495" s="16"/>
    </row>
    <row r="3496" spans="6:9" x14ac:dyDescent="0.3">
      <c r="F3496" s="14"/>
      <c r="G3496" s="15"/>
      <c r="H3496" s="15"/>
      <c r="I3496" s="16"/>
    </row>
    <row r="3497" spans="6:9" x14ac:dyDescent="0.3">
      <c r="F3497" s="14"/>
      <c r="G3497" s="15"/>
      <c r="H3497" s="15"/>
      <c r="I3497" s="16"/>
    </row>
    <row r="3498" spans="6:9" x14ac:dyDescent="0.3">
      <c r="F3498" s="14"/>
      <c r="G3498" s="15"/>
      <c r="H3498" s="15"/>
      <c r="I3498" s="16"/>
    </row>
    <row r="3499" spans="6:9" x14ac:dyDescent="0.3">
      <c r="F3499" s="14"/>
      <c r="G3499" s="15"/>
      <c r="H3499" s="15"/>
      <c r="I3499" s="16"/>
    </row>
    <row r="3500" spans="6:9" x14ac:dyDescent="0.3">
      <c r="F3500" s="14"/>
      <c r="G3500" s="15"/>
      <c r="H3500" s="15"/>
      <c r="I3500" s="16"/>
    </row>
    <row r="3501" spans="6:9" x14ac:dyDescent="0.3">
      <c r="F3501" s="14"/>
      <c r="G3501" s="15"/>
      <c r="H3501" s="15"/>
      <c r="I3501" s="16"/>
    </row>
    <row r="3502" spans="6:9" x14ac:dyDescent="0.3">
      <c r="F3502" s="14"/>
      <c r="G3502" s="15"/>
      <c r="H3502" s="15"/>
      <c r="I3502" s="16"/>
    </row>
    <row r="3503" spans="6:9" x14ac:dyDescent="0.3">
      <c r="F3503" s="14"/>
      <c r="G3503" s="15"/>
      <c r="H3503" s="15"/>
      <c r="I3503" s="16"/>
    </row>
    <row r="3504" spans="6:9" x14ac:dyDescent="0.3">
      <c r="F3504" s="14"/>
      <c r="G3504" s="15"/>
      <c r="H3504" s="15"/>
      <c r="I3504" s="16"/>
    </row>
    <row r="3505" spans="6:9" x14ac:dyDescent="0.3">
      <c r="F3505" s="14"/>
      <c r="G3505" s="15"/>
      <c r="H3505" s="15"/>
      <c r="I3505" s="16"/>
    </row>
    <row r="3506" spans="6:9" x14ac:dyDescent="0.3">
      <c r="F3506" s="14"/>
      <c r="G3506" s="15"/>
      <c r="H3506" s="15"/>
      <c r="I3506" s="16"/>
    </row>
    <row r="3507" spans="6:9" x14ac:dyDescent="0.3">
      <c r="F3507" s="14"/>
      <c r="G3507" s="15"/>
      <c r="H3507" s="15"/>
      <c r="I3507" s="16"/>
    </row>
    <row r="3508" spans="6:9" x14ac:dyDescent="0.3">
      <c r="F3508" s="14"/>
      <c r="G3508" s="15"/>
      <c r="H3508" s="15"/>
      <c r="I3508" s="16"/>
    </row>
    <row r="3509" spans="6:9" x14ac:dyDescent="0.3">
      <c r="F3509" s="14"/>
      <c r="G3509" s="15"/>
      <c r="H3509" s="15"/>
      <c r="I3509" s="16"/>
    </row>
    <row r="3510" spans="6:9" x14ac:dyDescent="0.3">
      <c r="F3510" s="14"/>
      <c r="G3510" s="15"/>
      <c r="H3510" s="15"/>
      <c r="I3510" s="16"/>
    </row>
    <row r="3511" spans="6:9" x14ac:dyDescent="0.3">
      <c r="F3511" s="14"/>
      <c r="G3511" s="15"/>
      <c r="H3511" s="15"/>
      <c r="I3511" s="16"/>
    </row>
    <row r="3512" spans="6:9" x14ac:dyDescent="0.3">
      <c r="F3512" s="14"/>
      <c r="G3512" s="15"/>
      <c r="H3512" s="15"/>
      <c r="I3512" s="16"/>
    </row>
    <row r="3513" spans="6:9" x14ac:dyDescent="0.3">
      <c r="F3513" s="14"/>
      <c r="G3513" s="15"/>
      <c r="H3513" s="15"/>
      <c r="I3513" s="16"/>
    </row>
    <row r="3514" spans="6:9" x14ac:dyDescent="0.3">
      <c r="F3514" s="14"/>
      <c r="G3514" s="15"/>
      <c r="H3514" s="15"/>
      <c r="I3514" s="16"/>
    </row>
    <row r="3515" spans="6:9" x14ac:dyDescent="0.3">
      <c r="F3515" s="14"/>
      <c r="G3515" s="15"/>
      <c r="H3515" s="15"/>
      <c r="I3515" s="16"/>
    </row>
    <row r="3516" spans="6:9" x14ac:dyDescent="0.3">
      <c r="F3516" s="14"/>
      <c r="G3516" s="15"/>
      <c r="H3516" s="15"/>
      <c r="I3516" s="16"/>
    </row>
    <row r="3517" spans="6:9" x14ac:dyDescent="0.3">
      <c r="F3517" s="14"/>
      <c r="G3517" s="15"/>
      <c r="H3517" s="15"/>
      <c r="I3517" s="16"/>
    </row>
    <row r="3518" spans="6:9" x14ac:dyDescent="0.3">
      <c r="F3518" s="14"/>
      <c r="G3518" s="15"/>
      <c r="H3518" s="15"/>
      <c r="I3518" s="16"/>
    </row>
    <row r="3519" spans="6:9" x14ac:dyDescent="0.3">
      <c r="F3519" s="14"/>
      <c r="G3519" s="15"/>
      <c r="H3519" s="15"/>
      <c r="I3519" s="16"/>
    </row>
    <row r="3520" spans="6:9" x14ac:dyDescent="0.3">
      <c r="F3520" s="14"/>
      <c r="G3520" s="15"/>
      <c r="H3520" s="15"/>
      <c r="I3520" s="16"/>
    </row>
    <row r="3521" spans="6:9" x14ac:dyDescent="0.3">
      <c r="F3521" s="14"/>
      <c r="G3521" s="15"/>
      <c r="H3521" s="15"/>
      <c r="I3521" s="16"/>
    </row>
    <row r="3522" spans="6:9" x14ac:dyDescent="0.3">
      <c r="F3522" s="14"/>
      <c r="G3522" s="15"/>
      <c r="H3522" s="15"/>
      <c r="I3522" s="16"/>
    </row>
    <row r="3523" spans="6:9" x14ac:dyDescent="0.3">
      <c r="F3523" s="14"/>
      <c r="G3523" s="15"/>
      <c r="H3523" s="15"/>
      <c r="I3523" s="16"/>
    </row>
    <row r="3524" spans="6:9" x14ac:dyDescent="0.3">
      <c r="F3524" s="14"/>
      <c r="G3524" s="15"/>
      <c r="H3524" s="15"/>
      <c r="I3524" s="16"/>
    </row>
    <row r="3525" spans="6:9" x14ac:dyDescent="0.3">
      <c r="F3525" s="14"/>
      <c r="G3525" s="15"/>
      <c r="H3525" s="15"/>
      <c r="I3525" s="16"/>
    </row>
    <row r="3526" spans="6:9" x14ac:dyDescent="0.3">
      <c r="F3526" s="14"/>
      <c r="G3526" s="15"/>
      <c r="H3526" s="15"/>
      <c r="I3526" s="16"/>
    </row>
    <row r="3527" spans="6:9" x14ac:dyDescent="0.3">
      <c r="F3527" s="14"/>
      <c r="G3527" s="15"/>
      <c r="H3527" s="15"/>
      <c r="I3527" s="16"/>
    </row>
    <row r="3528" spans="6:9" x14ac:dyDescent="0.3">
      <c r="F3528" s="14"/>
      <c r="G3528" s="15"/>
      <c r="H3528" s="15"/>
      <c r="I3528" s="16"/>
    </row>
    <row r="3529" spans="6:9" x14ac:dyDescent="0.3">
      <c r="F3529" s="14"/>
      <c r="G3529" s="15"/>
      <c r="H3529" s="15"/>
      <c r="I3529" s="16"/>
    </row>
    <row r="3530" spans="6:9" x14ac:dyDescent="0.3">
      <c r="F3530" s="14"/>
      <c r="G3530" s="15"/>
      <c r="H3530" s="15"/>
      <c r="I3530" s="16"/>
    </row>
    <row r="3531" spans="6:9" x14ac:dyDescent="0.3">
      <c r="F3531" s="14"/>
      <c r="G3531" s="15"/>
      <c r="H3531" s="15"/>
      <c r="I3531" s="16"/>
    </row>
    <row r="3532" spans="6:9" x14ac:dyDescent="0.3">
      <c r="F3532" s="14"/>
      <c r="G3532" s="15"/>
      <c r="H3532" s="15"/>
      <c r="I3532" s="16"/>
    </row>
    <row r="3533" spans="6:9" x14ac:dyDescent="0.3">
      <c r="F3533" s="14"/>
      <c r="G3533" s="15"/>
      <c r="H3533" s="15"/>
      <c r="I3533" s="16"/>
    </row>
    <row r="3534" spans="6:9" x14ac:dyDescent="0.3">
      <c r="F3534" s="14"/>
      <c r="G3534" s="15"/>
      <c r="H3534" s="15"/>
      <c r="I3534" s="16"/>
    </row>
    <row r="3535" spans="6:9" x14ac:dyDescent="0.3">
      <c r="F3535" s="14"/>
      <c r="G3535" s="15"/>
      <c r="H3535" s="15"/>
      <c r="I3535" s="16"/>
    </row>
    <row r="3536" spans="6:9" x14ac:dyDescent="0.3">
      <c r="F3536" s="14"/>
      <c r="G3536" s="15"/>
      <c r="H3536" s="15"/>
      <c r="I3536" s="16"/>
    </row>
    <row r="3537" spans="6:9" x14ac:dyDescent="0.3">
      <c r="F3537" s="14"/>
      <c r="G3537" s="15"/>
      <c r="H3537" s="15"/>
      <c r="I3537" s="16"/>
    </row>
    <row r="3538" spans="6:9" x14ac:dyDescent="0.3">
      <c r="F3538" s="14"/>
      <c r="G3538" s="15"/>
      <c r="H3538" s="15"/>
      <c r="I3538" s="16"/>
    </row>
    <row r="3539" spans="6:9" x14ac:dyDescent="0.3">
      <c r="F3539" s="14"/>
      <c r="G3539" s="15"/>
      <c r="H3539" s="15"/>
      <c r="I3539" s="16"/>
    </row>
    <row r="3540" spans="6:9" x14ac:dyDescent="0.3">
      <c r="F3540" s="14"/>
      <c r="G3540" s="15"/>
      <c r="H3540" s="15"/>
      <c r="I3540" s="16"/>
    </row>
    <row r="3541" spans="6:9" x14ac:dyDescent="0.3">
      <c r="F3541" s="14"/>
      <c r="G3541" s="15"/>
      <c r="H3541" s="15"/>
      <c r="I3541" s="16"/>
    </row>
    <row r="3542" spans="6:9" x14ac:dyDescent="0.3">
      <c r="F3542" s="14"/>
      <c r="G3542" s="15"/>
      <c r="H3542" s="15"/>
      <c r="I3542" s="16"/>
    </row>
    <row r="3543" spans="6:9" x14ac:dyDescent="0.3">
      <c r="F3543" s="14"/>
      <c r="G3543" s="15"/>
      <c r="H3543" s="15"/>
      <c r="I3543" s="16"/>
    </row>
    <row r="3544" spans="6:9" x14ac:dyDescent="0.3">
      <c r="F3544" s="14"/>
      <c r="G3544" s="15"/>
      <c r="H3544" s="15"/>
      <c r="I3544" s="16"/>
    </row>
    <row r="3545" spans="6:9" x14ac:dyDescent="0.3">
      <c r="F3545" s="14"/>
      <c r="G3545" s="15"/>
      <c r="H3545" s="15"/>
      <c r="I3545" s="16"/>
    </row>
    <row r="3546" spans="6:9" x14ac:dyDescent="0.3">
      <c r="F3546" s="14"/>
      <c r="G3546" s="15"/>
      <c r="H3546" s="15"/>
      <c r="I3546" s="16"/>
    </row>
    <row r="3547" spans="6:9" x14ac:dyDescent="0.3">
      <c r="F3547" s="14"/>
      <c r="G3547" s="15"/>
      <c r="H3547" s="15"/>
      <c r="I3547" s="16"/>
    </row>
    <row r="3548" spans="6:9" x14ac:dyDescent="0.3">
      <c r="F3548" s="14"/>
      <c r="G3548" s="15"/>
      <c r="H3548" s="15"/>
      <c r="I3548" s="16"/>
    </row>
    <row r="3549" spans="6:9" x14ac:dyDescent="0.3">
      <c r="F3549" s="14"/>
      <c r="G3549" s="15"/>
      <c r="H3549" s="15"/>
      <c r="I3549" s="16"/>
    </row>
    <row r="3550" spans="6:9" x14ac:dyDescent="0.3">
      <c r="F3550" s="14"/>
      <c r="G3550" s="15"/>
      <c r="H3550" s="15"/>
      <c r="I3550" s="16"/>
    </row>
    <row r="3551" spans="6:9" x14ac:dyDescent="0.3">
      <c r="F3551" s="14"/>
      <c r="G3551" s="15"/>
      <c r="H3551" s="15"/>
      <c r="I3551" s="16"/>
    </row>
    <row r="3552" spans="6:9" x14ac:dyDescent="0.3">
      <c r="F3552" s="14"/>
      <c r="G3552" s="15"/>
      <c r="H3552" s="15"/>
      <c r="I3552" s="16"/>
    </row>
    <row r="3553" spans="6:9" x14ac:dyDescent="0.3">
      <c r="F3553" s="14"/>
      <c r="G3553" s="15"/>
      <c r="H3553" s="15"/>
      <c r="I3553" s="16"/>
    </row>
    <row r="3554" spans="6:9" x14ac:dyDescent="0.3">
      <c r="F3554" s="14"/>
      <c r="G3554" s="15"/>
      <c r="H3554" s="15"/>
      <c r="I3554" s="16"/>
    </row>
    <row r="3555" spans="6:9" x14ac:dyDescent="0.3">
      <c r="F3555" s="14"/>
      <c r="G3555" s="15"/>
      <c r="H3555" s="15"/>
      <c r="I3555" s="16"/>
    </row>
    <row r="3556" spans="6:9" x14ac:dyDescent="0.3">
      <c r="F3556" s="14"/>
      <c r="G3556" s="15"/>
      <c r="H3556" s="15"/>
      <c r="I3556" s="16"/>
    </row>
    <row r="3557" spans="6:9" x14ac:dyDescent="0.3">
      <c r="F3557" s="14"/>
      <c r="G3557" s="15"/>
      <c r="H3557" s="15"/>
      <c r="I3557" s="16"/>
    </row>
    <row r="3558" spans="6:9" x14ac:dyDescent="0.3">
      <c r="F3558" s="14"/>
      <c r="G3558" s="15"/>
      <c r="H3558" s="15"/>
      <c r="I3558" s="16"/>
    </row>
    <row r="3559" spans="6:9" x14ac:dyDescent="0.3">
      <c r="F3559" s="14"/>
      <c r="G3559" s="15"/>
      <c r="H3559" s="15"/>
      <c r="I3559" s="16"/>
    </row>
    <row r="3560" spans="6:9" x14ac:dyDescent="0.3">
      <c r="F3560" s="14"/>
      <c r="G3560" s="15"/>
      <c r="H3560" s="15"/>
      <c r="I3560" s="16"/>
    </row>
    <row r="3561" spans="6:9" x14ac:dyDescent="0.3">
      <c r="F3561" s="14"/>
      <c r="G3561" s="15"/>
      <c r="H3561" s="15"/>
      <c r="I3561" s="16"/>
    </row>
    <row r="3562" spans="6:9" x14ac:dyDescent="0.3">
      <c r="F3562" s="14"/>
      <c r="G3562" s="15"/>
      <c r="H3562" s="15"/>
      <c r="I3562" s="16"/>
    </row>
    <row r="3563" spans="6:9" x14ac:dyDescent="0.3">
      <c r="F3563" s="14"/>
      <c r="G3563" s="15"/>
      <c r="H3563" s="15"/>
      <c r="I3563" s="16"/>
    </row>
    <row r="3564" spans="6:9" x14ac:dyDescent="0.3">
      <c r="F3564" s="14"/>
      <c r="G3564" s="15"/>
      <c r="H3564" s="15"/>
      <c r="I3564" s="16"/>
    </row>
    <row r="3565" spans="6:9" x14ac:dyDescent="0.3">
      <c r="F3565" s="14"/>
      <c r="G3565" s="15"/>
      <c r="H3565" s="15"/>
      <c r="I3565" s="16"/>
    </row>
    <row r="3566" spans="6:9" x14ac:dyDescent="0.3">
      <c r="F3566" s="14"/>
      <c r="G3566" s="15"/>
      <c r="H3566" s="15"/>
      <c r="I3566" s="16"/>
    </row>
    <row r="3567" spans="6:9" x14ac:dyDescent="0.3">
      <c r="F3567" s="14"/>
      <c r="G3567" s="15"/>
      <c r="H3567" s="15"/>
      <c r="I3567" s="16"/>
    </row>
    <row r="3568" spans="6:9" x14ac:dyDescent="0.3">
      <c r="F3568" s="14"/>
      <c r="G3568" s="15"/>
      <c r="H3568" s="15"/>
      <c r="I3568" s="16"/>
    </row>
    <row r="3569" spans="6:9" x14ac:dyDescent="0.3">
      <c r="F3569" s="14"/>
      <c r="G3569" s="15"/>
      <c r="H3569" s="15"/>
      <c r="I3569" s="16"/>
    </row>
    <row r="3570" spans="6:9" x14ac:dyDescent="0.3">
      <c r="F3570" s="14"/>
      <c r="G3570" s="15"/>
      <c r="H3570" s="15"/>
      <c r="I3570" s="16"/>
    </row>
    <row r="3571" spans="6:9" x14ac:dyDescent="0.3">
      <c r="F3571" s="14"/>
      <c r="G3571" s="15"/>
      <c r="H3571" s="15"/>
      <c r="I3571" s="16"/>
    </row>
    <row r="3572" spans="6:9" x14ac:dyDescent="0.3">
      <c r="F3572" s="14"/>
      <c r="G3572" s="15"/>
      <c r="H3572" s="15"/>
      <c r="I3572" s="16"/>
    </row>
    <row r="3573" spans="6:9" x14ac:dyDescent="0.3">
      <c r="F3573" s="14"/>
      <c r="G3573" s="15"/>
      <c r="H3573" s="15"/>
      <c r="I3573" s="16"/>
    </row>
    <row r="3574" spans="6:9" x14ac:dyDescent="0.3">
      <c r="F3574" s="14"/>
      <c r="G3574" s="15"/>
      <c r="H3574" s="15"/>
      <c r="I3574" s="16"/>
    </row>
    <row r="3575" spans="6:9" x14ac:dyDescent="0.3">
      <c r="F3575" s="14"/>
      <c r="G3575" s="15"/>
      <c r="H3575" s="15"/>
      <c r="I3575" s="16"/>
    </row>
    <row r="3576" spans="6:9" x14ac:dyDescent="0.3">
      <c r="F3576" s="14"/>
      <c r="G3576" s="15"/>
      <c r="H3576" s="15"/>
      <c r="I3576" s="16"/>
    </row>
    <row r="3577" spans="6:9" x14ac:dyDescent="0.3">
      <c r="F3577" s="14"/>
      <c r="G3577" s="15"/>
      <c r="H3577" s="15"/>
      <c r="I3577" s="16"/>
    </row>
    <row r="3578" spans="6:9" x14ac:dyDescent="0.3">
      <c r="F3578" s="14"/>
      <c r="G3578" s="15"/>
      <c r="H3578" s="15"/>
      <c r="I3578" s="16"/>
    </row>
    <row r="3579" spans="6:9" x14ac:dyDescent="0.3">
      <c r="F3579" s="14"/>
      <c r="G3579" s="15"/>
      <c r="H3579" s="15"/>
      <c r="I3579" s="16"/>
    </row>
    <row r="3580" spans="6:9" x14ac:dyDescent="0.3">
      <c r="F3580" s="14"/>
      <c r="G3580" s="15"/>
      <c r="H3580" s="15"/>
      <c r="I3580" s="16"/>
    </row>
    <row r="3581" spans="6:9" x14ac:dyDescent="0.3">
      <c r="F3581" s="14"/>
      <c r="G3581" s="15"/>
      <c r="H3581" s="15"/>
      <c r="I3581" s="16"/>
    </row>
    <row r="3582" spans="6:9" x14ac:dyDescent="0.3">
      <c r="F3582" s="14"/>
      <c r="G3582" s="15"/>
      <c r="H3582" s="15"/>
      <c r="I3582" s="16"/>
    </row>
    <row r="3583" spans="6:9" x14ac:dyDescent="0.3">
      <c r="F3583" s="14"/>
      <c r="G3583" s="15"/>
      <c r="H3583" s="15"/>
      <c r="I3583" s="16"/>
    </row>
    <row r="3584" spans="6:9" x14ac:dyDescent="0.3">
      <c r="F3584" s="14"/>
      <c r="G3584" s="15"/>
      <c r="H3584" s="15"/>
      <c r="I3584" s="16"/>
    </row>
    <row r="3585" spans="6:9" x14ac:dyDescent="0.3">
      <c r="F3585" s="14"/>
      <c r="G3585" s="15"/>
      <c r="H3585" s="15"/>
      <c r="I3585" s="16"/>
    </row>
    <row r="3586" spans="6:9" x14ac:dyDescent="0.3">
      <c r="F3586" s="14"/>
      <c r="G3586" s="15"/>
      <c r="H3586" s="15"/>
      <c r="I3586" s="16"/>
    </row>
    <row r="3587" spans="6:9" x14ac:dyDescent="0.3">
      <c r="F3587" s="14"/>
      <c r="G3587" s="15"/>
      <c r="H3587" s="15"/>
      <c r="I3587" s="16"/>
    </row>
    <row r="3588" spans="6:9" x14ac:dyDescent="0.3">
      <c r="F3588" s="14"/>
      <c r="G3588" s="15"/>
      <c r="H3588" s="15"/>
      <c r="I3588" s="16"/>
    </row>
    <row r="3589" spans="6:9" x14ac:dyDescent="0.3">
      <c r="F3589" s="14"/>
      <c r="G3589" s="15"/>
      <c r="H3589" s="15"/>
      <c r="I3589" s="16"/>
    </row>
    <row r="3590" spans="6:9" x14ac:dyDescent="0.3">
      <c r="F3590" s="14"/>
      <c r="G3590" s="15"/>
      <c r="H3590" s="15"/>
      <c r="I3590" s="16"/>
    </row>
    <row r="3591" spans="6:9" x14ac:dyDescent="0.3">
      <c r="F3591" s="14"/>
      <c r="G3591" s="15"/>
      <c r="H3591" s="15"/>
      <c r="I3591" s="16"/>
    </row>
    <row r="3592" spans="6:9" x14ac:dyDescent="0.3">
      <c r="F3592" s="14"/>
      <c r="G3592" s="15"/>
      <c r="H3592" s="15"/>
      <c r="I3592" s="16"/>
    </row>
    <row r="3593" spans="6:9" x14ac:dyDescent="0.3">
      <c r="F3593" s="14"/>
      <c r="G3593" s="15"/>
      <c r="H3593" s="15"/>
      <c r="I3593" s="16"/>
    </row>
    <row r="3594" spans="6:9" x14ac:dyDescent="0.3">
      <c r="F3594" s="14"/>
      <c r="G3594" s="15"/>
      <c r="H3594" s="15"/>
      <c r="I3594" s="16"/>
    </row>
    <row r="3595" spans="6:9" x14ac:dyDescent="0.3">
      <c r="F3595" s="14"/>
      <c r="G3595" s="15"/>
      <c r="H3595" s="15"/>
      <c r="I3595" s="16"/>
    </row>
    <row r="3596" spans="6:9" x14ac:dyDescent="0.3">
      <c r="F3596" s="14"/>
      <c r="G3596" s="15"/>
      <c r="H3596" s="15"/>
      <c r="I3596" s="16"/>
    </row>
    <row r="3597" spans="6:9" x14ac:dyDescent="0.3">
      <c r="F3597" s="14"/>
      <c r="G3597" s="15"/>
      <c r="H3597" s="15"/>
      <c r="I3597" s="16"/>
    </row>
    <row r="3598" spans="6:9" x14ac:dyDescent="0.3">
      <c r="F3598" s="14"/>
      <c r="G3598" s="15"/>
      <c r="H3598" s="15"/>
      <c r="I3598" s="16"/>
    </row>
    <row r="3599" spans="6:9" x14ac:dyDescent="0.3">
      <c r="F3599" s="14"/>
      <c r="G3599" s="15"/>
      <c r="H3599" s="15"/>
      <c r="I3599" s="16"/>
    </row>
    <row r="3600" spans="6:9" x14ac:dyDescent="0.3">
      <c r="F3600" s="14"/>
      <c r="G3600" s="15"/>
      <c r="H3600" s="15"/>
      <c r="I3600" s="16"/>
    </row>
    <row r="3601" spans="6:9" x14ac:dyDescent="0.3">
      <c r="F3601" s="14"/>
      <c r="G3601" s="15"/>
      <c r="H3601" s="15"/>
      <c r="I3601" s="16"/>
    </row>
    <row r="3602" spans="6:9" x14ac:dyDescent="0.3">
      <c r="F3602" s="14"/>
      <c r="G3602" s="15"/>
      <c r="H3602" s="15"/>
      <c r="I3602" s="16"/>
    </row>
    <row r="3603" spans="6:9" x14ac:dyDescent="0.3">
      <c r="F3603" s="14"/>
      <c r="G3603" s="15"/>
      <c r="H3603" s="15"/>
      <c r="I3603" s="16"/>
    </row>
    <row r="3604" spans="6:9" x14ac:dyDescent="0.3">
      <c r="F3604" s="14"/>
      <c r="G3604" s="15"/>
      <c r="H3604" s="15"/>
      <c r="I3604" s="16"/>
    </row>
    <row r="3605" spans="6:9" x14ac:dyDescent="0.3">
      <c r="F3605" s="14"/>
      <c r="G3605" s="15"/>
      <c r="H3605" s="15"/>
      <c r="I3605" s="16"/>
    </row>
    <row r="3606" spans="6:9" x14ac:dyDescent="0.3">
      <c r="F3606" s="14"/>
      <c r="G3606" s="15"/>
      <c r="H3606" s="15"/>
      <c r="I3606" s="16"/>
    </row>
    <row r="3607" spans="6:9" x14ac:dyDescent="0.3">
      <c r="F3607" s="14"/>
      <c r="G3607" s="15"/>
      <c r="H3607" s="15"/>
      <c r="I3607" s="16"/>
    </row>
    <row r="3608" spans="6:9" x14ac:dyDescent="0.3">
      <c r="F3608" s="14"/>
      <c r="G3608" s="15"/>
      <c r="H3608" s="15"/>
      <c r="I3608" s="16"/>
    </row>
    <row r="3609" spans="6:9" x14ac:dyDescent="0.3">
      <c r="F3609" s="14"/>
      <c r="G3609" s="15"/>
      <c r="H3609" s="15"/>
      <c r="I3609" s="16"/>
    </row>
    <row r="3610" spans="6:9" x14ac:dyDescent="0.3">
      <c r="F3610" s="14"/>
      <c r="G3610" s="15"/>
      <c r="H3610" s="15"/>
      <c r="I3610" s="16"/>
    </row>
    <row r="3611" spans="6:9" x14ac:dyDescent="0.3">
      <c r="F3611" s="14"/>
      <c r="G3611" s="15"/>
      <c r="H3611" s="15"/>
      <c r="I3611" s="16"/>
    </row>
    <row r="3612" spans="6:9" x14ac:dyDescent="0.3">
      <c r="F3612" s="14"/>
      <c r="G3612" s="15"/>
      <c r="H3612" s="15"/>
      <c r="I3612" s="16"/>
    </row>
    <row r="3613" spans="6:9" x14ac:dyDescent="0.3">
      <c r="F3613" s="14"/>
      <c r="G3613" s="15"/>
      <c r="H3613" s="15"/>
      <c r="I3613" s="16"/>
    </row>
    <row r="3614" spans="6:9" x14ac:dyDescent="0.3">
      <c r="F3614" s="14"/>
      <c r="G3614" s="15"/>
      <c r="H3614" s="15"/>
      <c r="I3614" s="16"/>
    </row>
    <row r="3615" spans="6:9" x14ac:dyDescent="0.3">
      <c r="F3615" s="14"/>
      <c r="G3615" s="15"/>
      <c r="H3615" s="15"/>
      <c r="I3615" s="16"/>
    </row>
    <row r="3616" spans="6:9" x14ac:dyDescent="0.3">
      <c r="F3616" s="14"/>
      <c r="G3616" s="15"/>
      <c r="H3616" s="15"/>
      <c r="I3616" s="16"/>
    </row>
    <row r="3617" spans="6:9" x14ac:dyDescent="0.3">
      <c r="F3617" s="14"/>
      <c r="G3617" s="15"/>
      <c r="H3617" s="15"/>
      <c r="I3617" s="16"/>
    </row>
    <row r="3618" spans="6:9" x14ac:dyDescent="0.3">
      <c r="F3618" s="14"/>
      <c r="G3618" s="15"/>
      <c r="H3618" s="15"/>
      <c r="I3618" s="16"/>
    </row>
    <row r="3619" spans="6:9" x14ac:dyDescent="0.3">
      <c r="F3619" s="14"/>
      <c r="G3619" s="15"/>
      <c r="H3619" s="15"/>
      <c r="I3619" s="16"/>
    </row>
    <row r="3620" spans="6:9" x14ac:dyDescent="0.3">
      <c r="F3620" s="14"/>
      <c r="G3620" s="15"/>
      <c r="H3620" s="15"/>
      <c r="I3620" s="16"/>
    </row>
    <row r="3621" spans="6:9" x14ac:dyDescent="0.3">
      <c r="F3621" s="14"/>
      <c r="G3621" s="15"/>
      <c r="H3621" s="15"/>
      <c r="I3621" s="16"/>
    </row>
    <row r="3622" spans="6:9" x14ac:dyDescent="0.3">
      <c r="F3622" s="14"/>
      <c r="G3622" s="15"/>
      <c r="H3622" s="15"/>
      <c r="I3622" s="16"/>
    </row>
    <row r="3623" spans="6:9" x14ac:dyDescent="0.3">
      <c r="F3623" s="14"/>
      <c r="G3623" s="15"/>
      <c r="H3623" s="15"/>
      <c r="I3623" s="16"/>
    </row>
    <row r="3624" spans="6:9" x14ac:dyDescent="0.3">
      <c r="F3624" s="14"/>
      <c r="G3624" s="15"/>
      <c r="H3624" s="15"/>
      <c r="I3624" s="16"/>
    </row>
    <row r="3625" spans="6:9" x14ac:dyDescent="0.3">
      <c r="F3625" s="14"/>
      <c r="G3625" s="15"/>
      <c r="H3625" s="15"/>
      <c r="I3625" s="16"/>
    </row>
    <row r="3626" spans="6:9" x14ac:dyDescent="0.3">
      <c r="F3626" s="14"/>
      <c r="G3626" s="15"/>
      <c r="H3626" s="15"/>
      <c r="I3626" s="16"/>
    </row>
    <row r="3627" spans="6:9" x14ac:dyDescent="0.3">
      <c r="F3627" s="14"/>
      <c r="G3627" s="15"/>
      <c r="H3627" s="15"/>
      <c r="I3627" s="16"/>
    </row>
    <row r="3628" spans="6:9" x14ac:dyDescent="0.3">
      <c r="F3628" s="14"/>
      <c r="G3628" s="15"/>
      <c r="H3628" s="15"/>
      <c r="I3628" s="16"/>
    </row>
    <row r="3629" spans="6:9" x14ac:dyDescent="0.3">
      <c r="F3629" s="14"/>
      <c r="G3629" s="15"/>
      <c r="H3629" s="15"/>
      <c r="I3629" s="16"/>
    </row>
    <row r="3630" spans="6:9" x14ac:dyDescent="0.3">
      <c r="F3630" s="14"/>
      <c r="G3630" s="15"/>
      <c r="H3630" s="15"/>
      <c r="I3630" s="16"/>
    </row>
    <row r="3631" spans="6:9" x14ac:dyDescent="0.3">
      <c r="F3631" s="14"/>
      <c r="G3631" s="15"/>
      <c r="H3631" s="15"/>
      <c r="I3631" s="16"/>
    </row>
    <row r="3632" spans="6:9" x14ac:dyDescent="0.3">
      <c r="F3632" s="14"/>
      <c r="G3632" s="15"/>
      <c r="H3632" s="15"/>
      <c r="I3632" s="16"/>
    </row>
    <row r="3633" spans="6:9" x14ac:dyDescent="0.3">
      <c r="F3633" s="14"/>
      <c r="G3633" s="15"/>
      <c r="H3633" s="15"/>
      <c r="I3633" s="16"/>
    </row>
    <row r="3634" spans="6:9" x14ac:dyDescent="0.3">
      <c r="F3634" s="14"/>
      <c r="G3634" s="15"/>
      <c r="H3634" s="15"/>
      <c r="I3634" s="16"/>
    </row>
    <row r="3635" spans="6:9" x14ac:dyDescent="0.3">
      <c r="F3635" s="14"/>
      <c r="G3635" s="15"/>
      <c r="H3635" s="15"/>
      <c r="I3635" s="16"/>
    </row>
    <row r="3636" spans="6:9" x14ac:dyDescent="0.3">
      <c r="F3636" s="14"/>
      <c r="G3636" s="15"/>
      <c r="H3636" s="15"/>
      <c r="I3636" s="16"/>
    </row>
    <row r="3637" spans="6:9" x14ac:dyDescent="0.3">
      <c r="F3637" s="14"/>
      <c r="G3637" s="15"/>
      <c r="H3637" s="15"/>
      <c r="I3637" s="16"/>
    </row>
    <row r="3638" spans="6:9" x14ac:dyDescent="0.3">
      <c r="F3638" s="14"/>
      <c r="G3638" s="15"/>
      <c r="H3638" s="15"/>
      <c r="I3638" s="16"/>
    </row>
    <row r="3639" spans="6:9" x14ac:dyDescent="0.3">
      <c r="F3639" s="14"/>
      <c r="G3639" s="15"/>
      <c r="H3639" s="15"/>
      <c r="I3639" s="16"/>
    </row>
    <row r="3640" spans="6:9" x14ac:dyDescent="0.3">
      <c r="F3640" s="14"/>
      <c r="G3640" s="15"/>
      <c r="H3640" s="15"/>
      <c r="I3640" s="16"/>
    </row>
    <row r="3641" spans="6:9" x14ac:dyDescent="0.3">
      <c r="F3641" s="14"/>
      <c r="G3641" s="15"/>
      <c r="H3641" s="15"/>
      <c r="I3641" s="16"/>
    </row>
    <row r="3642" spans="6:9" x14ac:dyDescent="0.3">
      <c r="F3642" s="14"/>
      <c r="G3642" s="15"/>
      <c r="H3642" s="15"/>
      <c r="I3642" s="16"/>
    </row>
    <row r="3643" spans="6:9" x14ac:dyDescent="0.3">
      <c r="F3643" s="14"/>
      <c r="G3643" s="15"/>
      <c r="H3643" s="15"/>
      <c r="I3643" s="16"/>
    </row>
    <row r="3644" spans="6:9" x14ac:dyDescent="0.3">
      <c r="F3644" s="14"/>
      <c r="G3644" s="15"/>
      <c r="H3644" s="15"/>
      <c r="I3644" s="16"/>
    </row>
    <row r="3645" spans="6:9" x14ac:dyDescent="0.3">
      <c r="F3645" s="14"/>
      <c r="G3645" s="15"/>
      <c r="H3645" s="15"/>
      <c r="I3645" s="16"/>
    </row>
    <row r="3646" spans="6:9" x14ac:dyDescent="0.3">
      <c r="F3646" s="14"/>
      <c r="G3646" s="15"/>
      <c r="H3646" s="15"/>
      <c r="I3646" s="16"/>
    </row>
    <row r="3647" spans="6:9" x14ac:dyDescent="0.3">
      <c r="F3647" s="14"/>
      <c r="G3647" s="15"/>
      <c r="H3647" s="15"/>
      <c r="I3647" s="16"/>
    </row>
    <row r="3648" spans="6:9" x14ac:dyDescent="0.3">
      <c r="F3648" s="14"/>
      <c r="G3648" s="15"/>
      <c r="H3648" s="15"/>
      <c r="I3648" s="16"/>
    </row>
    <row r="3649" spans="6:9" x14ac:dyDescent="0.3">
      <c r="F3649" s="14"/>
      <c r="G3649" s="15"/>
      <c r="H3649" s="15"/>
      <c r="I3649" s="16"/>
    </row>
    <row r="3650" spans="6:9" x14ac:dyDescent="0.3">
      <c r="F3650" s="14"/>
      <c r="G3650" s="15"/>
      <c r="H3650" s="15"/>
      <c r="I3650" s="16"/>
    </row>
    <row r="3651" spans="6:9" x14ac:dyDescent="0.3">
      <c r="F3651" s="14"/>
      <c r="G3651" s="15"/>
      <c r="H3651" s="15"/>
      <c r="I3651" s="16"/>
    </row>
    <row r="3652" spans="6:9" x14ac:dyDescent="0.3">
      <c r="F3652" s="14"/>
      <c r="G3652" s="15"/>
      <c r="H3652" s="15"/>
      <c r="I3652" s="16"/>
    </row>
    <row r="3653" spans="6:9" x14ac:dyDescent="0.3">
      <c r="F3653" s="14"/>
      <c r="G3653" s="15"/>
      <c r="H3653" s="15"/>
      <c r="I3653" s="16"/>
    </row>
    <row r="3654" spans="6:9" x14ac:dyDescent="0.3">
      <c r="F3654" s="14"/>
      <c r="G3654" s="15"/>
      <c r="H3654" s="15"/>
      <c r="I3654" s="16"/>
    </row>
    <row r="3655" spans="6:9" x14ac:dyDescent="0.3">
      <c r="F3655" s="14"/>
      <c r="G3655" s="15"/>
      <c r="H3655" s="15"/>
      <c r="I3655" s="16"/>
    </row>
    <row r="3656" spans="6:9" x14ac:dyDescent="0.3">
      <c r="F3656" s="14"/>
      <c r="G3656" s="15"/>
      <c r="H3656" s="15"/>
      <c r="I3656" s="16"/>
    </row>
    <row r="3657" spans="6:9" x14ac:dyDescent="0.3">
      <c r="F3657" s="14"/>
      <c r="G3657" s="15"/>
      <c r="H3657" s="15"/>
      <c r="I3657" s="16"/>
    </row>
    <row r="3658" spans="6:9" x14ac:dyDescent="0.3">
      <c r="F3658" s="14"/>
      <c r="G3658" s="15"/>
      <c r="H3658" s="15"/>
      <c r="I3658" s="16"/>
    </row>
    <row r="3659" spans="6:9" x14ac:dyDescent="0.3">
      <c r="F3659" s="14"/>
      <c r="G3659" s="15"/>
      <c r="H3659" s="15"/>
      <c r="I3659" s="16"/>
    </row>
    <row r="3660" spans="6:9" x14ac:dyDescent="0.3">
      <c r="F3660" s="14"/>
      <c r="G3660" s="15"/>
      <c r="H3660" s="15"/>
      <c r="I3660" s="16"/>
    </row>
    <row r="3661" spans="6:9" x14ac:dyDescent="0.3">
      <c r="F3661" s="14"/>
      <c r="G3661" s="15"/>
      <c r="H3661" s="15"/>
      <c r="I3661" s="16"/>
    </row>
    <row r="3662" spans="6:9" x14ac:dyDescent="0.3">
      <c r="F3662" s="14"/>
      <c r="G3662" s="15"/>
      <c r="H3662" s="15"/>
      <c r="I3662" s="16"/>
    </row>
    <row r="3663" spans="6:9" x14ac:dyDescent="0.3">
      <c r="F3663" s="14"/>
      <c r="G3663" s="15"/>
      <c r="H3663" s="15"/>
      <c r="I3663" s="16"/>
    </row>
    <row r="3664" spans="6:9" x14ac:dyDescent="0.3">
      <c r="F3664" s="14"/>
      <c r="G3664" s="15"/>
      <c r="H3664" s="15"/>
      <c r="I3664" s="16"/>
    </row>
    <row r="3665" spans="6:9" x14ac:dyDescent="0.3">
      <c r="F3665" s="14"/>
      <c r="G3665" s="15"/>
      <c r="H3665" s="15"/>
      <c r="I3665" s="16"/>
    </row>
    <row r="3666" spans="6:9" x14ac:dyDescent="0.3">
      <c r="F3666" s="14"/>
      <c r="G3666" s="15"/>
      <c r="H3666" s="15"/>
      <c r="I3666" s="16"/>
    </row>
    <row r="3667" spans="6:9" x14ac:dyDescent="0.3">
      <c r="F3667" s="14"/>
      <c r="G3667" s="15"/>
      <c r="H3667" s="15"/>
      <c r="I3667" s="16"/>
    </row>
    <row r="3668" spans="6:9" x14ac:dyDescent="0.3">
      <c r="F3668" s="14"/>
      <c r="G3668" s="15"/>
      <c r="H3668" s="15"/>
      <c r="I3668" s="16"/>
    </row>
    <row r="3669" spans="6:9" x14ac:dyDescent="0.3">
      <c r="F3669" s="14"/>
      <c r="G3669" s="15"/>
      <c r="H3669" s="15"/>
      <c r="I3669" s="16"/>
    </row>
    <row r="3670" spans="6:9" x14ac:dyDescent="0.3">
      <c r="F3670" s="14"/>
      <c r="G3670" s="15"/>
      <c r="H3670" s="15"/>
      <c r="I3670" s="16"/>
    </row>
    <row r="3671" spans="6:9" x14ac:dyDescent="0.3">
      <c r="F3671" s="14"/>
      <c r="G3671" s="15"/>
      <c r="H3671" s="15"/>
      <c r="I3671" s="16"/>
    </row>
    <row r="3672" spans="6:9" x14ac:dyDescent="0.3">
      <c r="F3672" s="14"/>
      <c r="G3672" s="15"/>
      <c r="H3672" s="15"/>
      <c r="I3672" s="16"/>
    </row>
    <row r="3673" spans="6:9" x14ac:dyDescent="0.3">
      <c r="F3673" s="14"/>
      <c r="G3673" s="15"/>
      <c r="H3673" s="15"/>
      <c r="I3673" s="16"/>
    </row>
    <row r="3674" spans="6:9" x14ac:dyDescent="0.3">
      <c r="F3674" s="14"/>
      <c r="G3674" s="15"/>
      <c r="H3674" s="15"/>
      <c r="I3674" s="16"/>
    </row>
    <row r="3675" spans="6:9" x14ac:dyDescent="0.3">
      <c r="F3675" s="14"/>
      <c r="G3675" s="15"/>
      <c r="H3675" s="15"/>
      <c r="I3675" s="16"/>
    </row>
    <row r="3676" spans="6:9" x14ac:dyDescent="0.3">
      <c r="F3676" s="14"/>
      <c r="G3676" s="15"/>
      <c r="H3676" s="15"/>
      <c r="I3676" s="16"/>
    </row>
    <row r="3677" spans="6:9" x14ac:dyDescent="0.3">
      <c r="F3677" s="14"/>
      <c r="G3677" s="15"/>
      <c r="H3677" s="15"/>
      <c r="I3677" s="16"/>
    </row>
    <row r="3678" spans="6:9" x14ac:dyDescent="0.3">
      <c r="F3678" s="14"/>
      <c r="G3678" s="15"/>
      <c r="H3678" s="15"/>
      <c r="I3678" s="16"/>
    </row>
    <row r="3679" spans="6:9" x14ac:dyDescent="0.3">
      <c r="F3679" s="14"/>
      <c r="G3679" s="15"/>
      <c r="H3679" s="15"/>
      <c r="I3679" s="16"/>
    </row>
    <row r="3680" spans="6:9" x14ac:dyDescent="0.3">
      <c r="F3680" s="14"/>
      <c r="G3680" s="15"/>
      <c r="H3680" s="15"/>
      <c r="I3680" s="16"/>
    </row>
    <row r="3681" spans="6:9" x14ac:dyDescent="0.3">
      <c r="F3681" s="14"/>
      <c r="G3681" s="15"/>
      <c r="H3681" s="15"/>
      <c r="I3681" s="16"/>
    </row>
    <row r="3682" spans="6:9" x14ac:dyDescent="0.3">
      <c r="F3682" s="14"/>
      <c r="G3682" s="15"/>
      <c r="H3682" s="15"/>
      <c r="I3682" s="16"/>
    </row>
    <row r="3683" spans="6:9" x14ac:dyDescent="0.3">
      <c r="F3683" s="14"/>
      <c r="G3683" s="15"/>
      <c r="H3683" s="15"/>
      <c r="I3683" s="16"/>
    </row>
    <row r="3684" spans="6:9" x14ac:dyDescent="0.3">
      <c r="F3684" s="14"/>
      <c r="G3684" s="15"/>
      <c r="H3684" s="15"/>
      <c r="I3684" s="16"/>
    </row>
    <row r="3685" spans="6:9" x14ac:dyDescent="0.3">
      <c r="F3685" s="14"/>
      <c r="G3685" s="15"/>
      <c r="H3685" s="15"/>
      <c r="I3685" s="16"/>
    </row>
    <row r="3686" spans="6:9" x14ac:dyDescent="0.3">
      <c r="F3686" s="14"/>
      <c r="G3686" s="15"/>
      <c r="H3686" s="15"/>
      <c r="I3686" s="16"/>
    </row>
    <row r="3687" spans="6:9" x14ac:dyDescent="0.3">
      <c r="F3687" s="14"/>
      <c r="G3687" s="15"/>
      <c r="H3687" s="15"/>
      <c r="I3687" s="16"/>
    </row>
    <row r="3688" spans="6:9" x14ac:dyDescent="0.3">
      <c r="F3688" s="14"/>
      <c r="G3688" s="15"/>
      <c r="H3688" s="15"/>
      <c r="I3688" s="16"/>
    </row>
    <row r="3689" spans="6:9" x14ac:dyDescent="0.3">
      <c r="F3689" s="14"/>
      <c r="G3689" s="15"/>
      <c r="H3689" s="15"/>
      <c r="I3689" s="16"/>
    </row>
    <row r="3690" spans="6:9" x14ac:dyDescent="0.3">
      <c r="F3690" s="14"/>
      <c r="G3690" s="15"/>
      <c r="H3690" s="15"/>
      <c r="I3690" s="16"/>
    </row>
    <row r="3691" spans="6:9" x14ac:dyDescent="0.3">
      <c r="F3691" s="14"/>
      <c r="G3691" s="15"/>
      <c r="H3691" s="15"/>
      <c r="I3691" s="16"/>
    </row>
    <row r="3692" spans="6:9" x14ac:dyDescent="0.3">
      <c r="F3692" s="14"/>
      <c r="G3692" s="15"/>
      <c r="H3692" s="15"/>
      <c r="I3692" s="16"/>
    </row>
    <row r="3693" spans="6:9" x14ac:dyDescent="0.3">
      <c r="F3693" s="14"/>
      <c r="G3693" s="15"/>
      <c r="H3693" s="15"/>
      <c r="I3693" s="16"/>
    </row>
    <row r="3694" spans="6:9" x14ac:dyDescent="0.3">
      <c r="F3694" s="14"/>
      <c r="G3694" s="15"/>
      <c r="H3694" s="15"/>
      <c r="I3694" s="16"/>
    </row>
    <row r="3695" spans="6:9" x14ac:dyDescent="0.3">
      <c r="F3695" s="14"/>
      <c r="G3695" s="15"/>
      <c r="H3695" s="15"/>
      <c r="I3695" s="16"/>
    </row>
    <row r="3696" spans="6:9" x14ac:dyDescent="0.3">
      <c r="F3696" s="14"/>
      <c r="G3696" s="15"/>
      <c r="H3696" s="15"/>
      <c r="I3696" s="16"/>
    </row>
    <row r="3697" spans="6:9" x14ac:dyDescent="0.3">
      <c r="F3697" s="14"/>
      <c r="G3697" s="15"/>
      <c r="H3697" s="15"/>
      <c r="I3697" s="16"/>
    </row>
    <row r="3698" spans="6:9" x14ac:dyDescent="0.3">
      <c r="F3698" s="14"/>
      <c r="G3698" s="15"/>
      <c r="H3698" s="15"/>
      <c r="I3698" s="16"/>
    </row>
    <row r="3699" spans="6:9" x14ac:dyDescent="0.3">
      <c r="F3699" s="14"/>
      <c r="G3699" s="15"/>
      <c r="H3699" s="15"/>
      <c r="I3699" s="16"/>
    </row>
    <row r="3700" spans="6:9" x14ac:dyDescent="0.3">
      <c r="F3700" s="14"/>
      <c r="G3700" s="15"/>
      <c r="H3700" s="15"/>
      <c r="I3700" s="16"/>
    </row>
    <row r="3701" spans="6:9" x14ac:dyDescent="0.3">
      <c r="F3701" s="14"/>
      <c r="G3701" s="15"/>
      <c r="H3701" s="15"/>
      <c r="I3701" s="16"/>
    </row>
    <row r="3702" spans="6:9" x14ac:dyDescent="0.3">
      <c r="F3702" s="14"/>
      <c r="G3702" s="15"/>
      <c r="H3702" s="15"/>
      <c r="I3702" s="16"/>
    </row>
    <row r="3703" spans="6:9" x14ac:dyDescent="0.3">
      <c r="F3703" s="14"/>
      <c r="G3703" s="15"/>
      <c r="H3703" s="15"/>
      <c r="I3703" s="16"/>
    </row>
    <row r="3704" spans="6:9" x14ac:dyDescent="0.3">
      <c r="F3704" s="14"/>
      <c r="G3704" s="15"/>
      <c r="H3704" s="15"/>
      <c r="I3704" s="16"/>
    </row>
    <row r="3705" spans="6:9" x14ac:dyDescent="0.3">
      <c r="F3705" s="14"/>
      <c r="G3705" s="15"/>
      <c r="H3705" s="15"/>
      <c r="I3705" s="16"/>
    </row>
    <row r="3706" spans="6:9" x14ac:dyDescent="0.3">
      <c r="F3706" s="14"/>
      <c r="G3706" s="15"/>
      <c r="H3706" s="15"/>
      <c r="I3706" s="16"/>
    </row>
    <row r="3707" spans="6:9" x14ac:dyDescent="0.3">
      <c r="F3707" s="14"/>
      <c r="G3707" s="15"/>
      <c r="H3707" s="15"/>
      <c r="I3707" s="16"/>
    </row>
    <row r="3708" spans="6:9" x14ac:dyDescent="0.3">
      <c r="F3708" s="14"/>
      <c r="G3708" s="15"/>
      <c r="H3708" s="15"/>
      <c r="I3708" s="16"/>
    </row>
    <row r="3709" spans="6:9" x14ac:dyDescent="0.3">
      <c r="F3709" s="14"/>
      <c r="G3709" s="15"/>
      <c r="H3709" s="15"/>
      <c r="I3709" s="16"/>
    </row>
    <row r="3710" spans="6:9" x14ac:dyDescent="0.3">
      <c r="F3710" s="14"/>
      <c r="G3710" s="15"/>
      <c r="H3710" s="15"/>
      <c r="I3710" s="16"/>
    </row>
    <row r="3711" spans="6:9" x14ac:dyDescent="0.3">
      <c r="F3711" s="14"/>
      <c r="G3711" s="15"/>
      <c r="H3711" s="15"/>
      <c r="I3711" s="16"/>
    </row>
    <row r="3712" spans="6:9" x14ac:dyDescent="0.3">
      <c r="F3712" s="14"/>
      <c r="G3712" s="15"/>
      <c r="H3712" s="15"/>
      <c r="I3712" s="16"/>
    </row>
    <row r="3713" spans="6:9" x14ac:dyDescent="0.3">
      <c r="F3713" s="14"/>
      <c r="G3713" s="15"/>
      <c r="H3713" s="15"/>
      <c r="I3713" s="16"/>
    </row>
    <row r="3714" spans="6:9" x14ac:dyDescent="0.3">
      <c r="F3714" s="14"/>
      <c r="G3714" s="15"/>
      <c r="H3714" s="15"/>
      <c r="I3714" s="16"/>
    </row>
    <row r="3715" spans="6:9" x14ac:dyDescent="0.3">
      <c r="F3715" s="14"/>
      <c r="G3715" s="15"/>
      <c r="H3715" s="15"/>
      <c r="I3715" s="16"/>
    </row>
    <row r="3716" spans="6:9" x14ac:dyDescent="0.3">
      <c r="F3716" s="14"/>
      <c r="G3716" s="15"/>
      <c r="H3716" s="15"/>
      <c r="I3716" s="16"/>
    </row>
    <row r="3717" spans="6:9" x14ac:dyDescent="0.3">
      <c r="F3717" s="14"/>
      <c r="G3717" s="15"/>
      <c r="H3717" s="15"/>
      <c r="I3717" s="16"/>
    </row>
    <row r="3718" spans="6:9" x14ac:dyDescent="0.3">
      <c r="F3718" s="14"/>
      <c r="G3718" s="15"/>
      <c r="H3718" s="15"/>
      <c r="I3718" s="16"/>
    </row>
    <row r="3719" spans="6:9" x14ac:dyDescent="0.3">
      <c r="F3719" s="14"/>
      <c r="G3719" s="15"/>
      <c r="H3719" s="15"/>
      <c r="I3719" s="16"/>
    </row>
    <row r="3720" spans="6:9" x14ac:dyDescent="0.3">
      <c r="F3720" s="14"/>
      <c r="G3720" s="15"/>
      <c r="H3720" s="15"/>
      <c r="I3720" s="16"/>
    </row>
    <row r="3721" spans="6:9" x14ac:dyDescent="0.3">
      <c r="F3721" s="14"/>
      <c r="G3721" s="15"/>
      <c r="H3721" s="15"/>
      <c r="I3721" s="16"/>
    </row>
    <row r="3722" spans="6:9" x14ac:dyDescent="0.3">
      <c r="F3722" s="14"/>
      <c r="G3722" s="15"/>
      <c r="H3722" s="15"/>
      <c r="I3722" s="16"/>
    </row>
    <row r="3723" spans="6:9" x14ac:dyDescent="0.3">
      <c r="F3723" s="14"/>
      <c r="G3723" s="15"/>
      <c r="H3723" s="15"/>
      <c r="I3723" s="16"/>
    </row>
    <row r="3724" spans="6:9" x14ac:dyDescent="0.3">
      <c r="F3724" s="14"/>
      <c r="G3724" s="15"/>
      <c r="H3724" s="15"/>
      <c r="I3724" s="16"/>
    </row>
    <row r="3725" spans="6:9" x14ac:dyDescent="0.3">
      <c r="F3725" s="14"/>
      <c r="G3725" s="15"/>
      <c r="H3725" s="15"/>
      <c r="I3725" s="16"/>
    </row>
    <row r="3726" spans="6:9" x14ac:dyDescent="0.3">
      <c r="F3726" s="14"/>
      <c r="G3726" s="15"/>
      <c r="H3726" s="15"/>
      <c r="I3726" s="16"/>
    </row>
    <row r="3727" spans="6:9" x14ac:dyDescent="0.3">
      <c r="F3727" s="14"/>
      <c r="G3727" s="15"/>
      <c r="H3727" s="15"/>
      <c r="I3727" s="16"/>
    </row>
    <row r="3728" spans="6:9" x14ac:dyDescent="0.3">
      <c r="F3728" s="14"/>
      <c r="G3728" s="15"/>
      <c r="H3728" s="15"/>
      <c r="I3728" s="16"/>
    </row>
    <row r="3729" spans="6:9" x14ac:dyDescent="0.3">
      <c r="F3729" s="14"/>
      <c r="G3729" s="15"/>
      <c r="H3729" s="15"/>
      <c r="I3729" s="16"/>
    </row>
    <row r="3730" spans="6:9" x14ac:dyDescent="0.3">
      <c r="F3730" s="14"/>
      <c r="G3730" s="15"/>
      <c r="H3730" s="15"/>
      <c r="I3730" s="16"/>
    </row>
    <row r="3731" spans="6:9" x14ac:dyDescent="0.3">
      <c r="F3731" s="14"/>
      <c r="G3731" s="15"/>
      <c r="H3731" s="15"/>
      <c r="I3731" s="16"/>
    </row>
    <row r="3732" spans="6:9" x14ac:dyDescent="0.3">
      <c r="F3732" s="14"/>
      <c r="G3732" s="15"/>
      <c r="H3732" s="15"/>
      <c r="I3732" s="16"/>
    </row>
    <row r="3733" spans="6:9" x14ac:dyDescent="0.3">
      <c r="F3733" s="14"/>
      <c r="G3733" s="15"/>
      <c r="H3733" s="15"/>
      <c r="I3733" s="16"/>
    </row>
    <row r="3734" spans="6:9" x14ac:dyDescent="0.3">
      <c r="F3734" s="14"/>
      <c r="G3734" s="15"/>
      <c r="H3734" s="15"/>
      <c r="I3734" s="16"/>
    </row>
    <row r="3735" spans="6:9" x14ac:dyDescent="0.3">
      <c r="F3735" s="14"/>
      <c r="G3735" s="15"/>
      <c r="H3735" s="15"/>
      <c r="I3735" s="16"/>
    </row>
    <row r="3736" spans="6:9" x14ac:dyDescent="0.3">
      <c r="F3736" s="14"/>
      <c r="G3736" s="15"/>
      <c r="H3736" s="15"/>
      <c r="I3736" s="16"/>
    </row>
    <row r="3737" spans="6:9" x14ac:dyDescent="0.3">
      <c r="F3737" s="14"/>
      <c r="G3737" s="15"/>
      <c r="H3737" s="15"/>
      <c r="I3737" s="16"/>
    </row>
    <row r="3738" spans="6:9" x14ac:dyDescent="0.3">
      <c r="F3738" s="14"/>
      <c r="G3738" s="15"/>
      <c r="H3738" s="15"/>
      <c r="I3738" s="16"/>
    </row>
    <row r="3739" spans="6:9" x14ac:dyDescent="0.3">
      <c r="F3739" s="14"/>
      <c r="G3739" s="15"/>
      <c r="H3739" s="15"/>
      <c r="I3739" s="16"/>
    </row>
    <row r="3740" spans="6:9" x14ac:dyDescent="0.3">
      <c r="F3740" s="14"/>
      <c r="G3740" s="15"/>
      <c r="H3740" s="15"/>
      <c r="I3740" s="16"/>
    </row>
    <row r="3741" spans="6:9" x14ac:dyDescent="0.3">
      <c r="F3741" s="14"/>
      <c r="G3741" s="15"/>
      <c r="H3741" s="15"/>
      <c r="I3741" s="16"/>
    </row>
    <row r="3742" spans="6:9" x14ac:dyDescent="0.3">
      <c r="F3742" s="14"/>
      <c r="G3742" s="15"/>
      <c r="H3742" s="15"/>
      <c r="I3742" s="16"/>
    </row>
    <row r="3743" spans="6:9" x14ac:dyDescent="0.3">
      <c r="F3743" s="14"/>
      <c r="G3743" s="15"/>
      <c r="H3743" s="15"/>
      <c r="I3743" s="16"/>
    </row>
    <row r="3744" spans="6:9" x14ac:dyDescent="0.3">
      <c r="F3744" s="14"/>
      <c r="G3744" s="15"/>
      <c r="H3744" s="15"/>
      <c r="I3744" s="16"/>
    </row>
    <row r="3745" spans="6:9" x14ac:dyDescent="0.3">
      <c r="F3745" s="14"/>
      <c r="G3745" s="15"/>
      <c r="H3745" s="15"/>
      <c r="I3745" s="16"/>
    </row>
    <row r="3746" spans="6:9" x14ac:dyDescent="0.3">
      <c r="F3746" s="14"/>
      <c r="G3746" s="15"/>
      <c r="H3746" s="15"/>
      <c r="I3746" s="16"/>
    </row>
    <row r="3747" spans="6:9" x14ac:dyDescent="0.3">
      <c r="F3747" s="14"/>
      <c r="G3747" s="15"/>
      <c r="H3747" s="15"/>
      <c r="I3747" s="16"/>
    </row>
    <row r="3748" spans="6:9" x14ac:dyDescent="0.3">
      <c r="F3748" s="14"/>
      <c r="G3748" s="15"/>
      <c r="H3748" s="15"/>
      <c r="I3748" s="16"/>
    </row>
    <row r="3749" spans="6:9" x14ac:dyDescent="0.3">
      <c r="F3749" s="14"/>
      <c r="G3749" s="15"/>
      <c r="H3749" s="15"/>
      <c r="I3749" s="16"/>
    </row>
    <row r="3750" spans="6:9" x14ac:dyDescent="0.3">
      <c r="F3750" s="14"/>
      <c r="G3750" s="15"/>
      <c r="H3750" s="15"/>
      <c r="I3750" s="16"/>
    </row>
    <row r="3751" spans="6:9" x14ac:dyDescent="0.3">
      <c r="F3751" s="14"/>
      <c r="G3751" s="15"/>
      <c r="H3751" s="15"/>
      <c r="I3751" s="16"/>
    </row>
    <row r="3752" spans="6:9" x14ac:dyDescent="0.3">
      <c r="F3752" s="14"/>
      <c r="G3752" s="15"/>
      <c r="H3752" s="15"/>
      <c r="I3752" s="16"/>
    </row>
    <row r="3753" spans="6:9" x14ac:dyDescent="0.3">
      <c r="F3753" s="14"/>
      <c r="G3753" s="15"/>
      <c r="H3753" s="15"/>
      <c r="I3753" s="16"/>
    </row>
    <row r="3754" spans="6:9" x14ac:dyDescent="0.3">
      <c r="F3754" s="14"/>
      <c r="G3754" s="15"/>
      <c r="H3754" s="15"/>
      <c r="I3754" s="16"/>
    </row>
    <row r="3755" spans="6:9" x14ac:dyDescent="0.3">
      <c r="F3755" s="14"/>
      <c r="G3755" s="15"/>
      <c r="H3755" s="15"/>
      <c r="I3755" s="16"/>
    </row>
    <row r="3756" spans="6:9" x14ac:dyDescent="0.3">
      <c r="F3756" s="14"/>
      <c r="G3756" s="15"/>
      <c r="H3756" s="15"/>
      <c r="I3756" s="16"/>
    </row>
    <row r="3757" spans="6:9" x14ac:dyDescent="0.3">
      <c r="F3757" s="14"/>
      <c r="G3757" s="15"/>
      <c r="H3757" s="15"/>
      <c r="I3757" s="16"/>
    </row>
    <row r="3758" spans="6:9" x14ac:dyDescent="0.3">
      <c r="F3758" s="14"/>
      <c r="G3758" s="15"/>
      <c r="H3758" s="15"/>
      <c r="I3758" s="16"/>
    </row>
    <row r="3759" spans="6:9" x14ac:dyDescent="0.3">
      <c r="F3759" s="14"/>
      <c r="G3759" s="15"/>
      <c r="H3759" s="15"/>
      <c r="I3759" s="16"/>
    </row>
    <row r="3760" spans="6:9" x14ac:dyDescent="0.3">
      <c r="F3760" s="14"/>
      <c r="G3760" s="15"/>
      <c r="H3760" s="15"/>
      <c r="I3760" s="16"/>
    </row>
    <row r="3761" spans="6:9" x14ac:dyDescent="0.3">
      <c r="F3761" s="14"/>
      <c r="G3761" s="15"/>
      <c r="H3761" s="15"/>
      <c r="I3761" s="16"/>
    </row>
    <row r="3762" spans="6:9" x14ac:dyDescent="0.3">
      <c r="F3762" s="14"/>
      <c r="G3762" s="15"/>
      <c r="H3762" s="15"/>
      <c r="I3762" s="16"/>
    </row>
    <row r="3763" spans="6:9" x14ac:dyDescent="0.3">
      <c r="F3763" s="14"/>
      <c r="G3763" s="15"/>
      <c r="H3763" s="15"/>
      <c r="I3763" s="16"/>
    </row>
    <row r="3764" spans="6:9" x14ac:dyDescent="0.3">
      <c r="F3764" s="14"/>
      <c r="G3764" s="15"/>
      <c r="H3764" s="15"/>
      <c r="I3764" s="16"/>
    </row>
    <row r="3765" spans="6:9" x14ac:dyDescent="0.3">
      <c r="F3765" s="14"/>
      <c r="G3765" s="15"/>
      <c r="H3765" s="15"/>
      <c r="I3765" s="16"/>
    </row>
    <row r="3766" spans="6:9" x14ac:dyDescent="0.3">
      <c r="F3766" s="14"/>
      <c r="G3766" s="15"/>
      <c r="H3766" s="15"/>
      <c r="I3766" s="16"/>
    </row>
    <row r="3767" spans="6:9" x14ac:dyDescent="0.3">
      <c r="F3767" s="14"/>
      <c r="G3767" s="15"/>
      <c r="H3767" s="15"/>
      <c r="I3767" s="16"/>
    </row>
    <row r="3768" spans="6:9" x14ac:dyDescent="0.3">
      <c r="F3768" s="14"/>
      <c r="G3768" s="15"/>
      <c r="H3768" s="15"/>
      <c r="I3768" s="16"/>
    </row>
    <row r="3769" spans="6:9" x14ac:dyDescent="0.3">
      <c r="F3769" s="14"/>
      <c r="G3769" s="15"/>
      <c r="H3769" s="15"/>
      <c r="I3769" s="16"/>
    </row>
    <row r="3770" spans="6:9" x14ac:dyDescent="0.3">
      <c r="F3770" s="14"/>
      <c r="G3770" s="15"/>
      <c r="H3770" s="15"/>
      <c r="I3770" s="16"/>
    </row>
    <row r="3771" spans="6:9" x14ac:dyDescent="0.3">
      <c r="F3771" s="14"/>
      <c r="G3771" s="15"/>
      <c r="H3771" s="15"/>
      <c r="I3771" s="16"/>
    </row>
    <row r="3772" spans="6:9" x14ac:dyDescent="0.3">
      <c r="F3772" s="14"/>
      <c r="G3772" s="15"/>
      <c r="H3772" s="15"/>
      <c r="I3772" s="16"/>
    </row>
    <row r="3773" spans="6:9" x14ac:dyDescent="0.3">
      <c r="F3773" s="14"/>
      <c r="G3773" s="15"/>
      <c r="H3773" s="15"/>
      <c r="I3773" s="16"/>
    </row>
    <row r="3774" spans="6:9" x14ac:dyDescent="0.3">
      <c r="F3774" s="14"/>
      <c r="G3774" s="15"/>
      <c r="H3774" s="15"/>
      <c r="I3774" s="16"/>
    </row>
    <row r="3775" spans="6:9" x14ac:dyDescent="0.3">
      <c r="F3775" s="14"/>
      <c r="G3775" s="15"/>
      <c r="H3775" s="15"/>
      <c r="I3775" s="16"/>
    </row>
    <row r="3776" spans="6:9" x14ac:dyDescent="0.3">
      <c r="F3776" s="14"/>
      <c r="G3776" s="15"/>
      <c r="H3776" s="15"/>
      <c r="I3776" s="16"/>
    </row>
    <row r="3777" spans="6:9" x14ac:dyDescent="0.3">
      <c r="F3777" s="14"/>
      <c r="G3777" s="15"/>
      <c r="H3777" s="15"/>
      <c r="I3777" s="16"/>
    </row>
    <row r="3778" spans="6:9" x14ac:dyDescent="0.3">
      <c r="F3778" s="14"/>
      <c r="G3778" s="15"/>
      <c r="H3778" s="15"/>
      <c r="I3778" s="16"/>
    </row>
    <row r="3779" spans="6:9" x14ac:dyDescent="0.3">
      <c r="F3779" s="14"/>
      <c r="G3779" s="15"/>
      <c r="H3779" s="15"/>
      <c r="I3779" s="16"/>
    </row>
    <row r="3780" spans="6:9" x14ac:dyDescent="0.3">
      <c r="F3780" s="14"/>
      <c r="G3780" s="15"/>
      <c r="H3780" s="15"/>
      <c r="I3780" s="16"/>
    </row>
    <row r="3781" spans="6:9" x14ac:dyDescent="0.3">
      <c r="F3781" s="14"/>
      <c r="G3781" s="15"/>
      <c r="H3781" s="15"/>
      <c r="I3781" s="16"/>
    </row>
    <row r="3782" spans="6:9" x14ac:dyDescent="0.3">
      <c r="F3782" s="14"/>
      <c r="G3782" s="15"/>
      <c r="H3782" s="15"/>
      <c r="I3782" s="16"/>
    </row>
    <row r="3783" spans="6:9" x14ac:dyDescent="0.3">
      <c r="F3783" s="14"/>
      <c r="G3783" s="15"/>
      <c r="H3783" s="15"/>
      <c r="I3783" s="16"/>
    </row>
    <row r="3784" spans="6:9" x14ac:dyDescent="0.3">
      <c r="F3784" s="14"/>
      <c r="G3784" s="15"/>
      <c r="H3784" s="15"/>
      <c r="I3784" s="16"/>
    </row>
    <row r="3785" spans="6:9" x14ac:dyDescent="0.3">
      <c r="F3785" s="14"/>
      <c r="G3785" s="15"/>
      <c r="H3785" s="15"/>
      <c r="I3785" s="16"/>
    </row>
    <row r="3786" spans="6:9" x14ac:dyDescent="0.3">
      <c r="F3786" s="14"/>
      <c r="G3786" s="15"/>
      <c r="H3786" s="15"/>
      <c r="I3786" s="16"/>
    </row>
    <row r="3787" spans="6:9" x14ac:dyDescent="0.3">
      <c r="F3787" s="14"/>
      <c r="G3787" s="15"/>
      <c r="H3787" s="15"/>
      <c r="I3787" s="16"/>
    </row>
    <row r="3788" spans="6:9" x14ac:dyDescent="0.3">
      <c r="F3788" s="14"/>
      <c r="G3788" s="15"/>
      <c r="H3788" s="15"/>
      <c r="I3788" s="16"/>
    </row>
    <row r="3789" spans="6:9" x14ac:dyDescent="0.3">
      <c r="F3789" s="14"/>
      <c r="G3789" s="15"/>
      <c r="H3789" s="15"/>
      <c r="I3789" s="16"/>
    </row>
    <row r="3790" spans="6:9" x14ac:dyDescent="0.3">
      <c r="F3790" s="14"/>
      <c r="G3790" s="15"/>
      <c r="H3790" s="15"/>
      <c r="I3790" s="16"/>
    </row>
    <row r="3791" spans="6:9" x14ac:dyDescent="0.3">
      <c r="F3791" s="14"/>
      <c r="G3791" s="15"/>
      <c r="H3791" s="15"/>
      <c r="I3791" s="16"/>
    </row>
    <row r="3792" spans="6:9" x14ac:dyDescent="0.3">
      <c r="F3792" s="14"/>
      <c r="G3792" s="15"/>
      <c r="H3792" s="15"/>
      <c r="I3792" s="16"/>
    </row>
    <row r="3793" spans="6:9" x14ac:dyDescent="0.3">
      <c r="F3793" s="14"/>
      <c r="G3793" s="15"/>
      <c r="H3793" s="15"/>
      <c r="I3793" s="16"/>
    </row>
    <row r="3794" spans="6:9" x14ac:dyDescent="0.3">
      <c r="F3794" s="14"/>
      <c r="G3794" s="15"/>
      <c r="H3794" s="15"/>
      <c r="I3794" s="16"/>
    </row>
    <row r="3795" spans="6:9" x14ac:dyDescent="0.3">
      <c r="F3795" s="14"/>
      <c r="G3795" s="15"/>
      <c r="H3795" s="15"/>
      <c r="I3795" s="16"/>
    </row>
    <row r="3796" spans="6:9" x14ac:dyDescent="0.3">
      <c r="F3796" s="14"/>
      <c r="G3796" s="15"/>
      <c r="H3796" s="15"/>
      <c r="I3796" s="16"/>
    </row>
    <row r="3797" spans="6:9" x14ac:dyDescent="0.3">
      <c r="F3797" s="14"/>
      <c r="G3797" s="15"/>
      <c r="H3797" s="15"/>
      <c r="I3797" s="16"/>
    </row>
    <row r="3798" spans="6:9" x14ac:dyDescent="0.3">
      <c r="F3798" s="14"/>
      <c r="G3798" s="15"/>
      <c r="H3798" s="15"/>
      <c r="I3798" s="16"/>
    </row>
    <row r="3799" spans="6:9" x14ac:dyDescent="0.3">
      <c r="F3799" s="14"/>
      <c r="G3799" s="15"/>
      <c r="H3799" s="15"/>
      <c r="I3799" s="16"/>
    </row>
    <row r="3800" spans="6:9" x14ac:dyDescent="0.3">
      <c r="F3800" s="14"/>
      <c r="G3800" s="15"/>
      <c r="H3800" s="15"/>
      <c r="I3800" s="16"/>
    </row>
    <row r="3801" spans="6:9" x14ac:dyDescent="0.3">
      <c r="F3801" s="14"/>
      <c r="G3801" s="15"/>
      <c r="H3801" s="15"/>
      <c r="I3801" s="16"/>
    </row>
    <row r="3802" spans="6:9" x14ac:dyDescent="0.3">
      <c r="F3802" s="14"/>
      <c r="G3802" s="15"/>
      <c r="H3802" s="15"/>
      <c r="I3802" s="16"/>
    </row>
    <row r="3803" spans="6:9" x14ac:dyDescent="0.3">
      <c r="F3803" s="14"/>
      <c r="G3803" s="15"/>
      <c r="H3803" s="15"/>
      <c r="I3803" s="16"/>
    </row>
    <row r="3804" spans="6:9" x14ac:dyDescent="0.3">
      <c r="F3804" s="14"/>
      <c r="G3804" s="15"/>
      <c r="H3804" s="15"/>
      <c r="I3804" s="16"/>
    </row>
    <row r="3805" spans="6:9" x14ac:dyDescent="0.3">
      <c r="F3805" s="14"/>
      <c r="G3805" s="15"/>
      <c r="H3805" s="15"/>
      <c r="I3805" s="16"/>
    </row>
    <row r="3806" spans="6:9" x14ac:dyDescent="0.3">
      <c r="F3806" s="14"/>
      <c r="G3806" s="15"/>
      <c r="H3806" s="15"/>
      <c r="I3806" s="16"/>
    </row>
    <row r="3807" spans="6:9" x14ac:dyDescent="0.3">
      <c r="F3807" s="14"/>
      <c r="G3807" s="15"/>
      <c r="H3807" s="15"/>
      <c r="I3807" s="16"/>
    </row>
    <row r="3808" spans="6:9" x14ac:dyDescent="0.3">
      <c r="F3808" s="14"/>
      <c r="G3808" s="15"/>
      <c r="H3808" s="15"/>
      <c r="I3808" s="16"/>
    </row>
    <row r="3809" spans="6:9" x14ac:dyDescent="0.3">
      <c r="F3809" s="14"/>
      <c r="G3809" s="15"/>
      <c r="H3809" s="15"/>
      <c r="I3809" s="16"/>
    </row>
    <row r="3810" spans="6:9" x14ac:dyDescent="0.3">
      <c r="F3810" s="14"/>
      <c r="G3810" s="15"/>
      <c r="H3810" s="15"/>
      <c r="I3810" s="16"/>
    </row>
    <row r="3811" spans="6:9" x14ac:dyDescent="0.3">
      <c r="F3811" s="14"/>
      <c r="G3811" s="15"/>
      <c r="H3811" s="15"/>
      <c r="I3811" s="16"/>
    </row>
    <row r="3812" spans="6:9" x14ac:dyDescent="0.3">
      <c r="F3812" s="14"/>
      <c r="G3812" s="15"/>
      <c r="H3812" s="15"/>
      <c r="I3812" s="16"/>
    </row>
    <row r="3813" spans="6:9" x14ac:dyDescent="0.3">
      <c r="F3813" s="14"/>
      <c r="G3813" s="15"/>
      <c r="H3813" s="15"/>
      <c r="I3813" s="16"/>
    </row>
    <row r="3814" spans="6:9" x14ac:dyDescent="0.3">
      <c r="F3814" s="14"/>
      <c r="G3814" s="15"/>
      <c r="H3814" s="15"/>
      <c r="I3814" s="16"/>
    </row>
    <row r="3815" spans="6:9" x14ac:dyDescent="0.3">
      <c r="F3815" s="14"/>
      <c r="G3815" s="15"/>
      <c r="H3815" s="15"/>
      <c r="I3815" s="16"/>
    </row>
    <row r="3816" spans="6:9" x14ac:dyDescent="0.3">
      <c r="F3816" s="14"/>
      <c r="G3816" s="15"/>
      <c r="H3816" s="15"/>
      <c r="I3816" s="16"/>
    </row>
    <row r="3817" spans="6:9" x14ac:dyDescent="0.3">
      <c r="F3817" s="14"/>
      <c r="G3817" s="15"/>
      <c r="H3817" s="15"/>
      <c r="I3817" s="16"/>
    </row>
    <row r="3818" spans="6:9" x14ac:dyDescent="0.3">
      <c r="F3818" s="14"/>
      <c r="G3818" s="15"/>
      <c r="H3818" s="15"/>
      <c r="I3818" s="16"/>
    </row>
    <row r="3819" spans="6:9" x14ac:dyDescent="0.3">
      <c r="F3819" s="14"/>
      <c r="G3819" s="15"/>
      <c r="H3819" s="15"/>
      <c r="I3819" s="16"/>
    </row>
    <row r="3820" spans="6:9" x14ac:dyDescent="0.3">
      <c r="F3820" s="14"/>
      <c r="G3820" s="15"/>
      <c r="H3820" s="15"/>
      <c r="I3820" s="16"/>
    </row>
    <row r="3821" spans="6:9" x14ac:dyDescent="0.3">
      <c r="F3821" s="14"/>
      <c r="G3821" s="15"/>
      <c r="H3821" s="15"/>
      <c r="I3821" s="16"/>
    </row>
    <row r="3822" spans="6:9" x14ac:dyDescent="0.3">
      <c r="F3822" s="14"/>
      <c r="G3822" s="15"/>
      <c r="H3822" s="15"/>
      <c r="I3822" s="16"/>
    </row>
    <row r="3823" spans="6:9" x14ac:dyDescent="0.3">
      <c r="F3823" s="14"/>
      <c r="G3823" s="15"/>
      <c r="H3823" s="15"/>
      <c r="I3823" s="16"/>
    </row>
    <row r="3824" spans="6:9" x14ac:dyDescent="0.3">
      <c r="F3824" s="14"/>
      <c r="G3824" s="15"/>
      <c r="H3824" s="15"/>
      <c r="I3824" s="16"/>
    </row>
    <row r="3825" spans="6:9" x14ac:dyDescent="0.3">
      <c r="F3825" s="14"/>
      <c r="G3825" s="15"/>
      <c r="H3825" s="15"/>
      <c r="I3825" s="16"/>
    </row>
    <row r="3826" spans="6:9" x14ac:dyDescent="0.3">
      <c r="F3826" s="14"/>
      <c r="G3826" s="15"/>
      <c r="H3826" s="15"/>
      <c r="I3826" s="16"/>
    </row>
    <row r="3827" spans="6:9" x14ac:dyDescent="0.3">
      <c r="F3827" s="14"/>
      <c r="G3827" s="15"/>
      <c r="H3827" s="15"/>
      <c r="I3827" s="16"/>
    </row>
    <row r="3828" spans="6:9" x14ac:dyDescent="0.3">
      <c r="F3828" s="14"/>
      <c r="G3828" s="15"/>
      <c r="H3828" s="15"/>
      <c r="I3828" s="16"/>
    </row>
    <row r="3829" spans="6:9" x14ac:dyDescent="0.3">
      <c r="F3829" s="14"/>
      <c r="G3829" s="15"/>
      <c r="H3829" s="15"/>
      <c r="I3829" s="16"/>
    </row>
    <row r="3830" spans="6:9" x14ac:dyDescent="0.3">
      <c r="F3830" s="14"/>
      <c r="G3830" s="15"/>
      <c r="H3830" s="15"/>
      <c r="I3830" s="16"/>
    </row>
    <row r="3831" spans="6:9" x14ac:dyDescent="0.3">
      <c r="F3831" s="14"/>
      <c r="G3831" s="15"/>
      <c r="H3831" s="15"/>
      <c r="I3831" s="16"/>
    </row>
    <row r="3832" spans="6:9" x14ac:dyDescent="0.3">
      <c r="F3832" s="14"/>
      <c r="G3832" s="15"/>
      <c r="H3832" s="15"/>
      <c r="I3832" s="16"/>
    </row>
    <row r="3833" spans="6:9" x14ac:dyDescent="0.3">
      <c r="F3833" s="14"/>
      <c r="G3833" s="15"/>
      <c r="H3833" s="15"/>
      <c r="I3833" s="16"/>
    </row>
    <row r="3834" spans="6:9" x14ac:dyDescent="0.3">
      <c r="F3834" s="14"/>
      <c r="G3834" s="15"/>
      <c r="H3834" s="15"/>
      <c r="I3834" s="16"/>
    </row>
    <row r="3835" spans="6:9" x14ac:dyDescent="0.3">
      <c r="F3835" s="14"/>
      <c r="G3835" s="15"/>
      <c r="H3835" s="15"/>
      <c r="I3835" s="16"/>
    </row>
    <row r="3836" spans="6:9" x14ac:dyDescent="0.3">
      <c r="F3836" s="14"/>
      <c r="G3836" s="15"/>
      <c r="H3836" s="15"/>
      <c r="I3836" s="16"/>
    </row>
    <row r="3837" spans="6:9" x14ac:dyDescent="0.3">
      <c r="F3837" s="14"/>
      <c r="G3837" s="15"/>
      <c r="H3837" s="15"/>
      <c r="I3837" s="16"/>
    </row>
    <row r="3838" spans="6:9" x14ac:dyDescent="0.3">
      <c r="F3838" s="14"/>
      <c r="G3838" s="15"/>
      <c r="H3838" s="15"/>
      <c r="I3838" s="16"/>
    </row>
    <row r="3839" spans="6:9" x14ac:dyDescent="0.3">
      <c r="F3839" s="14"/>
      <c r="G3839" s="15"/>
      <c r="H3839" s="15"/>
      <c r="I3839" s="16"/>
    </row>
    <row r="3840" spans="6:9" x14ac:dyDescent="0.3">
      <c r="F3840" s="14"/>
      <c r="G3840" s="15"/>
      <c r="H3840" s="15"/>
      <c r="I3840" s="16"/>
    </row>
    <row r="3841" spans="6:9" x14ac:dyDescent="0.3">
      <c r="F3841" s="14"/>
      <c r="G3841" s="15"/>
      <c r="H3841" s="15"/>
      <c r="I3841" s="16"/>
    </row>
    <row r="3842" spans="6:9" x14ac:dyDescent="0.3">
      <c r="F3842" s="14"/>
      <c r="G3842" s="15"/>
      <c r="H3842" s="15"/>
      <c r="I3842" s="16"/>
    </row>
    <row r="3843" spans="6:9" x14ac:dyDescent="0.3">
      <c r="F3843" s="14"/>
      <c r="G3843" s="15"/>
      <c r="H3843" s="15"/>
      <c r="I3843" s="16"/>
    </row>
    <row r="3844" spans="6:9" x14ac:dyDescent="0.3">
      <c r="F3844" s="14"/>
      <c r="G3844" s="15"/>
      <c r="H3844" s="15"/>
      <c r="I3844" s="16"/>
    </row>
    <row r="3845" spans="6:9" x14ac:dyDescent="0.3">
      <c r="F3845" s="14"/>
      <c r="G3845" s="15"/>
      <c r="H3845" s="15"/>
      <c r="I3845" s="16"/>
    </row>
    <row r="3846" spans="6:9" x14ac:dyDescent="0.3">
      <c r="F3846" s="14"/>
      <c r="G3846" s="15"/>
      <c r="H3846" s="15"/>
      <c r="I3846" s="16"/>
    </row>
    <row r="3847" spans="6:9" x14ac:dyDescent="0.3">
      <c r="F3847" s="14"/>
      <c r="G3847" s="15"/>
      <c r="H3847" s="15"/>
      <c r="I3847" s="16"/>
    </row>
    <row r="3848" spans="6:9" x14ac:dyDescent="0.3">
      <c r="F3848" s="14"/>
      <c r="G3848" s="15"/>
      <c r="H3848" s="15"/>
      <c r="I3848" s="16"/>
    </row>
    <row r="3849" spans="6:9" x14ac:dyDescent="0.3">
      <c r="F3849" s="14"/>
      <c r="G3849" s="15"/>
      <c r="H3849" s="15"/>
      <c r="I3849" s="16"/>
    </row>
    <row r="3850" spans="6:9" x14ac:dyDescent="0.3">
      <c r="F3850" s="14"/>
      <c r="G3850" s="15"/>
      <c r="H3850" s="15"/>
      <c r="I3850" s="16"/>
    </row>
    <row r="3851" spans="6:9" x14ac:dyDescent="0.3">
      <c r="F3851" s="14"/>
      <c r="G3851" s="15"/>
      <c r="H3851" s="15"/>
      <c r="I3851" s="16"/>
    </row>
    <row r="3852" spans="6:9" x14ac:dyDescent="0.3">
      <c r="F3852" s="14"/>
      <c r="G3852" s="15"/>
      <c r="H3852" s="15"/>
      <c r="I3852" s="16"/>
    </row>
    <row r="3853" spans="6:9" x14ac:dyDescent="0.3">
      <c r="F3853" s="14"/>
      <c r="G3853" s="15"/>
      <c r="H3853" s="15"/>
      <c r="I3853" s="16"/>
    </row>
    <row r="3854" spans="6:9" x14ac:dyDescent="0.3">
      <c r="F3854" s="14"/>
      <c r="G3854" s="15"/>
      <c r="H3854" s="15"/>
      <c r="I3854" s="16"/>
    </row>
    <row r="3855" spans="6:9" x14ac:dyDescent="0.3">
      <c r="F3855" s="14"/>
      <c r="G3855" s="15"/>
      <c r="H3855" s="15"/>
      <c r="I3855" s="16"/>
    </row>
    <row r="3856" spans="6:9" x14ac:dyDescent="0.3">
      <c r="F3856" s="14"/>
      <c r="G3856" s="15"/>
      <c r="H3856" s="15"/>
      <c r="I3856" s="16"/>
    </row>
    <row r="3857" spans="6:9" x14ac:dyDescent="0.3">
      <c r="F3857" s="14"/>
      <c r="G3857" s="15"/>
      <c r="H3857" s="15"/>
      <c r="I3857" s="16"/>
    </row>
    <row r="3858" spans="6:9" x14ac:dyDescent="0.3">
      <c r="F3858" s="14"/>
      <c r="G3858" s="15"/>
      <c r="H3858" s="15"/>
      <c r="I3858" s="16"/>
    </row>
    <row r="3859" spans="6:9" x14ac:dyDescent="0.3">
      <c r="F3859" s="14"/>
      <c r="G3859" s="15"/>
      <c r="H3859" s="15"/>
      <c r="I3859" s="16"/>
    </row>
    <row r="3860" spans="6:9" x14ac:dyDescent="0.3">
      <c r="F3860" s="14"/>
      <c r="G3860" s="15"/>
      <c r="H3860" s="15"/>
      <c r="I3860" s="16"/>
    </row>
    <row r="3861" spans="6:9" x14ac:dyDescent="0.3">
      <c r="F3861" s="14"/>
      <c r="G3861" s="15"/>
      <c r="H3861" s="15"/>
      <c r="I3861" s="16"/>
    </row>
    <row r="3862" spans="6:9" x14ac:dyDescent="0.3">
      <c r="F3862" s="14"/>
      <c r="G3862" s="15"/>
      <c r="H3862" s="15"/>
      <c r="I3862" s="16"/>
    </row>
    <row r="3863" spans="6:9" x14ac:dyDescent="0.3">
      <c r="F3863" s="14"/>
      <c r="G3863" s="15"/>
      <c r="H3863" s="15"/>
      <c r="I3863" s="16"/>
    </row>
    <row r="3864" spans="6:9" x14ac:dyDescent="0.3">
      <c r="F3864" s="14"/>
      <c r="G3864" s="15"/>
      <c r="H3864" s="15"/>
      <c r="I3864" s="16"/>
    </row>
    <row r="3865" spans="6:9" x14ac:dyDescent="0.3">
      <c r="F3865" s="14"/>
      <c r="G3865" s="15"/>
      <c r="H3865" s="15"/>
      <c r="I3865" s="16"/>
    </row>
    <row r="3866" spans="6:9" x14ac:dyDescent="0.3">
      <c r="F3866" s="14"/>
      <c r="G3866" s="15"/>
      <c r="H3866" s="15"/>
      <c r="I3866" s="16"/>
    </row>
    <row r="3867" spans="6:9" x14ac:dyDescent="0.3">
      <c r="F3867" s="14"/>
      <c r="G3867" s="15"/>
      <c r="H3867" s="15"/>
      <c r="I3867" s="16"/>
    </row>
    <row r="3868" spans="6:9" x14ac:dyDescent="0.3">
      <c r="F3868" s="14"/>
      <c r="G3868" s="15"/>
      <c r="H3868" s="15"/>
      <c r="I3868" s="16"/>
    </row>
    <row r="3869" spans="6:9" x14ac:dyDescent="0.3">
      <c r="F3869" s="14"/>
      <c r="G3869" s="15"/>
      <c r="H3869" s="15"/>
      <c r="I3869" s="16"/>
    </row>
    <row r="3870" spans="6:9" x14ac:dyDescent="0.3">
      <c r="F3870" s="14"/>
      <c r="G3870" s="15"/>
      <c r="H3870" s="15"/>
      <c r="I3870" s="16"/>
    </row>
    <row r="3871" spans="6:9" x14ac:dyDescent="0.3">
      <c r="F3871" s="14"/>
      <c r="G3871" s="15"/>
      <c r="H3871" s="15"/>
      <c r="I3871" s="16"/>
    </row>
    <row r="3872" spans="6:9" x14ac:dyDescent="0.3">
      <c r="F3872" s="14"/>
      <c r="G3872" s="15"/>
      <c r="H3872" s="15"/>
      <c r="I3872" s="16"/>
    </row>
    <row r="3873" spans="6:9" x14ac:dyDescent="0.3">
      <c r="F3873" s="14"/>
      <c r="G3873" s="15"/>
      <c r="H3873" s="15"/>
      <c r="I3873" s="16"/>
    </row>
    <row r="3874" spans="6:9" x14ac:dyDescent="0.3">
      <c r="F3874" s="14"/>
      <c r="G3874" s="15"/>
      <c r="H3874" s="15"/>
      <c r="I3874" s="16"/>
    </row>
    <row r="3875" spans="6:9" x14ac:dyDescent="0.3">
      <c r="F3875" s="14"/>
      <c r="G3875" s="15"/>
      <c r="H3875" s="15"/>
      <c r="I3875" s="16"/>
    </row>
    <row r="3876" spans="6:9" x14ac:dyDescent="0.3">
      <c r="F3876" s="14"/>
      <c r="G3876" s="15"/>
      <c r="H3876" s="15"/>
      <c r="I3876" s="16"/>
    </row>
    <row r="3877" spans="6:9" x14ac:dyDescent="0.3">
      <c r="F3877" s="14"/>
      <c r="G3877" s="15"/>
      <c r="H3877" s="15"/>
      <c r="I3877" s="16"/>
    </row>
    <row r="3878" spans="6:9" x14ac:dyDescent="0.3">
      <c r="F3878" s="14"/>
      <c r="G3878" s="15"/>
      <c r="H3878" s="15"/>
      <c r="I3878" s="16"/>
    </row>
    <row r="3879" spans="6:9" x14ac:dyDescent="0.3">
      <c r="F3879" s="14"/>
      <c r="G3879" s="15"/>
      <c r="H3879" s="15"/>
      <c r="I3879" s="16"/>
    </row>
    <row r="3880" spans="6:9" x14ac:dyDescent="0.3">
      <c r="F3880" s="14"/>
      <c r="G3880" s="15"/>
      <c r="H3880" s="15"/>
      <c r="I3880" s="16"/>
    </row>
    <row r="3881" spans="6:9" x14ac:dyDescent="0.3">
      <c r="F3881" s="14"/>
      <c r="G3881" s="15"/>
      <c r="H3881" s="15"/>
      <c r="I3881" s="16"/>
    </row>
    <row r="3882" spans="6:9" x14ac:dyDescent="0.3">
      <c r="F3882" s="14"/>
      <c r="G3882" s="15"/>
      <c r="H3882" s="15"/>
      <c r="I3882" s="16"/>
    </row>
    <row r="3883" spans="6:9" x14ac:dyDescent="0.3">
      <c r="F3883" s="14"/>
      <c r="G3883" s="15"/>
      <c r="H3883" s="15"/>
      <c r="I3883" s="16"/>
    </row>
    <row r="3884" spans="6:9" x14ac:dyDescent="0.3">
      <c r="F3884" s="14"/>
      <c r="G3884" s="15"/>
      <c r="H3884" s="15"/>
      <c r="I3884" s="16"/>
    </row>
    <row r="3885" spans="6:9" x14ac:dyDescent="0.3">
      <c r="F3885" s="14"/>
      <c r="G3885" s="15"/>
      <c r="H3885" s="15"/>
      <c r="I3885" s="16"/>
    </row>
    <row r="3886" spans="6:9" x14ac:dyDescent="0.3">
      <c r="F3886" s="14"/>
      <c r="G3886" s="15"/>
      <c r="H3886" s="15"/>
      <c r="I3886" s="16"/>
    </row>
    <row r="3887" spans="6:9" x14ac:dyDescent="0.3">
      <c r="F3887" s="14"/>
      <c r="G3887" s="15"/>
      <c r="H3887" s="15"/>
      <c r="I3887" s="16"/>
    </row>
    <row r="3888" spans="6:9" x14ac:dyDescent="0.3">
      <c r="F3888" s="14"/>
      <c r="G3888" s="15"/>
      <c r="H3888" s="15"/>
      <c r="I3888" s="16"/>
    </row>
    <row r="3889" spans="6:9" x14ac:dyDescent="0.3">
      <c r="F3889" s="14"/>
      <c r="G3889" s="15"/>
      <c r="H3889" s="15"/>
      <c r="I3889" s="16"/>
    </row>
    <row r="3890" spans="6:9" x14ac:dyDescent="0.3">
      <c r="F3890" s="14"/>
      <c r="G3890" s="15"/>
      <c r="H3890" s="15"/>
      <c r="I3890" s="16"/>
    </row>
    <row r="3891" spans="6:9" x14ac:dyDescent="0.3">
      <c r="F3891" s="14"/>
      <c r="G3891" s="15"/>
      <c r="H3891" s="15"/>
      <c r="I3891" s="16"/>
    </row>
    <row r="3892" spans="6:9" x14ac:dyDescent="0.3">
      <c r="F3892" s="14"/>
      <c r="G3892" s="15"/>
      <c r="H3892" s="15"/>
      <c r="I3892" s="16"/>
    </row>
    <row r="3893" spans="6:9" x14ac:dyDescent="0.3">
      <c r="F3893" s="14"/>
      <c r="G3893" s="15"/>
      <c r="H3893" s="15"/>
      <c r="I3893" s="16"/>
    </row>
    <row r="3894" spans="6:9" x14ac:dyDescent="0.3">
      <c r="F3894" s="14"/>
      <c r="G3894" s="15"/>
      <c r="H3894" s="15"/>
      <c r="I3894" s="16"/>
    </row>
    <row r="3895" spans="6:9" x14ac:dyDescent="0.3">
      <c r="F3895" s="14"/>
      <c r="G3895" s="15"/>
      <c r="H3895" s="15"/>
      <c r="I3895" s="16"/>
    </row>
    <row r="3896" spans="6:9" x14ac:dyDescent="0.3">
      <c r="F3896" s="14"/>
      <c r="G3896" s="15"/>
      <c r="H3896" s="15"/>
      <c r="I3896" s="16"/>
    </row>
    <row r="3897" spans="6:9" x14ac:dyDescent="0.3">
      <c r="F3897" s="14"/>
      <c r="G3897" s="15"/>
      <c r="H3897" s="15"/>
      <c r="I3897" s="16"/>
    </row>
    <row r="3898" spans="6:9" x14ac:dyDescent="0.3">
      <c r="F3898" s="14"/>
      <c r="G3898" s="15"/>
      <c r="H3898" s="15"/>
      <c r="I3898" s="16"/>
    </row>
    <row r="3899" spans="6:9" x14ac:dyDescent="0.3">
      <c r="F3899" s="14"/>
      <c r="G3899" s="15"/>
      <c r="H3899" s="15"/>
      <c r="I3899" s="16"/>
    </row>
    <row r="3900" spans="6:9" x14ac:dyDescent="0.3">
      <c r="F3900" s="14"/>
      <c r="G3900" s="15"/>
      <c r="H3900" s="15"/>
      <c r="I3900" s="16"/>
    </row>
    <row r="3901" spans="6:9" x14ac:dyDescent="0.3">
      <c r="F3901" s="14"/>
      <c r="G3901" s="15"/>
      <c r="H3901" s="15"/>
      <c r="I3901" s="16"/>
    </row>
    <row r="3902" spans="6:9" x14ac:dyDescent="0.3">
      <c r="F3902" s="14"/>
      <c r="G3902" s="15"/>
      <c r="H3902" s="15"/>
      <c r="I3902" s="16"/>
    </row>
    <row r="3903" spans="6:9" x14ac:dyDescent="0.3">
      <c r="F3903" s="14"/>
      <c r="G3903" s="15"/>
      <c r="H3903" s="15"/>
      <c r="I3903" s="16"/>
    </row>
    <row r="3904" spans="6:9" x14ac:dyDescent="0.3">
      <c r="F3904" s="14"/>
      <c r="G3904" s="15"/>
      <c r="H3904" s="15"/>
      <c r="I3904" s="16"/>
    </row>
    <row r="3905" spans="6:9" x14ac:dyDescent="0.3">
      <c r="F3905" s="14"/>
      <c r="G3905" s="15"/>
      <c r="H3905" s="15"/>
      <c r="I3905" s="16"/>
    </row>
    <row r="3906" spans="6:9" x14ac:dyDescent="0.3">
      <c r="F3906" s="14"/>
      <c r="G3906" s="15"/>
      <c r="H3906" s="15"/>
      <c r="I3906" s="16"/>
    </row>
    <row r="3907" spans="6:9" x14ac:dyDescent="0.3">
      <c r="F3907" s="14"/>
      <c r="G3907" s="15"/>
      <c r="H3907" s="15"/>
      <c r="I3907" s="16"/>
    </row>
    <row r="3908" spans="6:9" x14ac:dyDescent="0.3">
      <c r="F3908" s="14"/>
      <c r="G3908" s="15"/>
      <c r="H3908" s="15"/>
      <c r="I3908" s="16"/>
    </row>
    <row r="3909" spans="6:9" x14ac:dyDescent="0.3">
      <c r="F3909" s="14"/>
      <c r="G3909" s="15"/>
      <c r="H3909" s="15"/>
      <c r="I3909" s="16"/>
    </row>
    <row r="3910" spans="6:9" x14ac:dyDescent="0.3">
      <c r="F3910" s="14"/>
      <c r="G3910" s="15"/>
      <c r="H3910" s="15"/>
      <c r="I3910" s="16"/>
    </row>
    <row r="3911" spans="6:9" x14ac:dyDescent="0.3">
      <c r="F3911" s="14"/>
      <c r="G3911" s="15"/>
      <c r="H3911" s="15"/>
      <c r="I3911" s="16"/>
    </row>
    <row r="3912" spans="6:9" x14ac:dyDescent="0.3">
      <c r="F3912" s="14"/>
      <c r="G3912" s="15"/>
      <c r="H3912" s="15"/>
      <c r="I3912" s="16"/>
    </row>
    <row r="3913" spans="6:9" x14ac:dyDescent="0.3">
      <c r="F3913" s="14"/>
      <c r="G3913" s="15"/>
      <c r="H3913" s="15"/>
      <c r="I3913" s="16"/>
    </row>
    <row r="3914" spans="6:9" x14ac:dyDescent="0.3">
      <c r="F3914" s="14"/>
      <c r="G3914" s="15"/>
      <c r="H3914" s="15"/>
      <c r="I3914" s="16"/>
    </row>
    <row r="3915" spans="6:9" x14ac:dyDescent="0.3">
      <c r="F3915" s="14"/>
      <c r="G3915" s="15"/>
      <c r="H3915" s="15"/>
      <c r="I3915" s="16"/>
    </row>
    <row r="3916" spans="6:9" x14ac:dyDescent="0.3">
      <c r="F3916" s="14"/>
      <c r="G3916" s="15"/>
      <c r="H3916" s="15"/>
      <c r="I3916" s="16"/>
    </row>
    <row r="3917" spans="6:9" x14ac:dyDescent="0.3">
      <c r="F3917" s="14"/>
      <c r="G3917" s="15"/>
      <c r="H3917" s="15"/>
      <c r="I3917" s="16"/>
    </row>
    <row r="3918" spans="6:9" x14ac:dyDescent="0.3">
      <c r="F3918" s="14"/>
      <c r="G3918" s="15"/>
      <c r="H3918" s="15"/>
      <c r="I3918" s="16"/>
    </row>
    <row r="3919" spans="6:9" x14ac:dyDescent="0.3">
      <c r="F3919" s="14"/>
      <c r="G3919" s="15"/>
      <c r="H3919" s="15"/>
      <c r="I3919" s="16"/>
    </row>
    <row r="3920" spans="6:9" x14ac:dyDescent="0.3">
      <c r="F3920" s="14"/>
      <c r="G3920" s="15"/>
      <c r="H3920" s="15"/>
      <c r="I3920" s="16"/>
    </row>
    <row r="3921" spans="6:9" x14ac:dyDescent="0.3">
      <c r="F3921" s="14"/>
      <c r="G3921" s="15"/>
      <c r="H3921" s="15"/>
      <c r="I3921" s="16"/>
    </row>
    <row r="3922" spans="6:9" x14ac:dyDescent="0.3">
      <c r="F3922" s="14"/>
      <c r="G3922" s="15"/>
      <c r="H3922" s="15"/>
      <c r="I3922" s="16"/>
    </row>
    <row r="3923" spans="6:9" x14ac:dyDescent="0.3">
      <c r="F3923" s="14"/>
      <c r="G3923" s="15"/>
      <c r="H3923" s="15"/>
      <c r="I3923" s="16"/>
    </row>
    <row r="3924" spans="6:9" x14ac:dyDescent="0.3">
      <c r="F3924" s="14"/>
      <c r="G3924" s="15"/>
      <c r="H3924" s="15"/>
      <c r="I3924" s="16"/>
    </row>
    <row r="3925" spans="6:9" x14ac:dyDescent="0.3">
      <c r="F3925" s="14"/>
      <c r="G3925" s="15"/>
      <c r="H3925" s="15"/>
      <c r="I3925" s="16"/>
    </row>
    <row r="3926" spans="6:9" x14ac:dyDescent="0.3">
      <c r="F3926" s="14"/>
      <c r="G3926" s="15"/>
      <c r="H3926" s="15"/>
      <c r="I3926" s="16"/>
    </row>
    <row r="3927" spans="6:9" x14ac:dyDescent="0.3">
      <c r="F3927" s="14"/>
      <c r="G3927" s="15"/>
      <c r="H3927" s="15"/>
      <c r="I3927" s="16"/>
    </row>
    <row r="3928" spans="6:9" x14ac:dyDescent="0.3">
      <c r="F3928" s="14"/>
      <c r="G3928" s="15"/>
      <c r="H3928" s="15"/>
      <c r="I3928" s="16"/>
    </row>
    <row r="3929" spans="6:9" x14ac:dyDescent="0.3">
      <c r="F3929" s="14"/>
      <c r="G3929" s="15"/>
      <c r="H3929" s="15"/>
      <c r="I3929" s="16"/>
    </row>
    <row r="3930" spans="6:9" x14ac:dyDescent="0.3">
      <c r="F3930" s="14"/>
      <c r="G3930" s="15"/>
      <c r="H3930" s="15"/>
      <c r="I3930" s="16"/>
    </row>
    <row r="3931" spans="6:9" x14ac:dyDescent="0.3">
      <c r="F3931" s="14"/>
      <c r="G3931" s="15"/>
      <c r="H3931" s="15"/>
      <c r="I3931" s="16"/>
    </row>
    <row r="3932" spans="6:9" x14ac:dyDescent="0.3">
      <c r="F3932" s="14"/>
      <c r="G3932" s="15"/>
      <c r="H3932" s="15"/>
      <c r="I3932" s="16"/>
    </row>
    <row r="3933" spans="6:9" x14ac:dyDescent="0.3">
      <c r="F3933" s="14"/>
      <c r="G3933" s="15"/>
      <c r="H3933" s="15"/>
      <c r="I3933" s="16"/>
    </row>
    <row r="3934" spans="6:9" x14ac:dyDescent="0.3">
      <c r="F3934" s="14"/>
      <c r="G3934" s="15"/>
      <c r="H3934" s="15"/>
      <c r="I3934" s="16"/>
    </row>
    <row r="3935" spans="6:9" x14ac:dyDescent="0.3">
      <c r="F3935" s="14"/>
      <c r="G3935" s="15"/>
      <c r="H3935" s="15"/>
      <c r="I3935" s="16"/>
    </row>
    <row r="3936" spans="6:9" x14ac:dyDescent="0.3">
      <c r="F3936" s="14"/>
      <c r="G3936" s="15"/>
      <c r="H3936" s="15"/>
      <c r="I3936" s="16"/>
    </row>
    <row r="3937" spans="6:9" x14ac:dyDescent="0.3">
      <c r="F3937" s="14"/>
      <c r="G3937" s="15"/>
      <c r="H3937" s="15"/>
      <c r="I3937" s="16"/>
    </row>
    <row r="3938" spans="6:9" x14ac:dyDescent="0.3">
      <c r="F3938" s="14"/>
      <c r="G3938" s="15"/>
      <c r="H3938" s="15"/>
      <c r="I3938" s="16"/>
    </row>
    <row r="3939" spans="6:9" x14ac:dyDescent="0.3">
      <c r="F3939" s="14"/>
      <c r="G3939" s="15"/>
      <c r="H3939" s="15"/>
      <c r="I3939" s="16"/>
    </row>
    <row r="3940" spans="6:9" x14ac:dyDescent="0.3">
      <c r="F3940" s="14"/>
      <c r="G3940" s="15"/>
      <c r="H3940" s="15"/>
      <c r="I3940" s="16"/>
    </row>
    <row r="3941" spans="6:9" x14ac:dyDescent="0.3">
      <c r="F3941" s="14"/>
      <c r="G3941" s="15"/>
      <c r="H3941" s="15"/>
      <c r="I3941" s="16"/>
    </row>
    <row r="3942" spans="6:9" x14ac:dyDescent="0.3">
      <c r="F3942" s="14"/>
      <c r="G3942" s="15"/>
      <c r="H3942" s="15"/>
      <c r="I3942" s="16"/>
    </row>
    <row r="3943" spans="6:9" x14ac:dyDescent="0.3">
      <c r="F3943" s="14"/>
      <c r="G3943" s="15"/>
      <c r="H3943" s="15"/>
      <c r="I3943" s="16"/>
    </row>
    <row r="3944" spans="6:9" x14ac:dyDescent="0.3">
      <c r="F3944" s="14"/>
      <c r="G3944" s="15"/>
      <c r="H3944" s="15"/>
      <c r="I3944" s="16"/>
    </row>
    <row r="3945" spans="6:9" x14ac:dyDescent="0.3">
      <c r="F3945" s="14"/>
      <c r="G3945" s="15"/>
      <c r="H3945" s="15"/>
      <c r="I3945" s="16"/>
    </row>
    <row r="3946" spans="6:9" x14ac:dyDescent="0.3">
      <c r="F3946" s="14"/>
      <c r="G3946" s="15"/>
      <c r="H3946" s="15"/>
      <c r="I3946" s="16"/>
    </row>
    <row r="3947" spans="6:9" x14ac:dyDescent="0.3">
      <c r="F3947" s="14"/>
      <c r="G3947" s="15"/>
      <c r="H3947" s="15"/>
      <c r="I3947" s="16"/>
    </row>
    <row r="3948" spans="6:9" x14ac:dyDescent="0.3">
      <c r="F3948" s="14"/>
      <c r="G3948" s="15"/>
      <c r="H3948" s="15"/>
      <c r="I3948" s="16"/>
    </row>
    <row r="3949" spans="6:9" x14ac:dyDescent="0.3">
      <c r="F3949" s="14"/>
      <c r="G3949" s="15"/>
      <c r="H3949" s="15"/>
      <c r="I3949" s="16"/>
    </row>
    <row r="3950" spans="6:9" x14ac:dyDescent="0.3">
      <c r="F3950" s="14"/>
      <c r="G3950" s="15"/>
      <c r="H3950" s="15"/>
      <c r="I3950" s="16"/>
    </row>
    <row r="3951" spans="6:9" x14ac:dyDescent="0.3">
      <c r="F3951" s="14"/>
      <c r="G3951" s="15"/>
      <c r="H3951" s="15"/>
      <c r="I3951" s="16"/>
    </row>
    <row r="3952" spans="6:9" x14ac:dyDescent="0.3">
      <c r="F3952" s="14"/>
      <c r="G3952" s="15"/>
      <c r="H3952" s="15"/>
      <c r="I3952" s="16"/>
    </row>
    <row r="3953" spans="6:9" x14ac:dyDescent="0.3">
      <c r="F3953" s="14"/>
      <c r="G3953" s="15"/>
      <c r="H3953" s="15"/>
      <c r="I3953" s="16"/>
    </row>
    <row r="3954" spans="6:9" x14ac:dyDescent="0.3">
      <c r="F3954" s="14"/>
      <c r="G3954" s="15"/>
      <c r="H3954" s="15"/>
      <c r="I3954" s="16"/>
    </row>
    <row r="3955" spans="6:9" x14ac:dyDescent="0.3">
      <c r="F3955" s="14"/>
      <c r="G3955" s="15"/>
      <c r="H3955" s="15"/>
      <c r="I3955" s="16"/>
    </row>
    <row r="3956" spans="6:9" x14ac:dyDescent="0.3">
      <c r="F3956" s="14"/>
      <c r="G3956" s="15"/>
      <c r="H3956" s="15"/>
      <c r="I3956" s="16"/>
    </row>
    <row r="3957" spans="6:9" x14ac:dyDescent="0.3">
      <c r="F3957" s="14"/>
      <c r="G3957" s="15"/>
      <c r="H3957" s="15"/>
      <c r="I3957" s="16"/>
    </row>
    <row r="3958" spans="6:9" x14ac:dyDescent="0.3">
      <c r="F3958" s="14"/>
      <c r="G3958" s="15"/>
      <c r="H3958" s="15"/>
      <c r="I3958" s="16"/>
    </row>
    <row r="3959" spans="6:9" x14ac:dyDescent="0.3">
      <c r="F3959" s="14"/>
      <c r="G3959" s="15"/>
      <c r="H3959" s="15"/>
      <c r="I3959" s="16"/>
    </row>
    <row r="3960" spans="6:9" x14ac:dyDescent="0.3">
      <c r="F3960" s="14"/>
      <c r="G3960" s="15"/>
      <c r="H3960" s="15"/>
      <c r="I3960" s="16"/>
    </row>
    <row r="3961" spans="6:9" x14ac:dyDescent="0.3">
      <c r="F3961" s="14"/>
      <c r="G3961" s="15"/>
      <c r="H3961" s="15"/>
      <c r="I3961" s="16"/>
    </row>
    <row r="3962" spans="6:9" x14ac:dyDescent="0.3">
      <c r="F3962" s="14"/>
      <c r="G3962" s="15"/>
      <c r="H3962" s="15"/>
      <c r="I3962" s="16"/>
    </row>
    <row r="3963" spans="6:9" x14ac:dyDescent="0.3">
      <c r="F3963" s="14"/>
      <c r="G3963" s="15"/>
      <c r="H3963" s="15"/>
      <c r="I3963" s="16"/>
    </row>
    <row r="3964" spans="6:9" x14ac:dyDescent="0.3">
      <c r="F3964" s="14"/>
      <c r="G3964" s="15"/>
      <c r="H3964" s="15"/>
      <c r="I3964" s="16"/>
    </row>
    <row r="3965" spans="6:9" x14ac:dyDescent="0.3">
      <c r="F3965" s="14"/>
      <c r="G3965" s="15"/>
      <c r="H3965" s="15"/>
      <c r="I3965" s="16"/>
    </row>
    <row r="3966" spans="6:9" x14ac:dyDescent="0.3">
      <c r="F3966" s="14"/>
      <c r="G3966" s="15"/>
      <c r="H3966" s="15"/>
      <c r="I3966" s="16"/>
    </row>
    <row r="3967" spans="6:9" x14ac:dyDescent="0.3">
      <c r="F3967" s="14"/>
      <c r="G3967" s="15"/>
      <c r="H3967" s="15"/>
      <c r="I3967" s="16"/>
    </row>
    <row r="3968" spans="6:9" x14ac:dyDescent="0.3">
      <c r="F3968" s="14"/>
      <c r="G3968" s="15"/>
      <c r="H3968" s="15"/>
      <c r="I3968" s="16"/>
    </row>
    <row r="3969" spans="6:9" x14ac:dyDescent="0.3">
      <c r="F3969" s="14"/>
      <c r="G3969" s="15"/>
      <c r="H3969" s="15"/>
      <c r="I3969" s="16"/>
    </row>
    <row r="3970" spans="6:9" x14ac:dyDescent="0.3">
      <c r="F3970" s="14"/>
      <c r="G3970" s="15"/>
      <c r="H3970" s="15"/>
      <c r="I3970" s="16"/>
    </row>
    <row r="3971" spans="6:9" x14ac:dyDescent="0.3">
      <c r="F3971" s="14"/>
      <c r="G3971" s="15"/>
      <c r="H3971" s="15"/>
      <c r="I3971" s="16"/>
    </row>
    <row r="3972" spans="6:9" x14ac:dyDescent="0.3">
      <c r="F3972" s="14"/>
      <c r="G3972" s="15"/>
      <c r="H3972" s="15"/>
      <c r="I3972" s="16"/>
    </row>
    <row r="3973" spans="6:9" x14ac:dyDescent="0.3">
      <c r="F3973" s="14"/>
      <c r="G3973" s="15"/>
      <c r="H3973" s="15"/>
      <c r="I3973" s="16"/>
    </row>
    <row r="3974" spans="6:9" x14ac:dyDescent="0.3">
      <c r="F3974" s="14"/>
      <c r="G3974" s="15"/>
      <c r="H3974" s="15"/>
      <c r="I3974" s="16"/>
    </row>
    <row r="3975" spans="6:9" x14ac:dyDescent="0.3">
      <c r="F3975" s="14"/>
      <c r="G3975" s="15"/>
      <c r="H3975" s="15"/>
      <c r="I3975" s="16"/>
    </row>
    <row r="3976" spans="6:9" x14ac:dyDescent="0.3">
      <c r="F3976" s="14"/>
      <c r="G3976" s="15"/>
      <c r="H3976" s="15"/>
      <c r="I3976" s="16"/>
    </row>
    <row r="3977" spans="6:9" x14ac:dyDescent="0.3">
      <c r="F3977" s="14"/>
      <c r="G3977" s="15"/>
      <c r="H3977" s="15"/>
      <c r="I3977" s="16"/>
    </row>
    <row r="3978" spans="6:9" x14ac:dyDescent="0.3">
      <c r="F3978" s="14"/>
      <c r="G3978" s="15"/>
      <c r="H3978" s="15"/>
      <c r="I3978" s="16"/>
    </row>
    <row r="3979" spans="6:9" x14ac:dyDescent="0.3">
      <c r="F3979" s="14"/>
      <c r="G3979" s="15"/>
      <c r="H3979" s="15"/>
      <c r="I3979" s="16"/>
    </row>
    <row r="3980" spans="6:9" x14ac:dyDescent="0.3">
      <c r="F3980" s="14"/>
      <c r="G3980" s="15"/>
      <c r="H3980" s="15"/>
      <c r="I3980" s="16"/>
    </row>
    <row r="3981" spans="6:9" x14ac:dyDescent="0.3">
      <c r="F3981" s="14"/>
      <c r="G3981" s="15"/>
      <c r="H3981" s="15"/>
      <c r="I3981" s="16"/>
    </row>
    <row r="3982" spans="6:9" x14ac:dyDescent="0.3">
      <c r="F3982" s="14"/>
      <c r="G3982" s="15"/>
      <c r="H3982" s="15"/>
      <c r="I3982" s="16"/>
    </row>
    <row r="3983" spans="6:9" x14ac:dyDescent="0.3">
      <c r="F3983" s="14"/>
      <c r="G3983" s="15"/>
      <c r="H3983" s="15"/>
      <c r="I3983" s="16"/>
    </row>
    <row r="3984" spans="6:9" x14ac:dyDescent="0.3">
      <c r="F3984" s="14"/>
      <c r="G3984" s="15"/>
      <c r="H3984" s="15"/>
      <c r="I3984" s="16"/>
    </row>
    <row r="3985" spans="6:9" x14ac:dyDescent="0.3">
      <c r="F3985" s="14"/>
      <c r="G3985" s="15"/>
      <c r="H3985" s="15"/>
      <c r="I3985" s="16"/>
    </row>
    <row r="3986" spans="6:9" x14ac:dyDescent="0.3">
      <c r="F3986" s="14"/>
      <c r="G3986" s="15"/>
      <c r="H3986" s="15"/>
      <c r="I3986" s="16"/>
    </row>
    <row r="3987" spans="6:9" x14ac:dyDescent="0.3">
      <c r="F3987" s="14"/>
      <c r="G3987" s="15"/>
      <c r="H3987" s="15"/>
      <c r="I3987" s="16"/>
    </row>
    <row r="3988" spans="6:9" x14ac:dyDescent="0.3">
      <c r="F3988" s="14"/>
      <c r="G3988" s="15"/>
      <c r="H3988" s="15"/>
      <c r="I3988" s="16"/>
    </row>
    <row r="3989" spans="6:9" x14ac:dyDescent="0.3">
      <c r="F3989" s="14"/>
      <c r="G3989" s="15"/>
      <c r="H3989" s="15"/>
      <c r="I3989" s="16"/>
    </row>
    <row r="3990" spans="6:9" x14ac:dyDescent="0.3">
      <c r="F3990" s="14"/>
      <c r="G3990" s="15"/>
      <c r="H3990" s="15"/>
      <c r="I3990" s="16"/>
    </row>
    <row r="3991" spans="6:9" x14ac:dyDescent="0.3">
      <c r="F3991" s="14"/>
      <c r="G3991" s="15"/>
      <c r="H3991" s="15"/>
      <c r="I3991" s="16"/>
    </row>
    <row r="3992" spans="6:9" x14ac:dyDescent="0.3">
      <c r="F3992" s="14"/>
      <c r="G3992" s="15"/>
      <c r="H3992" s="15"/>
      <c r="I3992" s="16"/>
    </row>
    <row r="3993" spans="6:9" x14ac:dyDescent="0.3">
      <c r="F3993" s="14"/>
      <c r="G3993" s="15"/>
      <c r="H3993" s="15"/>
      <c r="I3993" s="16"/>
    </row>
    <row r="3994" spans="6:9" x14ac:dyDescent="0.3">
      <c r="F3994" s="14"/>
      <c r="G3994" s="15"/>
      <c r="H3994" s="15"/>
      <c r="I3994" s="16"/>
    </row>
    <row r="3995" spans="6:9" x14ac:dyDescent="0.3">
      <c r="F3995" s="14"/>
      <c r="G3995" s="15"/>
      <c r="H3995" s="15"/>
      <c r="I3995" s="16"/>
    </row>
    <row r="3996" spans="6:9" x14ac:dyDescent="0.3">
      <c r="F3996" s="14"/>
      <c r="G3996" s="15"/>
      <c r="H3996" s="15"/>
      <c r="I3996" s="16"/>
    </row>
    <row r="3997" spans="6:9" x14ac:dyDescent="0.3">
      <c r="F3997" s="14"/>
      <c r="G3997" s="15"/>
      <c r="H3997" s="15"/>
      <c r="I3997" s="16"/>
    </row>
    <row r="3998" spans="6:9" x14ac:dyDescent="0.3">
      <c r="F3998" s="14"/>
      <c r="G3998" s="15"/>
      <c r="H3998" s="15"/>
      <c r="I3998" s="16"/>
    </row>
    <row r="3999" spans="6:9" x14ac:dyDescent="0.3">
      <c r="F3999" s="14"/>
      <c r="G3999" s="15"/>
      <c r="H3999" s="15"/>
      <c r="I3999" s="16"/>
    </row>
    <row r="4000" spans="6:9" x14ac:dyDescent="0.3">
      <c r="F4000" s="14"/>
      <c r="G4000" s="15"/>
      <c r="H4000" s="15"/>
      <c r="I4000" s="16"/>
    </row>
    <row r="4001" spans="6:9" x14ac:dyDescent="0.3">
      <c r="F4001" s="14"/>
      <c r="G4001" s="15"/>
      <c r="H4001" s="15"/>
      <c r="I4001" s="16"/>
    </row>
    <row r="4002" spans="6:9" x14ac:dyDescent="0.3">
      <c r="F4002" s="14"/>
      <c r="G4002" s="15"/>
      <c r="H4002" s="15"/>
      <c r="I4002" s="16"/>
    </row>
    <row r="4003" spans="6:9" x14ac:dyDescent="0.3">
      <c r="F4003" s="14"/>
      <c r="G4003" s="15"/>
      <c r="H4003" s="15"/>
      <c r="I4003" s="16"/>
    </row>
    <row r="4004" spans="6:9" x14ac:dyDescent="0.3">
      <c r="F4004" s="14"/>
      <c r="G4004" s="15"/>
      <c r="H4004" s="15"/>
      <c r="I4004" s="16"/>
    </row>
    <row r="4005" spans="6:9" x14ac:dyDescent="0.3">
      <c r="F4005" s="14"/>
      <c r="G4005" s="15"/>
      <c r="H4005" s="15"/>
      <c r="I4005" s="16"/>
    </row>
    <row r="4006" spans="6:9" x14ac:dyDescent="0.3">
      <c r="F4006" s="14"/>
      <c r="G4006" s="15"/>
      <c r="H4006" s="15"/>
      <c r="I4006" s="16"/>
    </row>
    <row r="4007" spans="6:9" x14ac:dyDescent="0.3">
      <c r="F4007" s="14"/>
      <c r="G4007" s="15"/>
      <c r="H4007" s="15"/>
      <c r="I4007" s="16"/>
    </row>
    <row r="4008" spans="6:9" x14ac:dyDescent="0.3">
      <c r="F4008" s="14"/>
      <c r="G4008" s="15"/>
      <c r="H4008" s="15"/>
      <c r="I4008" s="16"/>
    </row>
    <row r="4009" spans="6:9" x14ac:dyDescent="0.3">
      <c r="F4009" s="14"/>
      <c r="G4009" s="15"/>
      <c r="H4009" s="15"/>
      <c r="I4009" s="16"/>
    </row>
    <row r="4010" spans="6:9" x14ac:dyDescent="0.3">
      <c r="F4010" s="14"/>
      <c r="G4010" s="15"/>
      <c r="H4010" s="15"/>
      <c r="I4010" s="16"/>
    </row>
  </sheetData>
  <mergeCells count="2">
    <mergeCell ref="A1:J1"/>
    <mergeCell ref="I9:J9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LS_MCS">
                <anchor moveWithCells="1" sizeWithCells="1">
                  <from>
                    <xdr:col>10</xdr:col>
                    <xdr:colOff>9525</xdr:colOff>
                    <xdr:row>4</xdr:row>
                    <xdr:rowOff>123825</xdr:rowOff>
                  </from>
                  <to>
                    <xdr:col>12</xdr:col>
                    <xdr:colOff>171450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>대한민국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Korean</dc:creator>
  <cp:lastModifiedBy>seong</cp:lastModifiedBy>
  <dcterms:created xsi:type="dcterms:W3CDTF">2012-03-18T05:44:31Z</dcterms:created>
  <dcterms:modified xsi:type="dcterms:W3CDTF">2017-11-17T16:21:39Z</dcterms:modified>
</cp:coreProperties>
</file>